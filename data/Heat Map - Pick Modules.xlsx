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vault.sharepoint.com/sites/Spring2026StudentSeniorDesignSite-11-WellstarHealthSystem/Shared Documents/11-Wellstar Health System/Data/"/>
    </mc:Choice>
  </mc:AlternateContent>
  <xr:revisionPtr revIDLastSave="15" documentId="13_ncr:1_{E88453D9-09BA-41DD-AAED-58AB70FB6319}" xr6:coauthVersionLast="47" xr6:coauthVersionMax="47" xr10:uidLastSave="{94C2B593-9C7D-487B-A117-069E4232157F}"/>
  <bookViews>
    <workbookView xWindow="0" yWindow="500" windowWidth="28800" windowHeight="15720" tabRatio="663" activeTab="6" xr2:uid="{2F8BD209-5922-4689-A295-184B0C9601CA}"/>
  </bookViews>
  <sheets>
    <sheet name="Pick Module #1" sheetId="1" r:id="rId1"/>
    <sheet name="Pick Module #2" sheetId="2" r:id="rId2"/>
    <sheet name="Command-Storage final" sheetId="3" state="hidden" r:id="rId3"/>
    <sheet name="MOD 2 Items" sheetId="37" state="hidden" r:id="rId4"/>
    <sheet name="Usage - Feb 2023" sheetId="30" state="hidden" r:id="rId5"/>
    <sheet name="Module Items" sheetId="38" r:id="rId6"/>
    <sheet name="Monthly Line Picks" sheetId="39" r:id="rId7"/>
    <sheet name="Reslot Action Plan" sheetId="41" r:id="rId8"/>
    <sheet name="Sheet4" sheetId="43" r:id="rId9"/>
  </sheets>
  <externalReferences>
    <externalReference r:id="rId10"/>
    <externalReference r:id="rId11"/>
    <externalReference r:id="rId12"/>
  </externalReferences>
  <definedNames>
    <definedName name="_xlnm._FilterDatabase" localSheetId="2" hidden="1">'Command-Storage final'!$A$1:$H$2580</definedName>
    <definedName name="_xlnm._FilterDatabase" localSheetId="6" hidden="1">'Monthly Line Picks'!$A$1:$D$1723</definedName>
    <definedName name="_xlnm._FilterDatabase" localSheetId="7" hidden="1">'Reslot Action Plan'!$A$1:$G$218</definedName>
    <definedName name="_xlnm.Print_Area" localSheetId="0">'Pick Module #1'!$BA$4:$BM$24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57" i="1"/>
  <c r="AL12" i="1"/>
  <c r="AM12" i="1"/>
  <c r="AN12" i="1"/>
  <c r="AC47" i="1"/>
  <c r="AD47" i="1"/>
  <c r="AE47" i="1"/>
  <c r="AQ5" i="1"/>
  <c r="AR5" i="1"/>
  <c r="AS5" i="1"/>
  <c r="BL24" i="1"/>
  <c r="BK24" i="1"/>
  <c r="BL23" i="1"/>
  <c r="BK23" i="1"/>
  <c r="BL22" i="1"/>
  <c r="BK22" i="1"/>
  <c r="BL21" i="1"/>
  <c r="BK21" i="1"/>
  <c r="BL20" i="1"/>
  <c r="BK20" i="1"/>
  <c r="BL19" i="1"/>
  <c r="BK19" i="1"/>
  <c r="BL18" i="1"/>
  <c r="BK18" i="1"/>
  <c r="BI24" i="1"/>
  <c r="BH24" i="1"/>
  <c r="BI23" i="1"/>
  <c r="BH23" i="1"/>
  <c r="BI22" i="1"/>
  <c r="BH22" i="1"/>
  <c r="BI21" i="1"/>
  <c r="BH21" i="1"/>
  <c r="BI20" i="1"/>
  <c r="BH20" i="1"/>
  <c r="BI19" i="1"/>
  <c r="BH19" i="1"/>
  <c r="BI18" i="1"/>
  <c r="BH18" i="1"/>
  <c r="BL10" i="1"/>
  <c r="BK10" i="1"/>
  <c r="BL9" i="1"/>
  <c r="BK9" i="1"/>
  <c r="BL8" i="1"/>
  <c r="BK8" i="1"/>
  <c r="BL7" i="1"/>
  <c r="BK7" i="1"/>
  <c r="BL6" i="1"/>
  <c r="BK6" i="1"/>
  <c r="BL5" i="1"/>
  <c r="BK5" i="1"/>
  <c r="BL4" i="1"/>
  <c r="BK4" i="1"/>
  <c r="BI10" i="1"/>
  <c r="BH10" i="1"/>
  <c r="BI9" i="1"/>
  <c r="BH9" i="1"/>
  <c r="BI8" i="1"/>
  <c r="BH8" i="1"/>
  <c r="BI7" i="1"/>
  <c r="BH7" i="1"/>
  <c r="BI6" i="1"/>
  <c r="BH6" i="1"/>
  <c r="BI5" i="1"/>
  <c r="BH5" i="1"/>
  <c r="BI4" i="1"/>
  <c r="BH4" i="1"/>
  <c r="DN24" i="1"/>
  <c r="DM24" i="1"/>
  <c r="DN23" i="1"/>
  <c r="DM23" i="1"/>
  <c r="DN22" i="1"/>
  <c r="DM22" i="1"/>
  <c r="DN21" i="1"/>
  <c r="DM21" i="1"/>
  <c r="DN20" i="1"/>
  <c r="DM20" i="1"/>
  <c r="DN19" i="1"/>
  <c r="DM19" i="1"/>
  <c r="DN18" i="1"/>
  <c r="DM18" i="1"/>
  <c r="DK24" i="1"/>
  <c r="DJ24" i="1"/>
  <c r="DK23" i="1"/>
  <c r="DJ23" i="1"/>
  <c r="DK22" i="1"/>
  <c r="DJ22" i="1"/>
  <c r="DK21" i="1"/>
  <c r="DJ21" i="1"/>
  <c r="DK20" i="1"/>
  <c r="DJ20" i="1"/>
  <c r="DK19" i="1"/>
  <c r="DJ19" i="1"/>
  <c r="DK18" i="1"/>
  <c r="DJ18" i="1"/>
  <c r="DJ5" i="1"/>
  <c r="DK5" i="1"/>
  <c r="DJ6" i="1"/>
  <c r="DK6" i="1"/>
  <c r="DJ7" i="1"/>
  <c r="DK7" i="1"/>
  <c r="DJ8" i="1"/>
  <c r="DK8" i="1"/>
  <c r="DJ9" i="1"/>
  <c r="DK9" i="1"/>
  <c r="DJ10" i="1"/>
  <c r="DK10" i="1"/>
  <c r="DK4" i="1"/>
  <c r="DJ4" i="1"/>
  <c r="DT24" i="1"/>
  <c r="DS24" i="1"/>
  <c r="DT23" i="1"/>
  <c r="DS23" i="1"/>
  <c r="DT22" i="1"/>
  <c r="DS22" i="1"/>
  <c r="DT21" i="1"/>
  <c r="DS21" i="1"/>
  <c r="DT20" i="1"/>
  <c r="DS20" i="1"/>
  <c r="DT19" i="1"/>
  <c r="DS19" i="1"/>
  <c r="DT18" i="1"/>
  <c r="DS18" i="1"/>
  <c r="DT17" i="1"/>
  <c r="DS17" i="1"/>
  <c r="DT16" i="1"/>
  <c r="DS16" i="1"/>
  <c r="DQ24" i="1"/>
  <c r="DP24" i="1"/>
  <c r="DQ23" i="1"/>
  <c r="DP23" i="1"/>
  <c r="DQ22" i="1"/>
  <c r="DP22" i="1"/>
  <c r="DQ21" i="1"/>
  <c r="DP21" i="1"/>
  <c r="DQ20" i="1"/>
  <c r="DP20" i="1"/>
  <c r="DQ19" i="1"/>
  <c r="DP19" i="1"/>
  <c r="DQ18" i="1"/>
  <c r="DP18" i="1"/>
  <c r="DQ17" i="1"/>
  <c r="DP17" i="1"/>
  <c r="DQ16" i="1"/>
  <c r="DP16" i="1"/>
  <c r="DH24" i="1"/>
  <c r="DG24" i="1"/>
  <c r="DH23" i="1"/>
  <c r="DG23" i="1"/>
  <c r="DH22" i="1"/>
  <c r="DG22" i="1"/>
  <c r="DH21" i="1"/>
  <c r="DG21" i="1"/>
  <c r="DH20" i="1"/>
  <c r="DG20" i="1"/>
  <c r="DH19" i="1"/>
  <c r="DG19" i="1"/>
  <c r="DH18" i="1"/>
  <c r="DG18" i="1"/>
  <c r="DH17" i="1"/>
  <c r="DG17" i="1"/>
  <c r="DH16" i="1"/>
  <c r="DG16" i="1"/>
  <c r="DE24" i="1"/>
  <c r="DD24" i="1"/>
  <c r="DE23" i="1"/>
  <c r="DD23" i="1"/>
  <c r="DE22" i="1"/>
  <c r="DD22" i="1"/>
  <c r="DE21" i="1"/>
  <c r="DD21" i="1"/>
  <c r="DE20" i="1"/>
  <c r="DD20" i="1"/>
  <c r="DE19" i="1"/>
  <c r="DD19" i="1"/>
  <c r="DE18" i="1"/>
  <c r="DD18" i="1"/>
  <c r="DE17" i="1"/>
  <c r="DD17" i="1"/>
  <c r="DE16" i="1"/>
  <c r="DD16" i="1"/>
  <c r="DN12" i="1"/>
  <c r="DM12" i="1"/>
  <c r="DN11" i="1"/>
  <c r="DM11" i="1"/>
  <c r="DN10" i="1"/>
  <c r="DM10" i="1"/>
  <c r="DN9" i="1"/>
  <c r="DM9" i="1"/>
  <c r="DN8" i="1"/>
  <c r="DM8" i="1"/>
  <c r="DN7" i="1"/>
  <c r="DM7" i="1"/>
  <c r="DN6" i="1"/>
  <c r="DM6" i="1"/>
  <c r="DN5" i="1"/>
  <c r="DM5" i="1"/>
  <c r="DN4" i="1"/>
  <c r="DM4" i="1"/>
  <c r="DS12" i="1"/>
  <c r="DS11" i="1"/>
  <c r="DT10" i="1"/>
  <c r="DS10" i="1"/>
  <c r="DT9" i="1"/>
  <c r="DS9" i="1"/>
  <c r="DT8" i="1"/>
  <c r="DS8" i="1"/>
  <c r="DT7" i="1"/>
  <c r="DS7" i="1"/>
  <c r="DT6" i="1"/>
  <c r="DS6" i="1"/>
  <c r="DT5" i="1"/>
  <c r="DS5" i="1"/>
  <c r="DT4" i="1"/>
  <c r="DS4" i="1"/>
  <c r="DQ12" i="1"/>
  <c r="DP12" i="1"/>
  <c r="DQ11" i="1"/>
  <c r="DP11" i="1"/>
  <c r="DQ10" i="1"/>
  <c r="DP10" i="1"/>
  <c r="DQ9" i="1"/>
  <c r="DP9" i="1"/>
  <c r="DQ8" i="1"/>
  <c r="DP8" i="1"/>
  <c r="DQ7" i="1"/>
  <c r="DP7" i="1"/>
  <c r="DQ6" i="1"/>
  <c r="DP6" i="1"/>
  <c r="DQ5" i="1"/>
  <c r="DP5" i="1"/>
  <c r="DQ4" i="1"/>
  <c r="DP4" i="1"/>
  <c r="DH12" i="1"/>
  <c r="DG12" i="1"/>
  <c r="DH11" i="1"/>
  <c r="DG11" i="1"/>
  <c r="DH10" i="1"/>
  <c r="DG10" i="1"/>
  <c r="DH9" i="1"/>
  <c r="DG9" i="1"/>
  <c r="DH8" i="1"/>
  <c r="DG8" i="1"/>
  <c r="DH7" i="1"/>
  <c r="DG7" i="1"/>
  <c r="DH6" i="1"/>
  <c r="DG6" i="1"/>
  <c r="DH5" i="1"/>
  <c r="DG5" i="1"/>
  <c r="DH4" i="1"/>
  <c r="DG4" i="1"/>
  <c r="DE12" i="1"/>
  <c r="DD12" i="1"/>
  <c r="DE11" i="1"/>
  <c r="DD11" i="1"/>
  <c r="DE10" i="1"/>
  <c r="DD10" i="1"/>
  <c r="DE9" i="1"/>
  <c r="DD9" i="1"/>
  <c r="DE8" i="1"/>
  <c r="DD8" i="1"/>
  <c r="DE7" i="1"/>
  <c r="DD7" i="1"/>
  <c r="DE6" i="1"/>
  <c r="DD6" i="1"/>
  <c r="DE5" i="1"/>
  <c r="DD5" i="1"/>
  <c r="DE4" i="1"/>
  <c r="DD4" i="1"/>
  <c r="BR12" i="1"/>
  <c r="BQ12" i="1"/>
  <c r="BR11" i="1"/>
  <c r="BQ11" i="1"/>
  <c r="BR10" i="1"/>
  <c r="BQ10" i="1"/>
  <c r="BR9" i="1"/>
  <c r="BQ9" i="1"/>
  <c r="BR8" i="1"/>
  <c r="BQ8" i="1"/>
  <c r="BR7" i="1"/>
  <c r="BQ7" i="1"/>
  <c r="BR6" i="1"/>
  <c r="BQ6" i="1"/>
  <c r="BR5" i="1"/>
  <c r="BQ5" i="1"/>
  <c r="BR4" i="1"/>
  <c r="BQ4" i="1"/>
  <c r="BO12" i="1"/>
  <c r="BN12" i="1"/>
  <c r="BO11" i="1"/>
  <c r="BN11" i="1"/>
  <c r="BO10" i="1"/>
  <c r="BN10" i="1"/>
  <c r="BO9" i="1"/>
  <c r="BN9" i="1"/>
  <c r="BO8" i="1"/>
  <c r="BN8" i="1"/>
  <c r="BO7" i="1"/>
  <c r="BN7" i="1"/>
  <c r="BO6" i="1"/>
  <c r="BN6" i="1"/>
  <c r="BO5" i="1"/>
  <c r="BN5" i="1"/>
  <c r="BO4" i="1"/>
  <c r="BN4" i="1"/>
  <c r="BF12" i="1"/>
  <c r="BE12" i="1"/>
  <c r="BF11" i="1"/>
  <c r="BE11" i="1"/>
  <c r="BF10" i="1"/>
  <c r="BE10" i="1"/>
  <c r="BF9" i="1"/>
  <c r="BE9" i="1"/>
  <c r="BF8" i="1"/>
  <c r="BE8" i="1"/>
  <c r="BF7" i="1"/>
  <c r="BE7" i="1"/>
  <c r="BF6" i="1"/>
  <c r="BE6" i="1"/>
  <c r="BF5" i="1"/>
  <c r="BE5" i="1"/>
  <c r="BF4" i="1"/>
  <c r="BE4" i="1"/>
  <c r="BC12" i="1"/>
  <c r="BB12" i="1"/>
  <c r="BC11" i="1"/>
  <c r="BB11" i="1"/>
  <c r="BC10" i="1"/>
  <c r="BB10" i="1"/>
  <c r="BC9" i="1"/>
  <c r="BB9" i="1"/>
  <c r="BC8" i="1"/>
  <c r="BB8" i="1"/>
  <c r="BC7" i="1"/>
  <c r="BB7" i="1"/>
  <c r="BC6" i="1"/>
  <c r="BB6" i="1"/>
  <c r="BC5" i="1"/>
  <c r="BB5" i="1"/>
  <c r="BC4" i="1"/>
  <c r="BB4" i="1"/>
  <c r="BC24" i="1"/>
  <c r="BB24" i="1"/>
  <c r="BC23" i="1"/>
  <c r="BB23" i="1"/>
  <c r="BC22" i="1"/>
  <c r="BB22" i="1"/>
  <c r="BC21" i="1"/>
  <c r="BB21" i="1"/>
  <c r="BC20" i="1"/>
  <c r="BB20" i="1"/>
  <c r="BC19" i="1"/>
  <c r="BB19" i="1"/>
  <c r="BC18" i="1"/>
  <c r="BB18" i="1"/>
  <c r="BC17" i="1"/>
  <c r="BB17" i="1"/>
  <c r="BC16" i="1"/>
  <c r="BB16" i="1"/>
  <c r="BF24" i="1"/>
  <c r="BE24" i="1"/>
  <c r="BF23" i="1"/>
  <c r="BE23" i="1"/>
  <c r="BF22" i="1"/>
  <c r="BE22" i="1"/>
  <c r="BF21" i="1"/>
  <c r="BE21" i="1"/>
  <c r="BF20" i="1"/>
  <c r="BE20" i="1"/>
  <c r="BF19" i="1"/>
  <c r="BE19" i="1"/>
  <c r="BF18" i="1"/>
  <c r="BE18" i="1"/>
  <c r="BF17" i="1"/>
  <c r="BE17" i="1"/>
  <c r="BF16" i="1"/>
  <c r="BE16" i="1"/>
  <c r="BO24" i="1"/>
  <c r="BN24" i="1"/>
  <c r="BO23" i="1"/>
  <c r="BN23" i="1"/>
  <c r="BO22" i="1"/>
  <c r="BN22" i="1"/>
  <c r="BO21" i="1"/>
  <c r="BN21" i="1"/>
  <c r="BO20" i="1"/>
  <c r="BN20" i="1"/>
  <c r="BO19" i="1"/>
  <c r="BN19" i="1"/>
  <c r="BO18" i="1"/>
  <c r="BN18" i="1"/>
  <c r="BO17" i="1"/>
  <c r="BN17" i="1"/>
  <c r="BO16" i="1"/>
  <c r="BN16" i="1"/>
  <c r="BR24" i="1"/>
  <c r="BQ24" i="1"/>
  <c r="BR23" i="1"/>
  <c r="BQ23" i="1"/>
  <c r="BR22" i="1"/>
  <c r="BQ22" i="1"/>
  <c r="BR21" i="1"/>
  <c r="BQ21" i="1"/>
  <c r="BR20" i="1"/>
  <c r="BQ20" i="1"/>
  <c r="BR19" i="1"/>
  <c r="BQ19" i="1"/>
  <c r="BR18" i="1"/>
  <c r="BQ18" i="1"/>
  <c r="BR17" i="1"/>
  <c r="BQ17" i="1"/>
  <c r="BR16" i="1"/>
  <c r="BQ16" i="1"/>
  <c r="BR51" i="1"/>
  <c r="BQ51" i="1"/>
  <c r="BR50" i="1"/>
  <c r="BQ50" i="1"/>
  <c r="BR49" i="1"/>
  <c r="BQ49" i="1"/>
  <c r="BR48" i="1"/>
  <c r="BQ48" i="1"/>
  <c r="BR47" i="1"/>
  <c r="BQ47" i="1"/>
  <c r="BR46" i="1"/>
  <c r="BQ46" i="1"/>
  <c r="BR45" i="1"/>
  <c r="BQ45" i="1"/>
  <c r="BR44" i="1"/>
  <c r="BQ44" i="1"/>
  <c r="BR43" i="1"/>
  <c r="BQ43" i="1"/>
  <c r="BO51" i="1"/>
  <c r="BN51" i="1"/>
  <c r="BO50" i="1"/>
  <c r="BN50" i="1"/>
  <c r="BO49" i="1"/>
  <c r="BN49" i="1"/>
  <c r="BO48" i="1"/>
  <c r="BN48" i="1"/>
  <c r="BO47" i="1"/>
  <c r="BN47" i="1"/>
  <c r="BO46" i="1"/>
  <c r="BN46" i="1"/>
  <c r="BO45" i="1"/>
  <c r="BN45" i="1"/>
  <c r="BO44" i="1"/>
  <c r="BN44" i="1"/>
  <c r="BO43" i="1"/>
  <c r="BN43" i="1"/>
  <c r="BO39" i="1"/>
  <c r="BN39" i="1"/>
  <c r="BO38" i="1"/>
  <c r="BN38" i="1"/>
  <c r="BO37" i="1"/>
  <c r="BN37" i="1"/>
  <c r="BO36" i="1"/>
  <c r="BN36" i="1"/>
  <c r="BO35" i="1"/>
  <c r="BN35" i="1"/>
  <c r="BO34" i="1"/>
  <c r="BN34" i="1"/>
  <c r="BO33" i="1"/>
  <c r="BN33" i="1"/>
  <c r="BO32" i="1"/>
  <c r="BN32" i="1"/>
  <c r="BO31" i="1"/>
  <c r="BN31" i="1"/>
  <c r="BR39" i="1"/>
  <c r="BQ39" i="1"/>
  <c r="BR38" i="1"/>
  <c r="BQ38" i="1"/>
  <c r="BR37" i="1"/>
  <c r="BQ37" i="1"/>
  <c r="BR36" i="1"/>
  <c r="BQ36" i="1"/>
  <c r="BR35" i="1"/>
  <c r="BQ35" i="1"/>
  <c r="BR34" i="1"/>
  <c r="BQ34" i="1"/>
  <c r="BR33" i="1"/>
  <c r="BQ33" i="1"/>
  <c r="BR32" i="1"/>
  <c r="BQ32" i="1"/>
  <c r="BR31" i="1"/>
  <c r="BQ31" i="1"/>
  <c r="CA39" i="1"/>
  <c r="BZ39" i="1"/>
  <c r="CA38" i="1"/>
  <c r="BZ38" i="1"/>
  <c r="CA37" i="1"/>
  <c r="BZ37" i="1"/>
  <c r="CA36" i="1"/>
  <c r="BZ36" i="1"/>
  <c r="CA35" i="1"/>
  <c r="BZ35" i="1"/>
  <c r="CA34" i="1"/>
  <c r="BZ34" i="1"/>
  <c r="CA33" i="1"/>
  <c r="BZ33" i="1"/>
  <c r="CA32" i="1"/>
  <c r="BZ32" i="1"/>
  <c r="CA31" i="1"/>
  <c r="BZ31" i="1"/>
  <c r="CD39" i="1"/>
  <c r="CC39" i="1"/>
  <c r="CD38" i="1"/>
  <c r="CC38" i="1"/>
  <c r="CD37" i="1"/>
  <c r="CC37" i="1"/>
  <c r="CD36" i="1"/>
  <c r="CC36" i="1"/>
  <c r="CD35" i="1"/>
  <c r="CC35" i="1"/>
  <c r="CD34" i="1"/>
  <c r="CC34" i="1"/>
  <c r="CD33" i="1"/>
  <c r="CC33" i="1"/>
  <c r="CD32" i="1"/>
  <c r="CC32" i="1"/>
  <c r="CD31" i="1"/>
  <c r="CC31" i="1"/>
  <c r="CD51" i="1"/>
  <c r="CC51" i="1"/>
  <c r="CD50" i="1"/>
  <c r="CC50" i="1"/>
  <c r="CD49" i="1"/>
  <c r="CC49" i="1"/>
  <c r="CD48" i="1"/>
  <c r="CC48" i="1"/>
  <c r="CD47" i="1"/>
  <c r="CC47" i="1"/>
  <c r="CD46" i="1"/>
  <c r="CC46" i="1"/>
  <c r="CD45" i="1"/>
  <c r="CC45" i="1"/>
  <c r="CD44" i="1"/>
  <c r="CC44" i="1"/>
  <c r="CD43" i="1"/>
  <c r="CC43" i="1"/>
  <c r="BZ50" i="1"/>
  <c r="CA50" i="1"/>
  <c r="BZ51" i="1"/>
  <c r="CA51" i="1"/>
  <c r="CA49" i="1"/>
  <c r="BZ49" i="1"/>
  <c r="CA48" i="1"/>
  <c r="BZ48" i="1"/>
  <c r="CA47" i="1"/>
  <c r="BZ47" i="1"/>
  <c r="CA46" i="1"/>
  <c r="BZ46" i="1"/>
  <c r="CA45" i="1"/>
  <c r="BZ45" i="1"/>
  <c r="CA44" i="1"/>
  <c r="BZ44" i="1"/>
  <c r="CA43" i="1"/>
  <c r="BZ43" i="1"/>
  <c r="BX51" i="1"/>
  <c r="BW51" i="1"/>
  <c r="BX50" i="1"/>
  <c r="BW50" i="1"/>
  <c r="BX49" i="1"/>
  <c r="BW49" i="1"/>
  <c r="BX48" i="1"/>
  <c r="BW48" i="1"/>
  <c r="BX47" i="1"/>
  <c r="BW47" i="1"/>
  <c r="BX46" i="1"/>
  <c r="BW46" i="1"/>
  <c r="BX45" i="1"/>
  <c r="BW45" i="1"/>
  <c r="BU51" i="1"/>
  <c r="BT51" i="1"/>
  <c r="BU50" i="1"/>
  <c r="BT50" i="1"/>
  <c r="BU49" i="1"/>
  <c r="BT49" i="1"/>
  <c r="BU48" i="1"/>
  <c r="BT48" i="1"/>
  <c r="BU47" i="1"/>
  <c r="BT47" i="1"/>
  <c r="BU46" i="1"/>
  <c r="BT46" i="1"/>
  <c r="BU45" i="1"/>
  <c r="BT45" i="1"/>
  <c r="BX37" i="1"/>
  <c r="BW37" i="1"/>
  <c r="BX36" i="1"/>
  <c r="BW36" i="1"/>
  <c r="BX35" i="1"/>
  <c r="BW35" i="1"/>
  <c r="BX34" i="1"/>
  <c r="BW34" i="1"/>
  <c r="BX33" i="1"/>
  <c r="BW33" i="1"/>
  <c r="BX32" i="1"/>
  <c r="BW32" i="1"/>
  <c r="BX31" i="1"/>
  <c r="BW31" i="1"/>
  <c r="BU37" i="1"/>
  <c r="BT37" i="1"/>
  <c r="BU36" i="1"/>
  <c r="BT36" i="1"/>
  <c r="BU35" i="1"/>
  <c r="BT35" i="1"/>
  <c r="BU34" i="1"/>
  <c r="BT34" i="1"/>
  <c r="BU33" i="1"/>
  <c r="BT33" i="1"/>
  <c r="BU32" i="1"/>
  <c r="BT32" i="1"/>
  <c r="BU31" i="1"/>
  <c r="BT31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R32" i="1"/>
  <c r="S32" i="1"/>
  <c r="R33" i="1"/>
  <c r="S33" i="1"/>
  <c r="R34" i="1"/>
  <c r="S34" i="1"/>
  <c r="R35" i="1"/>
  <c r="S35" i="1"/>
  <c r="R36" i="1"/>
  <c r="S36" i="1"/>
  <c r="R37" i="1"/>
  <c r="S37" i="1"/>
  <c r="S31" i="1"/>
  <c r="R31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DS24" i="2"/>
  <c r="DR24" i="2"/>
  <c r="DS23" i="2"/>
  <c r="DR23" i="2"/>
  <c r="DS22" i="2"/>
  <c r="DR22" i="2"/>
  <c r="DS21" i="2"/>
  <c r="DR21" i="2"/>
  <c r="DS20" i="2"/>
  <c r="DR20" i="2"/>
  <c r="DS19" i="2"/>
  <c r="DR19" i="2"/>
  <c r="DS18" i="2"/>
  <c r="DR18" i="2"/>
  <c r="DS17" i="2"/>
  <c r="DR17" i="2"/>
  <c r="DS16" i="2"/>
  <c r="DR16" i="2"/>
  <c r="DP24" i="2"/>
  <c r="DO24" i="2"/>
  <c r="DP23" i="2"/>
  <c r="DO23" i="2"/>
  <c r="DP22" i="2"/>
  <c r="DO22" i="2"/>
  <c r="DP21" i="2"/>
  <c r="DO21" i="2"/>
  <c r="DP20" i="2"/>
  <c r="DO20" i="2"/>
  <c r="DP19" i="2"/>
  <c r="DO19" i="2"/>
  <c r="DP18" i="2"/>
  <c r="DO18" i="2"/>
  <c r="DP17" i="2"/>
  <c r="DO17" i="2"/>
  <c r="DP16" i="2"/>
  <c r="DO16" i="2"/>
  <c r="DG24" i="2"/>
  <c r="DF24" i="2"/>
  <c r="DG23" i="2"/>
  <c r="DF23" i="2"/>
  <c r="DG22" i="2"/>
  <c r="DF22" i="2"/>
  <c r="DG21" i="2"/>
  <c r="DF21" i="2"/>
  <c r="DG20" i="2"/>
  <c r="DF20" i="2"/>
  <c r="DG19" i="2"/>
  <c r="DF19" i="2"/>
  <c r="DG18" i="2"/>
  <c r="DF18" i="2"/>
  <c r="DG17" i="2"/>
  <c r="DF17" i="2"/>
  <c r="DG16" i="2"/>
  <c r="DF16" i="2"/>
  <c r="DD24" i="2"/>
  <c r="DC24" i="2"/>
  <c r="DD23" i="2"/>
  <c r="DC23" i="2"/>
  <c r="DD22" i="2"/>
  <c r="DC22" i="2"/>
  <c r="DD21" i="2"/>
  <c r="DC21" i="2"/>
  <c r="DD20" i="2"/>
  <c r="DC20" i="2"/>
  <c r="DD19" i="2"/>
  <c r="DC19" i="2"/>
  <c r="DD18" i="2"/>
  <c r="DC18" i="2"/>
  <c r="DD17" i="2"/>
  <c r="DC17" i="2"/>
  <c r="DD16" i="2"/>
  <c r="DC16" i="2"/>
  <c r="DS12" i="2"/>
  <c r="DR12" i="2"/>
  <c r="DS11" i="2"/>
  <c r="DR11" i="2"/>
  <c r="DS10" i="2"/>
  <c r="DR10" i="2"/>
  <c r="DS9" i="2"/>
  <c r="DR9" i="2"/>
  <c r="DS8" i="2"/>
  <c r="DR8" i="2"/>
  <c r="DS7" i="2"/>
  <c r="DR7" i="2"/>
  <c r="DS6" i="2"/>
  <c r="DR6" i="2"/>
  <c r="DS5" i="2"/>
  <c r="DR5" i="2"/>
  <c r="DS4" i="2"/>
  <c r="DR4" i="2"/>
  <c r="DP12" i="2"/>
  <c r="DO12" i="2"/>
  <c r="DP11" i="2"/>
  <c r="DO11" i="2"/>
  <c r="DP10" i="2"/>
  <c r="DO10" i="2"/>
  <c r="DP9" i="2"/>
  <c r="DO9" i="2"/>
  <c r="DP8" i="2"/>
  <c r="DO8" i="2"/>
  <c r="DP7" i="2"/>
  <c r="DO7" i="2"/>
  <c r="DP6" i="2"/>
  <c r="DO6" i="2"/>
  <c r="DP5" i="2"/>
  <c r="DO5" i="2"/>
  <c r="DP4" i="2"/>
  <c r="DO4" i="2"/>
  <c r="DG12" i="2"/>
  <c r="DF12" i="2"/>
  <c r="DG11" i="2"/>
  <c r="DF11" i="2"/>
  <c r="DG10" i="2"/>
  <c r="DF10" i="2"/>
  <c r="DG9" i="2"/>
  <c r="DF9" i="2"/>
  <c r="DG8" i="2"/>
  <c r="DF8" i="2"/>
  <c r="DG7" i="2"/>
  <c r="DF7" i="2"/>
  <c r="DG6" i="2"/>
  <c r="DF6" i="2"/>
  <c r="DG5" i="2"/>
  <c r="DF5" i="2"/>
  <c r="DG4" i="2"/>
  <c r="DF4" i="2"/>
  <c r="DC5" i="2"/>
  <c r="DD5" i="2"/>
  <c r="DC6" i="2"/>
  <c r="DD6" i="2"/>
  <c r="DC7" i="2"/>
  <c r="DD7" i="2"/>
  <c r="DC8" i="2"/>
  <c r="DD8" i="2"/>
  <c r="DC9" i="2"/>
  <c r="DD9" i="2"/>
  <c r="DC10" i="2"/>
  <c r="DD10" i="2"/>
  <c r="DC11" i="2"/>
  <c r="DD11" i="2"/>
  <c r="DC12" i="2"/>
  <c r="DD12" i="2"/>
  <c r="DD4" i="2"/>
  <c r="DC4" i="2"/>
  <c r="DM24" i="2"/>
  <c r="DL24" i="2"/>
  <c r="DM23" i="2"/>
  <c r="DL23" i="2"/>
  <c r="DM22" i="2"/>
  <c r="DL22" i="2"/>
  <c r="DM21" i="2"/>
  <c r="DL21" i="2"/>
  <c r="DM20" i="2"/>
  <c r="DL20" i="2"/>
  <c r="DM19" i="2"/>
  <c r="DL19" i="2"/>
  <c r="DM18" i="2"/>
  <c r="DL18" i="2"/>
  <c r="DJ24" i="2"/>
  <c r="DI24" i="2"/>
  <c r="DJ23" i="2"/>
  <c r="DI23" i="2"/>
  <c r="DJ22" i="2"/>
  <c r="DI22" i="2"/>
  <c r="DJ21" i="2"/>
  <c r="DI21" i="2"/>
  <c r="DJ20" i="2"/>
  <c r="DI20" i="2"/>
  <c r="DJ19" i="2"/>
  <c r="DI19" i="2"/>
  <c r="DJ18" i="2"/>
  <c r="DI18" i="2"/>
  <c r="DM10" i="2"/>
  <c r="DL10" i="2"/>
  <c r="DM9" i="2"/>
  <c r="DL9" i="2"/>
  <c r="DM8" i="2"/>
  <c r="DL8" i="2"/>
  <c r="DM7" i="2"/>
  <c r="DL7" i="2"/>
  <c r="DM6" i="2"/>
  <c r="DL6" i="2"/>
  <c r="DM5" i="2"/>
  <c r="DL5" i="2"/>
  <c r="DM4" i="2"/>
  <c r="DL4" i="2"/>
  <c r="DJ10" i="2"/>
  <c r="DI10" i="2"/>
  <c r="DJ9" i="2"/>
  <c r="DI9" i="2"/>
  <c r="DJ8" i="2"/>
  <c r="DI8" i="2"/>
  <c r="DJ7" i="2"/>
  <c r="DI7" i="2"/>
  <c r="DJ6" i="2"/>
  <c r="DI6" i="2"/>
  <c r="DJ5" i="2"/>
  <c r="DI5" i="2"/>
  <c r="DJ4" i="2"/>
  <c r="DI4" i="2"/>
  <c r="BK24" i="2"/>
  <c r="BJ24" i="2"/>
  <c r="BK23" i="2"/>
  <c r="BJ23" i="2"/>
  <c r="BK22" i="2"/>
  <c r="BJ22" i="2"/>
  <c r="BK21" i="2"/>
  <c r="BJ21" i="2"/>
  <c r="BK20" i="2"/>
  <c r="BJ20" i="2"/>
  <c r="BK19" i="2"/>
  <c r="BJ19" i="2"/>
  <c r="BK18" i="2"/>
  <c r="BJ18" i="2"/>
  <c r="BH24" i="2"/>
  <c r="BG24" i="2"/>
  <c r="BH23" i="2"/>
  <c r="BG23" i="2"/>
  <c r="BH22" i="2"/>
  <c r="BG22" i="2"/>
  <c r="BH21" i="2"/>
  <c r="BG21" i="2"/>
  <c r="BH20" i="2"/>
  <c r="BG20" i="2"/>
  <c r="BH19" i="2"/>
  <c r="BG19" i="2"/>
  <c r="BH18" i="2"/>
  <c r="BG18" i="2"/>
  <c r="BK10" i="2"/>
  <c r="BJ10" i="2"/>
  <c r="BK9" i="2"/>
  <c r="BJ9" i="2"/>
  <c r="BK8" i="2"/>
  <c r="BJ8" i="2"/>
  <c r="BK7" i="2"/>
  <c r="BJ7" i="2"/>
  <c r="BK6" i="2"/>
  <c r="BJ6" i="2"/>
  <c r="BK5" i="2"/>
  <c r="BJ5" i="2"/>
  <c r="BK4" i="2"/>
  <c r="BJ4" i="2"/>
  <c r="BG5" i="2"/>
  <c r="BH5" i="2"/>
  <c r="BG6" i="2"/>
  <c r="BH6" i="2"/>
  <c r="BG7" i="2"/>
  <c r="BH7" i="2"/>
  <c r="BG8" i="2"/>
  <c r="BH8" i="2"/>
  <c r="BG9" i="2"/>
  <c r="BH9" i="2"/>
  <c r="BG10" i="2"/>
  <c r="BH10" i="2"/>
  <c r="BH4" i="2"/>
  <c r="BG4" i="2"/>
  <c r="BE24" i="2"/>
  <c r="BD24" i="2"/>
  <c r="BE23" i="2"/>
  <c r="BD23" i="2"/>
  <c r="BE22" i="2"/>
  <c r="BD22" i="2"/>
  <c r="BE21" i="2"/>
  <c r="BD21" i="2"/>
  <c r="BE20" i="2"/>
  <c r="BD20" i="2"/>
  <c r="BE19" i="2"/>
  <c r="BD19" i="2"/>
  <c r="BE18" i="2"/>
  <c r="BD18" i="2"/>
  <c r="BE17" i="2"/>
  <c r="BD17" i="2"/>
  <c r="BE16" i="2"/>
  <c r="BD16" i="2"/>
  <c r="BB24" i="2"/>
  <c r="BA24" i="2"/>
  <c r="BB23" i="2"/>
  <c r="BA23" i="2"/>
  <c r="BB22" i="2"/>
  <c r="BA22" i="2"/>
  <c r="BB21" i="2"/>
  <c r="BA21" i="2"/>
  <c r="BB20" i="2"/>
  <c r="BA20" i="2"/>
  <c r="BB19" i="2"/>
  <c r="BA19" i="2"/>
  <c r="BB18" i="2"/>
  <c r="BA18" i="2"/>
  <c r="BB17" i="2"/>
  <c r="BA17" i="2"/>
  <c r="BB16" i="2"/>
  <c r="BA16" i="2"/>
  <c r="BN24" i="2"/>
  <c r="BM24" i="2"/>
  <c r="BN23" i="2"/>
  <c r="BM23" i="2"/>
  <c r="BN22" i="2"/>
  <c r="BM22" i="2"/>
  <c r="BN21" i="2"/>
  <c r="BM21" i="2"/>
  <c r="BN20" i="2"/>
  <c r="BM20" i="2"/>
  <c r="BN19" i="2"/>
  <c r="BM19" i="2"/>
  <c r="BN18" i="2"/>
  <c r="BM18" i="2"/>
  <c r="BN17" i="2"/>
  <c r="BM17" i="2"/>
  <c r="BN16" i="2"/>
  <c r="BM16" i="2"/>
  <c r="BQ24" i="2"/>
  <c r="BP24" i="2"/>
  <c r="BQ23" i="2"/>
  <c r="BP23" i="2"/>
  <c r="BQ22" i="2"/>
  <c r="BP22" i="2"/>
  <c r="BQ21" i="2"/>
  <c r="BP21" i="2"/>
  <c r="BQ20" i="2"/>
  <c r="BP20" i="2"/>
  <c r="BQ19" i="2"/>
  <c r="BP19" i="2"/>
  <c r="BQ18" i="2"/>
  <c r="BP18" i="2"/>
  <c r="BQ17" i="2"/>
  <c r="BP17" i="2"/>
  <c r="BQ16" i="2"/>
  <c r="BP16" i="2"/>
  <c r="BQ12" i="2"/>
  <c r="BP12" i="2"/>
  <c r="BQ11" i="2"/>
  <c r="BP11" i="2"/>
  <c r="BQ10" i="2"/>
  <c r="BP10" i="2"/>
  <c r="BQ9" i="2"/>
  <c r="BP9" i="2"/>
  <c r="BQ8" i="2"/>
  <c r="BP8" i="2"/>
  <c r="BQ7" i="2"/>
  <c r="BP7" i="2"/>
  <c r="BQ6" i="2"/>
  <c r="BP6" i="2"/>
  <c r="BQ5" i="2"/>
  <c r="BP5" i="2"/>
  <c r="BQ4" i="2"/>
  <c r="BP4" i="2"/>
  <c r="BN12" i="2"/>
  <c r="BM12" i="2"/>
  <c r="BN11" i="2"/>
  <c r="BM11" i="2"/>
  <c r="BN10" i="2"/>
  <c r="BM10" i="2"/>
  <c r="BN9" i="2"/>
  <c r="BM9" i="2"/>
  <c r="BN8" i="2"/>
  <c r="BM8" i="2"/>
  <c r="BN7" i="2"/>
  <c r="BM7" i="2"/>
  <c r="BN6" i="2"/>
  <c r="BM6" i="2"/>
  <c r="BN5" i="2"/>
  <c r="BM5" i="2"/>
  <c r="BN4" i="2"/>
  <c r="BM4" i="2"/>
  <c r="BE12" i="2"/>
  <c r="BD12" i="2"/>
  <c r="BE11" i="2"/>
  <c r="BD11" i="2"/>
  <c r="BE10" i="2"/>
  <c r="BD10" i="2"/>
  <c r="BE9" i="2"/>
  <c r="BD9" i="2"/>
  <c r="BE8" i="2"/>
  <c r="BD8" i="2"/>
  <c r="BE7" i="2"/>
  <c r="BD7" i="2"/>
  <c r="BE6" i="2"/>
  <c r="BD6" i="2"/>
  <c r="BE5" i="2"/>
  <c r="BD5" i="2"/>
  <c r="BE4" i="2"/>
  <c r="BD4" i="2"/>
  <c r="BA5" i="2"/>
  <c r="BB5" i="2"/>
  <c r="BA6" i="2"/>
  <c r="BB6" i="2"/>
  <c r="BA7" i="2"/>
  <c r="BB7" i="2"/>
  <c r="BA8" i="2"/>
  <c r="BB8" i="2"/>
  <c r="BA9" i="2"/>
  <c r="BB9" i="2"/>
  <c r="BA10" i="2"/>
  <c r="BB10" i="2"/>
  <c r="BA11" i="2"/>
  <c r="BB11" i="2"/>
  <c r="BA12" i="2"/>
  <c r="BB12" i="2"/>
  <c r="BB4" i="2"/>
  <c r="BA4" i="2"/>
  <c r="BN51" i="2"/>
  <c r="BN50" i="2"/>
  <c r="BN49" i="2"/>
  <c r="BN48" i="2"/>
  <c r="BN47" i="2"/>
  <c r="BN46" i="2"/>
  <c r="BN45" i="2"/>
  <c r="BN44" i="2"/>
  <c r="BN43" i="2"/>
  <c r="BQ51" i="2"/>
  <c r="BQ50" i="2"/>
  <c r="BQ49" i="2"/>
  <c r="BQ48" i="2"/>
  <c r="BQ47" i="2"/>
  <c r="BQ46" i="2"/>
  <c r="BQ45" i="2"/>
  <c r="BQ44" i="2"/>
  <c r="BQ43" i="2"/>
  <c r="BZ51" i="2"/>
  <c r="BZ50" i="2"/>
  <c r="BZ49" i="2"/>
  <c r="BZ48" i="2"/>
  <c r="BZ47" i="2"/>
  <c r="BZ46" i="2"/>
  <c r="BZ45" i="2"/>
  <c r="BZ44" i="2"/>
  <c r="BZ43" i="2"/>
  <c r="CC51" i="2"/>
  <c r="CC50" i="2"/>
  <c r="CC49" i="2"/>
  <c r="CC48" i="2"/>
  <c r="CC47" i="2"/>
  <c r="CC46" i="2"/>
  <c r="CC45" i="2"/>
  <c r="CC44" i="2"/>
  <c r="CC43" i="2"/>
  <c r="CC39" i="2"/>
  <c r="CC38" i="2"/>
  <c r="CC37" i="2"/>
  <c r="CC36" i="2"/>
  <c r="CC35" i="2"/>
  <c r="CC34" i="2"/>
  <c r="CC33" i="2"/>
  <c r="CC32" i="2"/>
  <c r="CC31" i="2"/>
  <c r="BZ39" i="2"/>
  <c r="BZ38" i="2"/>
  <c r="BZ37" i="2"/>
  <c r="BZ36" i="2"/>
  <c r="BZ35" i="2"/>
  <c r="BZ34" i="2"/>
  <c r="BZ33" i="2"/>
  <c r="BZ32" i="2"/>
  <c r="BZ31" i="2"/>
  <c r="BQ39" i="2"/>
  <c r="BQ38" i="2"/>
  <c r="BQ37" i="2"/>
  <c r="BQ36" i="2"/>
  <c r="BQ35" i="2"/>
  <c r="BQ34" i="2"/>
  <c r="BQ33" i="2"/>
  <c r="BQ32" i="2"/>
  <c r="BQ31" i="2"/>
  <c r="BN32" i="2"/>
  <c r="BN33" i="2"/>
  <c r="BN34" i="2"/>
  <c r="BN35" i="2"/>
  <c r="BN36" i="2"/>
  <c r="BN37" i="2"/>
  <c r="BN38" i="2"/>
  <c r="BN39" i="2"/>
  <c r="BN31" i="2"/>
  <c r="BW37" i="2"/>
  <c r="BW36" i="2"/>
  <c r="BW35" i="2"/>
  <c r="BW34" i="2"/>
  <c r="BW33" i="2"/>
  <c r="BW32" i="2"/>
  <c r="BW31" i="2"/>
  <c r="BT32" i="2"/>
  <c r="BT33" i="2"/>
  <c r="BT34" i="2"/>
  <c r="BT35" i="2"/>
  <c r="BT36" i="2"/>
  <c r="BT37" i="2"/>
  <c r="BT31" i="2"/>
  <c r="BW51" i="2"/>
  <c r="BW50" i="2"/>
  <c r="BW49" i="2"/>
  <c r="BW48" i="2"/>
  <c r="BW47" i="2"/>
  <c r="BW46" i="2"/>
  <c r="BW45" i="2"/>
  <c r="BT51" i="2"/>
  <c r="BT50" i="2"/>
  <c r="BT49" i="2"/>
  <c r="BT48" i="2"/>
  <c r="BT47" i="2"/>
  <c r="BT46" i="2"/>
  <c r="BT45" i="2"/>
  <c r="U51" i="2"/>
  <c r="U50" i="2"/>
  <c r="U49" i="2"/>
  <c r="U48" i="2"/>
  <c r="U47" i="2"/>
  <c r="U46" i="2"/>
  <c r="U45" i="2"/>
  <c r="R51" i="2"/>
  <c r="R50" i="2"/>
  <c r="R49" i="2"/>
  <c r="R48" i="2"/>
  <c r="R47" i="2"/>
  <c r="R46" i="2"/>
  <c r="R45" i="2"/>
  <c r="U37" i="2"/>
  <c r="U36" i="2"/>
  <c r="U35" i="2"/>
  <c r="U34" i="2"/>
  <c r="U33" i="2"/>
  <c r="U32" i="2"/>
  <c r="U31" i="2"/>
  <c r="R32" i="2"/>
  <c r="R33" i="2"/>
  <c r="R34" i="2"/>
  <c r="R35" i="2"/>
  <c r="R36" i="2"/>
  <c r="R37" i="2"/>
  <c r="R31" i="2"/>
  <c r="L51" i="2"/>
  <c r="L50" i="2"/>
  <c r="L49" i="2"/>
  <c r="L48" i="2"/>
  <c r="L47" i="2"/>
  <c r="L46" i="2"/>
  <c r="L45" i="2"/>
  <c r="L44" i="2"/>
  <c r="L43" i="2"/>
  <c r="O51" i="2"/>
  <c r="O50" i="2"/>
  <c r="O49" i="2"/>
  <c r="O48" i="2"/>
  <c r="O47" i="2"/>
  <c r="O46" i="2"/>
  <c r="O45" i="2"/>
  <c r="O44" i="2"/>
  <c r="O43" i="2"/>
  <c r="X51" i="2"/>
  <c r="X50" i="2"/>
  <c r="X49" i="2"/>
  <c r="X48" i="2"/>
  <c r="X47" i="2"/>
  <c r="X46" i="2"/>
  <c r="X45" i="2"/>
  <c r="X44" i="2"/>
  <c r="X43" i="2"/>
  <c r="AA51" i="2"/>
  <c r="AA50" i="2"/>
  <c r="AA49" i="2"/>
  <c r="AA48" i="2"/>
  <c r="AA47" i="2"/>
  <c r="AA46" i="2"/>
  <c r="AA45" i="2"/>
  <c r="AA44" i="2"/>
  <c r="AA43" i="2"/>
  <c r="AA39" i="2"/>
  <c r="AA38" i="2"/>
  <c r="AA37" i="2"/>
  <c r="AA36" i="2"/>
  <c r="AA35" i="2"/>
  <c r="AA34" i="2"/>
  <c r="AA33" i="2"/>
  <c r="AA32" i="2"/>
  <c r="AA31" i="2"/>
  <c r="X39" i="2"/>
  <c r="X38" i="2"/>
  <c r="X37" i="2"/>
  <c r="X36" i="2"/>
  <c r="X35" i="2"/>
  <c r="X34" i="2"/>
  <c r="X33" i="2"/>
  <c r="X32" i="2"/>
  <c r="X31" i="2"/>
  <c r="O39" i="2"/>
  <c r="O38" i="2"/>
  <c r="O37" i="2"/>
  <c r="O36" i="2"/>
  <c r="O35" i="2"/>
  <c r="O34" i="2"/>
  <c r="O33" i="2"/>
  <c r="O32" i="2"/>
  <c r="O31" i="2"/>
  <c r="L32" i="2"/>
  <c r="L33" i="2"/>
  <c r="L34" i="2"/>
  <c r="L35" i="2"/>
  <c r="L36" i="2"/>
  <c r="L37" i="2"/>
  <c r="L38" i="2"/>
  <c r="L39" i="2"/>
  <c r="L31" i="2"/>
  <c r="BV51" i="2"/>
  <c r="BV50" i="2"/>
  <c r="BV49" i="2"/>
  <c r="BV48" i="2"/>
  <c r="BV47" i="2"/>
  <c r="BV46" i="2"/>
  <c r="BV45" i="2"/>
  <c r="BS51" i="2"/>
  <c r="BS50" i="2"/>
  <c r="BS49" i="2"/>
  <c r="BS48" i="2"/>
  <c r="BS47" i="2"/>
  <c r="BS46" i="2"/>
  <c r="BS45" i="2"/>
  <c r="BV37" i="2"/>
  <c r="BV36" i="2"/>
  <c r="BV35" i="2"/>
  <c r="BV34" i="2"/>
  <c r="BV33" i="2"/>
  <c r="BV32" i="2"/>
  <c r="BV31" i="2"/>
  <c r="BS32" i="2"/>
  <c r="BS33" i="2"/>
  <c r="BS34" i="2"/>
  <c r="BS35" i="2"/>
  <c r="BS36" i="2"/>
  <c r="BS37" i="2"/>
  <c r="BS31" i="2"/>
  <c r="BY51" i="2"/>
  <c r="BY50" i="2"/>
  <c r="BY49" i="2"/>
  <c r="BY48" i="2"/>
  <c r="BY47" i="2"/>
  <c r="BY46" i="2"/>
  <c r="BY45" i="2"/>
  <c r="BY44" i="2"/>
  <c r="BY43" i="2"/>
  <c r="CB51" i="2"/>
  <c r="CB50" i="2"/>
  <c r="CB49" i="2"/>
  <c r="CB48" i="2"/>
  <c r="CB47" i="2"/>
  <c r="CB46" i="2"/>
  <c r="CB45" i="2"/>
  <c r="CB44" i="2"/>
  <c r="CB43" i="2"/>
  <c r="CB39" i="2"/>
  <c r="CB38" i="2"/>
  <c r="CB37" i="2"/>
  <c r="CB36" i="2"/>
  <c r="CB35" i="2"/>
  <c r="CB34" i="2"/>
  <c r="CB33" i="2"/>
  <c r="CB32" i="2"/>
  <c r="CB31" i="2"/>
  <c r="BY39" i="2"/>
  <c r="BY38" i="2"/>
  <c r="BY37" i="2"/>
  <c r="BY36" i="2"/>
  <c r="BY35" i="2"/>
  <c r="BY34" i="2"/>
  <c r="BY33" i="2"/>
  <c r="BY32" i="2"/>
  <c r="BY31" i="2"/>
  <c r="BP39" i="2"/>
  <c r="BP38" i="2"/>
  <c r="BP37" i="2"/>
  <c r="BP36" i="2"/>
  <c r="BP35" i="2"/>
  <c r="BP34" i="2"/>
  <c r="BP33" i="2"/>
  <c r="BP32" i="2"/>
  <c r="BP31" i="2"/>
  <c r="BP51" i="2"/>
  <c r="BP50" i="2"/>
  <c r="BP49" i="2"/>
  <c r="BP48" i="2"/>
  <c r="BP47" i="2"/>
  <c r="BP46" i="2"/>
  <c r="BP45" i="2"/>
  <c r="BP44" i="2"/>
  <c r="BP43" i="2"/>
  <c r="BM51" i="2"/>
  <c r="BM50" i="2"/>
  <c r="BM49" i="2"/>
  <c r="BM48" i="2"/>
  <c r="BM47" i="2"/>
  <c r="BM46" i="2"/>
  <c r="BM45" i="2"/>
  <c r="BM44" i="2"/>
  <c r="BM43" i="2"/>
  <c r="BM32" i="2"/>
  <c r="BM33" i="2"/>
  <c r="BM34" i="2"/>
  <c r="BM35" i="2"/>
  <c r="BM36" i="2"/>
  <c r="BM37" i="2"/>
  <c r="BM38" i="2"/>
  <c r="BM39" i="2"/>
  <c r="BM31" i="2"/>
  <c r="Z51" i="2"/>
  <c r="Z50" i="2"/>
  <c r="Z49" i="2"/>
  <c r="Z48" i="2"/>
  <c r="Z47" i="2"/>
  <c r="Z46" i="2"/>
  <c r="Z45" i="2"/>
  <c r="Z44" i="2"/>
  <c r="Z43" i="2"/>
  <c r="W51" i="2"/>
  <c r="W50" i="2"/>
  <c r="W49" i="2"/>
  <c r="W48" i="2"/>
  <c r="W47" i="2"/>
  <c r="W46" i="2"/>
  <c r="W45" i="2"/>
  <c r="W44" i="2"/>
  <c r="W43" i="2"/>
  <c r="N51" i="2"/>
  <c r="N50" i="2"/>
  <c r="N49" i="2"/>
  <c r="N48" i="2"/>
  <c r="N47" i="2"/>
  <c r="N46" i="2"/>
  <c r="N45" i="2"/>
  <c r="N44" i="2"/>
  <c r="N43" i="2"/>
  <c r="K51" i="2"/>
  <c r="K50" i="2"/>
  <c r="K49" i="2"/>
  <c r="K48" i="2"/>
  <c r="K47" i="2"/>
  <c r="K46" i="2"/>
  <c r="K45" i="2"/>
  <c r="K44" i="2"/>
  <c r="K43" i="2"/>
  <c r="T51" i="2"/>
  <c r="T50" i="2"/>
  <c r="T49" i="2"/>
  <c r="T48" i="2"/>
  <c r="T47" i="2"/>
  <c r="T46" i="2"/>
  <c r="T45" i="2"/>
  <c r="Q51" i="2"/>
  <c r="Q50" i="2"/>
  <c r="Q49" i="2"/>
  <c r="Q48" i="2"/>
  <c r="Q47" i="2"/>
  <c r="Q46" i="2"/>
  <c r="Q45" i="2"/>
  <c r="T37" i="2"/>
  <c r="T36" i="2"/>
  <c r="T35" i="2"/>
  <c r="T34" i="2"/>
  <c r="T33" i="2"/>
  <c r="T32" i="2"/>
  <c r="T31" i="2"/>
  <c r="Q32" i="2"/>
  <c r="Q33" i="2"/>
  <c r="Q34" i="2"/>
  <c r="Q35" i="2"/>
  <c r="Q36" i="2"/>
  <c r="Q37" i="2"/>
  <c r="Q31" i="2"/>
  <c r="Z39" i="2"/>
  <c r="Z38" i="2"/>
  <c r="Z37" i="2"/>
  <c r="Z36" i="2"/>
  <c r="Z35" i="2"/>
  <c r="Z34" i="2"/>
  <c r="Z33" i="2"/>
  <c r="Z32" i="2"/>
  <c r="Z31" i="2"/>
  <c r="W39" i="2"/>
  <c r="W38" i="2"/>
  <c r="W37" i="2"/>
  <c r="W36" i="2"/>
  <c r="W35" i="2"/>
  <c r="W34" i="2"/>
  <c r="W33" i="2"/>
  <c r="W32" i="2"/>
  <c r="W31" i="2"/>
  <c r="N39" i="2"/>
  <c r="N38" i="2"/>
  <c r="N37" i="2"/>
  <c r="N36" i="2"/>
  <c r="N35" i="2"/>
  <c r="N34" i="2"/>
  <c r="N33" i="2"/>
  <c r="N32" i="2"/>
  <c r="N31" i="2"/>
  <c r="K32" i="2"/>
  <c r="K33" i="2"/>
  <c r="K34" i="2"/>
  <c r="K35" i="2"/>
  <c r="K36" i="2"/>
  <c r="K37" i="2"/>
  <c r="K38" i="2"/>
  <c r="K39" i="2"/>
  <c r="K31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CP43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G36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CS35" i="2"/>
  <c r="CP16" i="2"/>
  <c r="CQ16" i="2"/>
  <c r="CR16" i="2"/>
  <c r="CS16" i="2"/>
  <c r="CT16" i="2"/>
  <c r="CU16" i="2"/>
  <c r="CP19" i="2"/>
  <c r="CQ19" i="2"/>
  <c r="CR19" i="2"/>
  <c r="CS19" i="2"/>
  <c r="CT19" i="2"/>
  <c r="CU19" i="2"/>
  <c r="CP22" i="2"/>
  <c r="CQ22" i="2"/>
  <c r="CR22" i="2"/>
  <c r="CS22" i="2"/>
  <c r="CT22" i="2"/>
  <c r="CU22" i="2"/>
  <c r="CP17" i="2"/>
  <c r="CQ17" i="2"/>
  <c r="CR17" i="2"/>
  <c r="CS17" i="2"/>
  <c r="CT17" i="2"/>
  <c r="CU17" i="2"/>
  <c r="CP20" i="2"/>
  <c r="CQ20" i="2"/>
  <c r="CR20" i="2"/>
  <c r="CS20" i="2"/>
  <c r="CT20" i="2"/>
  <c r="CU20" i="2"/>
  <c r="CP23" i="2"/>
  <c r="CQ23" i="2"/>
  <c r="CR23" i="2"/>
  <c r="CS23" i="2"/>
  <c r="CT23" i="2"/>
  <c r="CU23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V16" i="2"/>
  <c r="CW16" i="2"/>
  <c r="CX16" i="2"/>
  <c r="CY16" i="2"/>
  <c r="CZ16" i="2"/>
  <c r="CA17" i="1"/>
  <c r="BY17" i="1"/>
  <c r="DR39" i="1" l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CH33" i="1"/>
  <c r="BX44" i="1" l="1"/>
  <c r="BX43" i="1"/>
  <c r="BX39" i="1"/>
  <c r="BX38" i="1"/>
  <c r="BL17" i="1"/>
  <c r="BL16" i="1"/>
  <c r="BL12" i="1"/>
  <c r="BL11" i="1"/>
  <c r="BW44" i="1"/>
  <c r="BW43" i="1"/>
  <c r="BK17" i="1"/>
  <c r="BK16" i="1"/>
  <c r="BW39" i="1"/>
  <c r="BW38" i="1"/>
  <c r="BK12" i="1"/>
  <c r="BK11" i="1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B43" i="2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CF43" i="1"/>
  <c r="CE43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AC43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AK33" i="1"/>
  <c r="AJ33" i="1"/>
  <c r="AI33" i="1"/>
  <c r="AH33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AE6" i="1"/>
  <c r="AD6" i="1"/>
  <c r="AC6" i="1"/>
  <c r="AB6" i="1"/>
  <c r="AA6" i="1"/>
  <c r="Z6" i="1"/>
  <c r="Y6" i="1"/>
  <c r="X6" i="1"/>
  <c r="W6" i="1"/>
  <c r="V6" i="1"/>
  <c r="T12" i="1"/>
  <c r="S12" i="1"/>
  <c r="R12" i="1"/>
  <c r="Q12" i="1"/>
  <c r="P12" i="1"/>
  <c r="O12" i="1"/>
  <c r="N12" i="1"/>
  <c r="M12" i="1"/>
  <c r="L12" i="1"/>
  <c r="K12" i="1"/>
  <c r="T9" i="1"/>
  <c r="S9" i="1"/>
  <c r="R9" i="1"/>
  <c r="Q9" i="1"/>
  <c r="P9" i="1"/>
  <c r="O9" i="1"/>
  <c r="N9" i="1"/>
  <c r="M9" i="1"/>
  <c r="L9" i="1"/>
  <c r="K9" i="1"/>
  <c r="O6" i="1"/>
  <c r="P6" i="1"/>
  <c r="Q6" i="1"/>
  <c r="R6" i="1"/>
  <c r="S6" i="1"/>
  <c r="T6" i="1"/>
  <c r="N6" i="1"/>
  <c r="M6" i="1"/>
  <c r="L6" i="1"/>
  <c r="K6" i="1"/>
  <c r="AF39" i="1"/>
  <c r="AE39" i="1"/>
  <c r="AD39" i="1"/>
  <c r="AC39" i="1"/>
  <c r="AF36" i="1"/>
  <c r="AE36" i="1"/>
  <c r="AD36" i="1"/>
  <c r="AC36" i="1"/>
  <c r="AE33" i="1"/>
  <c r="AF33" i="1"/>
  <c r="AD33" i="1"/>
  <c r="AC33" i="1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U10" i="2" s="1"/>
  <c r="U11" i="2" s="1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U6" i="2"/>
  <c r="S12" i="2"/>
  <c r="R12" i="2"/>
  <c r="Q12" i="2"/>
  <c r="P12" i="2"/>
  <c r="O12" i="2"/>
  <c r="N12" i="2"/>
  <c r="M12" i="2"/>
  <c r="L12" i="2"/>
  <c r="K12" i="2"/>
  <c r="J12" i="2"/>
  <c r="S9" i="2"/>
  <c r="R9" i="2"/>
  <c r="Q9" i="2"/>
  <c r="P9" i="2"/>
  <c r="O9" i="2"/>
  <c r="N9" i="2"/>
  <c r="M9" i="2"/>
  <c r="L9" i="2"/>
  <c r="K9" i="2"/>
  <c r="J9" i="2"/>
  <c r="N6" i="2"/>
  <c r="O6" i="2"/>
  <c r="P6" i="2"/>
  <c r="Q6" i="2"/>
  <c r="R6" i="2"/>
  <c r="S6" i="2"/>
  <c r="M6" i="2"/>
  <c r="L6" i="2"/>
  <c r="K6" i="2"/>
  <c r="J6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CI33" i="2"/>
  <c r="CH33" i="2"/>
  <c r="CG33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AJ33" i="2"/>
  <c r="AI33" i="2"/>
  <c r="AH33" i="2"/>
  <c r="AG33" i="2"/>
  <c r="AE39" i="2"/>
  <c r="AD39" i="2"/>
  <c r="AC39" i="2"/>
  <c r="AB39" i="2"/>
  <c r="AE36" i="2"/>
  <c r="AD36" i="2"/>
  <c r="AC36" i="2"/>
  <c r="AB36" i="2"/>
  <c r="AC33" i="2"/>
  <c r="AD33" i="2"/>
  <c r="AE33" i="2"/>
  <c r="AB33" i="2"/>
  <c r="AB32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G43" i="2"/>
  <c r="CH43" i="2"/>
  <c r="CI43" i="2"/>
  <c r="CJ43" i="2"/>
  <c r="CK43" i="2"/>
  <c r="CL43" i="2"/>
  <c r="CM43" i="2"/>
  <c r="CN43" i="2"/>
  <c r="CO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A22" i="2"/>
  <c r="CZ22" i="2"/>
  <c r="CY22" i="2"/>
  <c r="CX22" i="2"/>
  <c r="CW22" i="2"/>
  <c r="CV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DA19" i="2"/>
  <c r="CZ19" i="2"/>
  <c r="CY19" i="2"/>
  <c r="CX19" i="2"/>
  <c r="CW19" i="2"/>
  <c r="CV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DA16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J16" i="2"/>
  <c r="DS39" i="2"/>
  <c r="DS36" i="2"/>
  <c r="DS33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BX6" i="2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K22" i="1"/>
  <c r="K19" i="1"/>
  <c r="BV22" i="1"/>
  <c r="BV19" i="1"/>
  <c r="BV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K16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T39" i="1"/>
  <c r="DT36" i="1"/>
  <c r="DT33" i="1"/>
  <c r="BY12" i="1"/>
  <c r="BY9" i="1"/>
  <c r="BY6" i="1"/>
  <c r="V5" i="1"/>
  <c r="W5" i="1"/>
  <c r="AC38" i="1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V23" i="2"/>
  <c r="CW23" i="2"/>
  <c r="CX23" i="2"/>
  <c r="CY23" i="2"/>
  <c r="CZ23" i="2"/>
  <c r="DA23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V20" i="2"/>
  <c r="CW20" i="2"/>
  <c r="CX20" i="2"/>
  <c r="CY20" i="2"/>
  <c r="CZ20" i="2"/>
  <c r="DA20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V17" i="2"/>
  <c r="CW17" i="2"/>
  <c r="CX17" i="2"/>
  <c r="CY17" i="2"/>
  <c r="CZ17" i="2"/>
  <c r="DA17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AB50" i="2"/>
  <c r="AB47" i="2"/>
  <c r="AB44" i="2"/>
  <c r="J23" i="2"/>
  <c r="J20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J17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S38" i="2"/>
  <c r="DS35" i="2"/>
  <c r="DS32" i="2"/>
  <c r="CH35" i="2"/>
  <c r="CI35" i="2"/>
  <c r="CJ35" i="2"/>
  <c r="CK35" i="2"/>
  <c r="CL35" i="2"/>
  <c r="CM35" i="2"/>
  <c r="CN35" i="2"/>
  <c r="CO35" i="2"/>
  <c r="CP35" i="2"/>
  <c r="CQ35" i="2"/>
  <c r="CR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AC38" i="2"/>
  <c r="AD38" i="2"/>
  <c r="AE38" i="2"/>
  <c r="AC35" i="2"/>
  <c r="AD35" i="2"/>
  <c r="AE35" i="2"/>
  <c r="AC32" i="2"/>
  <c r="AD32" i="2"/>
  <c r="AE32" i="2"/>
  <c r="K11" i="2"/>
  <c r="L11" i="2"/>
  <c r="M11" i="2"/>
  <c r="N11" i="2"/>
  <c r="O11" i="2"/>
  <c r="P11" i="2"/>
  <c r="Q11" i="2"/>
  <c r="R11" i="2"/>
  <c r="S11" i="2"/>
  <c r="K8" i="2"/>
  <c r="L8" i="2"/>
  <c r="M8" i="2"/>
  <c r="N8" i="2"/>
  <c r="O8" i="2"/>
  <c r="P8" i="2"/>
  <c r="Q8" i="2"/>
  <c r="R8" i="2"/>
  <c r="S8" i="2"/>
  <c r="BX11" i="2"/>
  <c r="BX8" i="2"/>
  <c r="BX5" i="2"/>
  <c r="CG38" i="2"/>
  <c r="CG35" i="2"/>
  <c r="CG32" i="2"/>
  <c r="AG38" i="2"/>
  <c r="AG35" i="2"/>
  <c r="AG32" i="2"/>
  <c r="AB38" i="2"/>
  <c r="AB35" i="2"/>
  <c r="U8" i="2"/>
  <c r="J11" i="2"/>
  <c r="J8" i="2"/>
  <c r="U5" i="2"/>
  <c r="K5" i="2"/>
  <c r="L5" i="2"/>
  <c r="M5" i="2"/>
  <c r="N5" i="2"/>
  <c r="O5" i="2"/>
  <c r="P5" i="2"/>
  <c r="Q5" i="2"/>
  <c r="R5" i="2"/>
  <c r="S5" i="2"/>
  <c r="J5" i="2"/>
  <c r="DB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BW17" i="1"/>
  <c r="BX17" i="1"/>
  <c r="BZ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BV23" i="1"/>
  <c r="BV20" i="1"/>
  <c r="BV17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CF47" i="1"/>
  <c r="CG47" i="1"/>
  <c r="CH47" i="1"/>
  <c r="CI47" i="1"/>
  <c r="CJ47" i="1"/>
  <c r="CE50" i="1"/>
  <c r="CE47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AC50" i="1"/>
  <c r="AC44" i="1"/>
  <c r="K23" i="1"/>
  <c r="K20" i="1"/>
  <c r="K17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T38" i="1"/>
  <c r="DT35" i="1"/>
  <c r="DT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CH38" i="1"/>
  <c r="CH35" i="1"/>
  <c r="CH32" i="1"/>
  <c r="BY11" i="1"/>
  <c r="BY8" i="1"/>
  <c r="BY5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AH38" i="1"/>
  <c r="AD38" i="1"/>
  <c r="AE38" i="1"/>
  <c r="AF38" i="1"/>
  <c r="AD35" i="1"/>
  <c r="AE35" i="1"/>
  <c r="AF35" i="1"/>
  <c r="AC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AH32" i="1"/>
  <c r="AD32" i="1"/>
  <c r="AE32" i="1"/>
  <c r="AF32" i="1"/>
  <c r="AC32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V11" i="1"/>
  <c r="L11" i="1"/>
  <c r="M11" i="1"/>
  <c r="N11" i="1"/>
  <c r="O11" i="1"/>
  <c r="P11" i="1"/>
  <c r="Q11" i="1"/>
  <c r="R11" i="1"/>
  <c r="S11" i="1"/>
  <c r="T11" i="1"/>
  <c r="K11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V8" i="1"/>
  <c r="L8" i="1"/>
  <c r="M8" i="1"/>
  <c r="N8" i="1"/>
  <c r="O8" i="1"/>
  <c r="P8" i="1"/>
  <c r="Q8" i="1"/>
  <c r="R8" i="1"/>
  <c r="S8" i="1"/>
  <c r="T8" i="1"/>
  <c r="K8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T5" i="1"/>
  <c r="AU5" i="1"/>
  <c r="AV5" i="1"/>
  <c r="AW5" i="1"/>
  <c r="AX5" i="1"/>
  <c r="AY5" i="1"/>
  <c r="AZ5" i="1"/>
  <c r="L5" i="1"/>
  <c r="M5" i="1"/>
  <c r="N5" i="1"/>
  <c r="O5" i="1"/>
  <c r="P5" i="1"/>
  <c r="Q5" i="1"/>
  <c r="R5" i="1"/>
  <c r="S5" i="1"/>
  <c r="T5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900" i="3"/>
  <c r="H1901" i="3"/>
  <c r="H1902" i="3"/>
  <c r="H1903" i="3"/>
  <c r="H1904" i="3"/>
  <c r="H1905" i="3"/>
  <c r="H1906" i="3"/>
  <c r="H1907" i="3"/>
  <c r="H1908" i="3"/>
  <c r="H1909" i="3"/>
  <c r="H1910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04" i="3"/>
  <c r="H105" i="3"/>
  <c r="H106" i="3"/>
  <c r="H107" i="3"/>
  <c r="H108" i="3"/>
  <c r="H109" i="3"/>
  <c r="H110" i="3"/>
  <c r="H111" i="3"/>
  <c r="H112" i="3"/>
  <c r="H113" i="3"/>
  <c r="H116" i="3"/>
  <c r="H117" i="3"/>
  <c r="H118" i="3"/>
  <c r="H119" i="3"/>
  <c r="H120" i="3"/>
  <c r="H121" i="3"/>
  <c r="H127" i="3"/>
  <c r="H128" i="3"/>
  <c r="H129" i="3"/>
  <c r="H132" i="3"/>
  <c r="H134" i="3"/>
  <c r="H135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454" i="3"/>
  <c r="H455" i="3"/>
  <c r="H456" i="3"/>
  <c r="H279" i="3"/>
  <c r="H1968" i="3"/>
  <c r="H281" i="3"/>
  <c r="H457" i="3"/>
  <c r="H1969" i="3"/>
  <c r="H401" i="3"/>
  <c r="H402" i="3"/>
  <c r="H403" i="3"/>
  <c r="H422" i="3"/>
  <c r="H136" i="3"/>
  <c r="H423" i="3"/>
  <c r="H424" i="3"/>
  <c r="H282" i="3"/>
  <c r="H1970" i="3"/>
  <c r="H288" i="3"/>
  <c r="H284" i="3"/>
  <c r="H1971" i="3"/>
  <c r="H311" i="3"/>
  <c r="H373" i="3"/>
  <c r="H374" i="3"/>
  <c r="H1972" i="3"/>
  <c r="H389" i="3"/>
  <c r="H390" i="3"/>
  <c r="H1973" i="3"/>
  <c r="H458" i="3"/>
  <c r="H490" i="3"/>
  <c r="H491" i="3"/>
  <c r="H492" i="3"/>
  <c r="H493" i="3"/>
  <c r="H494" i="3"/>
  <c r="H319" i="3"/>
  <c r="H332" i="3"/>
  <c r="H333" i="3"/>
  <c r="H347" i="3"/>
  <c r="H357" i="3"/>
  <c r="H364" i="3"/>
  <c r="H495" i="3"/>
  <c r="H496" i="3"/>
  <c r="H546" i="3"/>
  <c r="H1974" i="3"/>
  <c r="H547" i="3"/>
  <c r="H548" i="3"/>
  <c r="H549" i="3"/>
  <c r="H550" i="3"/>
  <c r="H551" i="3"/>
  <c r="H552" i="3"/>
  <c r="H553" i="3"/>
  <c r="H554" i="3"/>
  <c r="H555" i="3"/>
  <c r="H644" i="3"/>
  <c r="H556" i="3"/>
  <c r="H557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975" i="3"/>
  <c r="H1976" i="3"/>
  <c r="H1977" i="3"/>
  <c r="H1978" i="3"/>
  <c r="H1979" i="3"/>
  <c r="H1980" i="3"/>
  <c r="H1981" i="3"/>
  <c r="H1982" i="3"/>
  <c r="H1989" i="3"/>
  <c r="H1990" i="3"/>
  <c r="H1991" i="3"/>
  <c r="H1992" i="3"/>
  <c r="H1993" i="3"/>
  <c r="H1994" i="3"/>
  <c r="H1999" i="3"/>
  <c r="H2000" i="3"/>
  <c r="H2001" i="3"/>
  <c r="H2002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391" i="3"/>
  <c r="H404" i="3"/>
  <c r="H405" i="3"/>
  <c r="H392" i="3"/>
  <c r="H2025" i="3"/>
  <c r="H2026" i="3"/>
  <c r="H265" i="3"/>
  <c r="H295" i="3"/>
  <c r="H267" i="3"/>
  <c r="H2027" i="3"/>
  <c r="H320" i="3"/>
  <c r="H275" i="3"/>
  <c r="H334" i="3"/>
  <c r="H348" i="3"/>
  <c r="H365" i="3"/>
  <c r="H375" i="3"/>
  <c r="H2028" i="3"/>
  <c r="H2029" i="3"/>
  <c r="H406" i="3"/>
  <c r="H2030" i="3"/>
  <c r="H2031" i="3"/>
  <c r="H425" i="3"/>
  <c r="H426" i="3"/>
  <c r="H427" i="3"/>
  <c r="H270" i="3"/>
  <c r="H289" i="3"/>
  <c r="H328" i="3"/>
  <c r="H428" i="3"/>
  <c r="H290" i="3"/>
  <c r="H2032" i="3"/>
  <c r="H376" i="3"/>
  <c r="H2033" i="3"/>
  <c r="H2034" i="3"/>
  <c r="H137" i="3"/>
  <c r="H138" i="3"/>
  <c r="H139" i="3"/>
  <c r="H140" i="3"/>
  <c r="H141" i="3"/>
  <c r="H142" i="3"/>
  <c r="H143" i="3"/>
  <c r="H459" i="3"/>
  <c r="H460" i="3"/>
  <c r="H312" i="3"/>
  <c r="H2035" i="3"/>
  <c r="H461" i="3"/>
  <c r="H358" i="3"/>
  <c r="H2036" i="3"/>
  <c r="H2037" i="3"/>
  <c r="H144" i="3"/>
  <c r="H145" i="3"/>
  <c r="H146" i="3"/>
  <c r="H147" i="3"/>
  <c r="H148" i="3"/>
  <c r="H149" i="3"/>
  <c r="H497" i="3"/>
  <c r="H498" i="3"/>
  <c r="H499" i="3"/>
  <c r="H500" i="3"/>
  <c r="H501" i="3"/>
  <c r="H502" i="3"/>
  <c r="H150" i="3"/>
  <c r="H151" i="3"/>
  <c r="H152" i="3"/>
  <c r="H503" i="3"/>
  <c r="H2038" i="3"/>
  <c r="H2039" i="3"/>
  <c r="H558" i="3"/>
  <c r="H2040" i="3"/>
  <c r="H2041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1273" i="3"/>
  <c r="H2042" i="3"/>
  <c r="H711" i="3"/>
  <c r="H712" i="3"/>
  <c r="H1274" i="3"/>
  <c r="H1275" i="3"/>
  <c r="H1276" i="3"/>
  <c r="H1277" i="3"/>
  <c r="H1278" i="3"/>
  <c r="H1279" i="3"/>
  <c r="H1280" i="3"/>
  <c r="H1281" i="3"/>
  <c r="H1282" i="3"/>
  <c r="H2043" i="3"/>
  <c r="H571" i="3"/>
  <c r="H429" i="3"/>
  <c r="H713" i="3"/>
  <c r="H2044" i="3"/>
  <c r="H572" i="3"/>
  <c r="H2046" i="3"/>
  <c r="H393" i="3"/>
  <c r="H714" i="3"/>
  <c r="H715" i="3"/>
  <c r="H2047" i="3"/>
  <c r="H573" i="3"/>
  <c r="H407" i="3"/>
  <c r="H2048" i="3"/>
  <c r="H296" i="3"/>
  <c r="H716" i="3"/>
  <c r="H2051" i="3"/>
  <c r="H2052" i="3"/>
  <c r="H430" i="3"/>
  <c r="H2053" i="3"/>
  <c r="H1283" i="3"/>
  <c r="H2055" i="3"/>
  <c r="H2056" i="3"/>
  <c r="H2057" i="3"/>
  <c r="H2058" i="3"/>
  <c r="H2059" i="3"/>
  <c r="H2060" i="3"/>
  <c r="H717" i="3"/>
  <c r="H718" i="3"/>
  <c r="H719" i="3"/>
  <c r="H1284" i="3"/>
  <c r="H720" i="3"/>
  <c r="H2061" i="3"/>
  <c r="H574" i="3"/>
  <c r="H721" i="3"/>
  <c r="H2062" i="3"/>
  <c r="H2063" i="3"/>
  <c r="H722" i="3"/>
  <c r="H723" i="3"/>
  <c r="H2065" i="3"/>
  <c r="H2066" i="3"/>
  <c r="H504" i="3"/>
  <c r="H724" i="3"/>
  <c r="H349" i="3"/>
  <c r="H725" i="3"/>
  <c r="H2068" i="3"/>
  <c r="H505" i="3"/>
  <c r="H1285" i="3"/>
  <c r="H1286" i="3"/>
  <c r="H2070" i="3"/>
  <c r="H506" i="3"/>
  <c r="H2071" i="3"/>
  <c r="H1287" i="3"/>
  <c r="H2072" i="3"/>
  <c r="H575" i="3"/>
  <c r="H377" i="3"/>
  <c r="H2073" i="3"/>
  <c r="H1288" i="3"/>
  <c r="H726" i="3"/>
  <c r="H727" i="3"/>
  <c r="H2075" i="3"/>
  <c r="H2076" i="3"/>
  <c r="H2077" i="3"/>
  <c r="H1289" i="3"/>
  <c r="H2078" i="3"/>
  <c r="H2080" i="3"/>
  <c r="H262" i="3"/>
  <c r="H2081" i="3"/>
  <c r="H1290" i="3"/>
  <c r="H2082" i="3"/>
  <c r="H728" i="3"/>
  <c r="H729" i="3"/>
  <c r="H730" i="3"/>
  <c r="H1291" i="3"/>
  <c r="H731" i="3"/>
  <c r="H732" i="3"/>
  <c r="H359" i="3"/>
  <c r="H2083" i="3"/>
  <c r="H1292" i="3"/>
  <c r="H1293" i="3"/>
  <c r="H462" i="3"/>
  <c r="H1294" i="3"/>
  <c r="H431" i="3"/>
  <c r="H252" i="3"/>
  <c r="H253" i="3"/>
  <c r="H2084" i="3"/>
  <c r="H576" i="3"/>
  <c r="H733" i="3"/>
  <c r="H378" i="3"/>
  <c r="H734" i="3"/>
  <c r="H2085" i="3"/>
  <c r="H577" i="3"/>
  <c r="H578" i="3"/>
  <c r="H735" i="3"/>
  <c r="H2087" i="3"/>
  <c r="H736" i="3"/>
  <c r="H579" i="3"/>
  <c r="H507" i="3"/>
  <c r="H737" i="3"/>
  <c r="H463" i="3"/>
  <c r="H580" i="3"/>
  <c r="H276" i="3"/>
  <c r="H2088" i="3"/>
  <c r="H464" i="3"/>
  <c r="H508" i="3"/>
  <c r="H738" i="3"/>
  <c r="H366" i="3"/>
  <c r="H432" i="3"/>
  <c r="H581" i="3"/>
  <c r="H321" i="3"/>
  <c r="H739" i="3"/>
  <c r="H305" i="3"/>
  <c r="H740" i="3"/>
  <c r="H741" i="3"/>
  <c r="H2091" i="3"/>
  <c r="H509" i="3"/>
  <c r="H408" i="3"/>
  <c r="H742" i="3"/>
  <c r="H2092" i="3"/>
  <c r="H2093" i="3"/>
  <c r="H743" i="3"/>
  <c r="H433" i="3"/>
  <c r="H2094" i="3"/>
  <c r="H510" i="3"/>
  <c r="H744" i="3"/>
  <c r="H335" i="3"/>
  <c r="H1295" i="3"/>
  <c r="H1296" i="3"/>
  <c r="H1297" i="3"/>
  <c r="H745" i="3"/>
  <c r="H2095" i="3"/>
  <c r="H1298" i="3"/>
  <c r="H2096" i="3"/>
  <c r="H511" i="3"/>
  <c r="H582" i="3"/>
  <c r="H2097" i="3"/>
  <c r="H329" i="3"/>
  <c r="H2098" i="3"/>
  <c r="H465" i="3"/>
  <c r="H1299" i="3"/>
  <c r="H350" i="3"/>
  <c r="H2099" i="3"/>
  <c r="H1300" i="3"/>
  <c r="H2100" i="3"/>
  <c r="H2101" i="3"/>
  <c r="H2102" i="3"/>
  <c r="H2103" i="3"/>
  <c r="H2104" i="3"/>
  <c r="H2105" i="3"/>
  <c r="H2106" i="3"/>
  <c r="H2107" i="3"/>
  <c r="H2108" i="3"/>
  <c r="H2109" i="3"/>
  <c r="H2112" i="3"/>
  <c r="H2113" i="3"/>
  <c r="H2114" i="3"/>
  <c r="H2115" i="3"/>
  <c r="H2116" i="3"/>
  <c r="H2124" i="3"/>
  <c r="H2125" i="3"/>
  <c r="H2126" i="3"/>
  <c r="H2130" i="3"/>
  <c r="H2131" i="3"/>
  <c r="H2132" i="3"/>
  <c r="H2133" i="3"/>
  <c r="H2134" i="3"/>
  <c r="H2135" i="3"/>
  <c r="H2136" i="3"/>
  <c r="H2137" i="3"/>
  <c r="H2138" i="3"/>
  <c r="H2140" i="3"/>
  <c r="H2141" i="3"/>
  <c r="H2142" i="3"/>
  <c r="H2143" i="3"/>
  <c r="H2144" i="3"/>
  <c r="H2145" i="3"/>
  <c r="H2146" i="3"/>
  <c r="H2147" i="3"/>
  <c r="H2148" i="3"/>
  <c r="H2149" i="3"/>
  <c r="H583" i="3"/>
  <c r="H584" i="3"/>
  <c r="H746" i="3"/>
  <c r="H747" i="3"/>
  <c r="H748" i="3"/>
  <c r="H749" i="3"/>
  <c r="H247" i="3"/>
  <c r="H248" i="3"/>
  <c r="H297" i="3"/>
  <c r="H306" i="3"/>
  <c r="H307" i="3"/>
  <c r="H313" i="3"/>
  <c r="H379" i="3"/>
  <c r="H394" i="3"/>
  <c r="H409" i="3"/>
  <c r="H410" i="3"/>
  <c r="H411" i="3"/>
  <c r="H434" i="3"/>
  <c r="H466" i="3"/>
  <c r="H467" i="3"/>
  <c r="H512" i="3"/>
  <c r="H513" i="3"/>
  <c r="H514" i="3"/>
  <c r="H515" i="3"/>
  <c r="H257" i="3"/>
  <c r="H258" i="3"/>
  <c r="H259" i="3"/>
  <c r="H322" i="3"/>
  <c r="H272" i="3"/>
  <c r="H273" i="3"/>
  <c r="H435" i="3"/>
  <c r="H436" i="3"/>
  <c r="H437" i="3"/>
  <c r="H468" i="3"/>
  <c r="H469" i="3"/>
  <c r="H470" i="3"/>
  <c r="H516" i="3"/>
  <c r="H517" i="3"/>
  <c r="H585" i="3"/>
  <c r="H2150" i="3"/>
  <c r="H586" i="3"/>
  <c r="H587" i="3"/>
  <c r="H336" i="3"/>
  <c r="H337" i="3"/>
  <c r="H351" i="3"/>
  <c r="H360" i="3"/>
  <c r="H367" i="3"/>
  <c r="H380" i="3"/>
  <c r="H2151" i="3"/>
  <c r="H2152" i="3"/>
  <c r="H588" i="3"/>
  <c r="H589" i="3"/>
  <c r="H590" i="3"/>
  <c r="H591" i="3"/>
  <c r="H592" i="3"/>
  <c r="H593" i="3"/>
  <c r="H518" i="3"/>
  <c r="H519" i="3"/>
  <c r="H520" i="3"/>
  <c r="H521" i="3"/>
  <c r="H594" i="3"/>
  <c r="H2153" i="3"/>
  <c r="H522" i="3"/>
  <c r="H523" i="3"/>
  <c r="H595" i="3"/>
  <c r="H596" i="3"/>
  <c r="H597" i="3"/>
  <c r="H598" i="3"/>
  <c r="H599" i="3"/>
  <c r="H600" i="3"/>
  <c r="H601" i="3"/>
  <c r="H602" i="3"/>
  <c r="H603" i="3"/>
  <c r="H604" i="3"/>
  <c r="H750" i="3"/>
  <c r="H751" i="3"/>
  <c r="H752" i="3"/>
  <c r="H753" i="3"/>
  <c r="H754" i="3"/>
  <c r="H21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2355" i="3"/>
  <c r="H2356" i="3"/>
  <c r="H2357" i="3"/>
  <c r="H2358" i="3"/>
  <c r="H2359" i="3"/>
  <c r="H2360" i="3"/>
  <c r="H2361" i="3"/>
  <c r="H2362" i="3"/>
  <c r="H2363" i="3"/>
  <c r="H2364" i="3"/>
  <c r="H2367" i="3"/>
  <c r="H2368" i="3"/>
  <c r="H2369" i="3"/>
  <c r="H2370" i="3"/>
  <c r="H2371" i="3"/>
  <c r="H2372" i="3"/>
  <c r="H2377" i="3"/>
  <c r="H2378" i="3"/>
  <c r="H2379" i="3"/>
  <c r="H2380" i="3"/>
  <c r="H2381" i="3"/>
  <c r="H2385" i="3"/>
  <c r="H2386" i="3"/>
  <c r="H2387" i="3"/>
  <c r="H2388" i="3"/>
  <c r="H2389" i="3"/>
  <c r="H2390" i="3"/>
  <c r="H2391" i="3"/>
  <c r="H2392" i="3"/>
  <c r="H2393" i="3"/>
  <c r="H2395" i="3"/>
  <c r="H2396" i="3"/>
  <c r="H2397" i="3"/>
  <c r="H2398" i="3"/>
  <c r="H2399" i="3"/>
  <c r="H2400" i="3"/>
  <c r="H2401" i="3"/>
  <c r="H2402" i="3"/>
  <c r="H2403" i="3"/>
  <c r="H2404" i="3"/>
  <c r="H412" i="3"/>
  <c r="H413" i="3"/>
  <c r="H414" i="3"/>
  <c r="H280" i="3"/>
  <c r="H283" i="3"/>
  <c r="H2405" i="3"/>
  <c r="H338" i="3"/>
  <c r="H361" i="3"/>
  <c r="H2406" i="3"/>
  <c r="H352" i="3"/>
  <c r="H438" i="3"/>
  <c r="H439" i="3"/>
  <c r="H440" i="3"/>
  <c r="H441" i="3"/>
  <c r="H471" i="3"/>
  <c r="H285" i="3"/>
  <c r="H286" i="3"/>
  <c r="H298" i="3"/>
  <c r="H287" i="3"/>
  <c r="H314" i="3"/>
  <c r="H323" i="3"/>
  <c r="H381" i="3"/>
  <c r="H2407" i="3"/>
  <c r="H2408" i="3"/>
  <c r="H368" i="3"/>
  <c r="H395" i="3"/>
  <c r="H2409" i="3"/>
  <c r="H230" i="3"/>
  <c r="H231" i="3"/>
  <c r="H232" i="3"/>
  <c r="H233" i="3"/>
  <c r="H234" i="3"/>
  <c r="H235" i="3"/>
  <c r="H299" i="3"/>
  <c r="H300" i="3"/>
  <c r="H301" i="3"/>
  <c r="H339" i="3"/>
  <c r="H340" i="3"/>
  <c r="H341" i="3"/>
  <c r="H382" i="3"/>
  <c r="H1666" i="3"/>
  <c r="H396" i="3"/>
  <c r="H472" i="3"/>
  <c r="H2410" i="3"/>
  <c r="H2411" i="3"/>
  <c r="H236" i="3"/>
  <c r="H237" i="3"/>
  <c r="H605" i="3"/>
  <c r="H2412" i="3"/>
  <c r="H238" i="3"/>
  <c r="H239" i="3"/>
  <c r="H473" i="3"/>
  <c r="H474" i="3"/>
  <c r="H475" i="3"/>
  <c r="H240" i="3"/>
  <c r="H524" i="3"/>
  <c r="H2413" i="3"/>
  <c r="H241" i="3"/>
  <c r="H242" i="3"/>
  <c r="H243" i="3"/>
  <c r="H244" i="3"/>
  <c r="H245" i="3"/>
  <c r="H606" i="3"/>
  <c r="H779" i="3"/>
  <c r="H780" i="3"/>
  <c r="H781" i="3"/>
  <c r="H782" i="3"/>
  <c r="H783" i="3"/>
  <c r="H784" i="3"/>
  <c r="H785" i="3"/>
  <c r="H2414" i="3"/>
  <c r="H241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2416" i="3"/>
  <c r="H2417" i="3"/>
  <c r="H2418" i="3"/>
  <c r="H2419" i="3"/>
  <c r="H2420" i="3"/>
  <c r="H2421" i="3"/>
  <c r="H2422" i="3"/>
  <c r="H2423" i="3"/>
  <c r="H2424" i="3"/>
  <c r="H2428" i="3"/>
  <c r="H2429" i="3"/>
  <c r="H2430" i="3"/>
  <c r="H2431" i="3"/>
  <c r="H2432" i="3"/>
  <c r="H2433" i="3"/>
  <c r="H2434" i="3"/>
  <c r="H2440" i="3"/>
  <c r="H2441" i="3"/>
  <c r="H2442" i="3"/>
  <c r="H2443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476" i="3"/>
  <c r="H246" i="3"/>
  <c r="H525" i="3"/>
  <c r="H526" i="3"/>
  <c r="H527" i="3"/>
  <c r="H528" i="3"/>
  <c r="H266" i="3"/>
  <c r="H277" i="3"/>
  <c r="H291" i="3"/>
  <c r="H268" i="3"/>
  <c r="H269" i="3"/>
  <c r="H302" i="3"/>
  <c r="H369" i="3"/>
  <c r="H370" i="3"/>
  <c r="H383" i="3"/>
  <c r="H384" i="3"/>
  <c r="H415" i="3"/>
  <c r="H2466" i="3"/>
  <c r="H529" i="3"/>
  <c r="H530" i="3"/>
  <c r="H607" i="3"/>
  <c r="H608" i="3"/>
  <c r="H609" i="3"/>
  <c r="H610" i="3"/>
  <c r="H271" i="3"/>
  <c r="H324" i="3"/>
  <c r="H330" i="3"/>
  <c r="H292" i="3"/>
  <c r="H293" i="3"/>
  <c r="H294" i="3"/>
  <c r="H1681" i="3"/>
  <c r="H397" i="3"/>
  <c r="H442" i="3"/>
  <c r="H2467" i="3"/>
  <c r="H342" i="3"/>
  <c r="H443" i="3"/>
  <c r="H611" i="3"/>
  <c r="H612" i="3"/>
  <c r="H613" i="3"/>
  <c r="H614" i="3"/>
  <c r="H615" i="3"/>
  <c r="H616" i="3"/>
  <c r="H315" i="3"/>
  <c r="H316" i="3"/>
  <c r="H317" i="3"/>
  <c r="H343" i="3"/>
  <c r="H353" i="3"/>
  <c r="H354" i="3"/>
  <c r="H531" i="3"/>
  <c r="H2468" i="3"/>
  <c r="H444" i="3"/>
  <c r="H445" i="3"/>
  <c r="H477" i="3"/>
  <c r="H478" i="3"/>
  <c r="H479" i="3"/>
  <c r="H617" i="3"/>
  <c r="H814" i="3"/>
  <c r="H815" i="3"/>
  <c r="H816" i="3"/>
  <c r="H817" i="3"/>
  <c r="H618" i="3"/>
  <c r="H2469" i="3"/>
  <c r="H2470" i="3"/>
  <c r="H818" i="3"/>
  <c r="H619" i="3"/>
  <c r="H2471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1682" i="3"/>
  <c r="H1683" i="3"/>
  <c r="H1684" i="3"/>
  <c r="H2472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2473" i="3"/>
  <c r="H2474" i="3"/>
  <c r="H2475" i="3"/>
  <c r="H2476" i="3"/>
  <c r="H2477" i="3"/>
  <c r="H2478" i="3"/>
  <c r="H2479" i="3"/>
  <c r="H2480" i="3"/>
  <c r="H2481" i="3"/>
  <c r="H2482" i="3"/>
  <c r="H2490" i="3"/>
  <c r="H2499" i="3"/>
  <c r="H2506" i="3"/>
  <c r="H2508" i="3"/>
  <c r="H2511" i="3"/>
  <c r="H2513" i="3"/>
  <c r="H2514" i="3"/>
  <c r="H2515" i="3"/>
  <c r="H2516" i="3"/>
  <c r="H2517" i="3"/>
  <c r="H2518" i="3"/>
  <c r="H2519" i="3"/>
  <c r="H2520" i="3"/>
  <c r="H2521" i="3"/>
  <c r="H2522" i="3"/>
  <c r="H532" i="3"/>
  <c r="H533" i="3"/>
  <c r="H534" i="3"/>
  <c r="H535" i="3"/>
  <c r="H536" i="3"/>
  <c r="H254" i="3"/>
  <c r="H255" i="3"/>
  <c r="H256" i="3"/>
  <c r="H303" i="3"/>
  <c r="H308" i="3"/>
  <c r="H385" i="3"/>
  <c r="H386" i="3"/>
  <c r="H398" i="3"/>
  <c r="H416" i="3"/>
  <c r="H417" i="3"/>
  <c r="H418" i="3"/>
  <c r="H537" i="3"/>
  <c r="H538" i="3"/>
  <c r="H620" i="3"/>
  <c r="H2523" i="3"/>
  <c r="H621" i="3"/>
  <c r="H263" i="3"/>
  <c r="H264" i="3"/>
  <c r="H344" i="3"/>
  <c r="H278" i="3"/>
  <c r="H2524" i="3"/>
  <c r="H355" i="3"/>
  <c r="H446" i="3"/>
  <c r="H447" i="3"/>
  <c r="H448" i="3"/>
  <c r="H449" i="3"/>
  <c r="H480" i="3"/>
  <c r="H481" i="3"/>
  <c r="H622" i="3"/>
  <c r="H623" i="3"/>
  <c r="H624" i="3"/>
  <c r="H625" i="3"/>
  <c r="H626" i="3"/>
  <c r="H627" i="3"/>
  <c r="H325" i="3"/>
  <c r="H326" i="3"/>
  <c r="H362" i="3"/>
  <c r="H371" i="3"/>
  <c r="H331" i="3"/>
  <c r="H2525" i="3"/>
  <c r="H482" i="3"/>
  <c r="H483" i="3"/>
  <c r="H484" i="3"/>
  <c r="H628" i="3"/>
  <c r="H629" i="3"/>
  <c r="H630" i="3"/>
  <c r="H631" i="3"/>
  <c r="H847" i="3"/>
  <c r="H848" i="3"/>
  <c r="H849" i="3"/>
  <c r="H850" i="3"/>
  <c r="H851" i="3"/>
  <c r="H852" i="3"/>
  <c r="H2526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2527" i="3"/>
  <c r="H2529" i="3"/>
  <c r="H2538" i="3"/>
  <c r="H2539" i="3"/>
  <c r="H2560" i="3"/>
  <c r="H2564" i="3"/>
  <c r="H2566" i="3"/>
  <c r="H2567" i="3"/>
  <c r="H2568" i="3"/>
  <c r="H2569" i="3"/>
  <c r="H2571" i="3"/>
  <c r="H2576" i="3"/>
  <c r="H539" i="3"/>
  <c r="H540" i="3"/>
  <c r="H541" i="3"/>
  <c r="H542" i="3"/>
  <c r="H543" i="3"/>
  <c r="H544" i="3"/>
  <c r="H249" i="3"/>
  <c r="H250" i="3"/>
  <c r="H251" i="3"/>
  <c r="H304" i="3"/>
  <c r="H274" i="3"/>
  <c r="H318" i="3"/>
  <c r="H399" i="3"/>
  <c r="H400" i="3"/>
  <c r="H419" i="3"/>
  <c r="H420" i="3"/>
  <c r="H421" i="3"/>
  <c r="H450" i="3"/>
  <c r="H545" i="3"/>
  <c r="H632" i="3"/>
  <c r="H633" i="3"/>
  <c r="H634" i="3"/>
  <c r="H635" i="3"/>
  <c r="H636" i="3"/>
  <c r="H260" i="3"/>
  <c r="H261" i="3"/>
  <c r="H327" i="3"/>
  <c r="H345" i="3"/>
  <c r="H309" i="3"/>
  <c r="H310" i="3"/>
  <c r="H451" i="3"/>
  <c r="H452" i="3"/>
  <c r="H453" i="3"/>
  <c r="H485" i="3"/>
  <c r="H486" i="3"/>
  <c r="H2577" i="3"/>
  <c r="H637" i="3"/>
  <c r="H638" i="3"/>
  <c r="H639" i="3"/>
  <c r="H640" i="3"/>
  <c r="H641" i="3"/>
  <c r="H642" i="3"/>
  <c r="H346" i="3"/>
  <c r="H356" i="3"/>
  <c r="H363" i="3"/>
  <c r="H372" i="3"/>
  <c r="H387" i="3"/>
  <c r="H388" i="3"/>
  <c r="H487" i="3"/>
  <c r="H488" i="3"/>
  <c r="H489" i="3"/>
  <c r="H881" i="3"/>
  <c r="H643" i="3"/>
  <c r="H2578" i="3"/>
  <c r="H882" i="3"/>
  <c r="H883" i="3"/>
  <c r="H884" i="3"/>
  <c r="H885" i="3"/>
  <c r="H886" i="3"/>
  <c r="H887" i="3"/>
  <c r="H888" i="3"/>
  <c r="H2579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1731" i="3"/>
  <c r="H2580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2" i="3"/>
  <c r="K64" i="2" l="1"/>
  <c r="L64" i="2" s="1"/>
  <c r="K60" i="2"/>
  <c r="L60" i="2" s="1"/>
  <c r="K61" i="2"/>
  <c r="L61" i="2" s="1"/>
  <c r="K59" i="2"/>
  <c r="L59" i="2" s="1"/>
  <c r="K62" i="2"/>
  <c r="L62" i="2" s="1"/>
  <c r="K63" i="2"/>
  <c r="L63" i="2" s="1"/>
  <c r="K58" i="2"/>
  <c r="L58" i="2" s="1"/>
  <c r="L55" i="1"/>
  <c r="M55" i="1" s="1"/>
  <c r="L62" i="1"/>
  <c r="M62" i="1" s="1"/>
  <c r="L59" i="1"/>
  <c r="M59" i="1" s="1"/>
  <c r="L56" i="1"/>
  <c r="M56" i="1" s="1"/>
  <c r="L58" i="1" a="1"/>
  <c r="L58" i="1" s="1"/>
  <c r="M58" i="1" s="1"/>
  <c r="L61" i="1"/>
  <c r="M61" i="1" s="1"/>
  <c r="L60" i="1"/>
  <c r="M60" i="1" s="1"/>
  <c r="U12" i="2"/>
  <c r="K57" i="2" s="1"/>
  <c r="L57" i="2" s="1"/>
  <c r="A114" i="3"/>
  <c r="H114" i="3" s="1"/>
  <c r="A115" i="3"/>
  <c r="H115" i="3" s="1"/>
  <c r="A122" i="3"/>
  <c r="H122" i="3" s="1"/>
  <c r="A123" i="3"/>
  <c r="H123" i="3" s="1"/>
  <c r="A124" i="3"/>
  <c r="H124" i="3" s="1"/>
  <c r="A125" i="3"/>
  <c r="H125" i="3" s="1"/>
  <c r="A126" i="3"/>
  <c r="H126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900" i="3"/>
  <c r="G1901" i="3"/>
  <c r="G1902" i="3"/>
  <c r="G1903" i="3"/>
  <c r="G1904" i="3"/>
  <c r="G1905" i="3"/>
  <c r="G1906" i="3"/>
  <c r="G1907" i="3"/>
  <c r="G1908" i="3"/>
  <c r="G1909" i="3"/>
  <c r="G1910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454" i="3"/>
  <c r="G455" i="3"/>
  <c r="G456" i="3"/>
  <c r="G279" i="3"/>
  <c r="G1968" i="3"/>
  <c r="G281" i="3"/>
  <c r="G457" i="3"/>
  <c r="G1969" i="3"/>
  <c r="G401" i="3"/>
  <c r="G402" i="3"/>
  <c r="G403" i="3"/>
  <c r="G422" i="3"/>
  <c r="G136" i="3"/>
  <c r="G423" i="3"/>
  <c r="G424" i="3"/>
  <c r="G282" i="3"/>
  <c r="G1970" i="3"/>
  <c r="G288" i="3"/>
  <c r="G284" i="3"/>
  <c r="G1971" i="3"/>
  <c r="G311" i="3"/>
  <c r="G373" i="3"/>
  <c r="G374" i="3"/>
  <c r="G1972" i="3"/>
  <c r="G389" i="3"/>
  <c r="G390" i="3"/>
  <c r="G1973" i="3"/>
  <c r="G458" i="3"/>
  <c r="G490" i="3"/>
  <c r="G491" i="3"/>
  <c r="G492" i="3"/>
  <c r="G493" i="3"/>
  <c r="G494" i="3"/>
  <c r="G319" i="3"/>
  <c r="G332" i="3"/>
  <c r="G333" i="3"/>
  <c r="G347" i="3"/>
  <c r="G357" i="3"/>
  <c r="G364" i="3"/>
  <c r="G495" i="3"/>
  <c r="G496" i="3"/>
  <c r="G546" i="3"/>
  <c r="G1974" i="3"/>
  <c r="G547" i="3"/>
  <c r="G548" i="3"/>
  <c r="G549" i="3"/>
  <c r="G550" i="3"/>
  <c r="G551" i="3"/>
  <c r="G552" i="3"/>
  <c r="G553" i="3"/>
  <c r="G554" i="3"/>
  <c r="G555" i="3"/>
  <c r="G644" i="3"/>
  <c r="G556" i="3"/>
  <c r="G557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391" i="3"/>
  <c r="G404" i="3"/>
  <c r="G405" i="3"/>
  <c r="G392" i="3"/>
  <c r="G2025" i="3"/>
  <c r="G2026" i="3"/>
  <c r="G265" i="3"/>
  <c r="G295" i="3"/>
  <c r="G267" i="3"/>
  <c r="G2027" i="3"/>
  <c r="G320" i="3"/>
  <c r="G275" i="3"/>
  <c r="G334" i="3"/>
  <c r="G348" i="3"/>
  <c r="G365" i="3"/>
  <c r="G375" i="3"/>
  <c r="G2028" i="3"/>
  <c r="G2029" i="3"/>
  <c r="G406" i="3"/>
  <c r="G2030" i="3"/>
  <c r="G2031" i="3"/>
  <c r="G425" i="3"/>
  <c r="G426" i="3"/>
  <c r="G427" i="3"/>
  <c r="G270" i="3"/>
  <c r="G289" i="3"/>
  <c r="G328" i="3"/>
  <c r="G428" i="3"/>
  <c r="G290" i="3"/>
  <c r="G2032" i="3"/>
  <c r="G376" i="3"/>
  <c r="G2033" i="3"/>
  <c r="G2034" i="3"/>
  <c r="G137" i="3"/>
  <c r="G138" i="3"/>
  <c r="G139" i="3"/>
  <c r="G140" i="3"/>
  <c r="G141" i="3"/>
  <c r="G142" i="3"/>
  <c r="G143" i="3"/>
  <c r="G459" i="3"/>
  <c r="G460" i="3"/>
  <c r="G312" i="3"/>
  <c r="G2035" i="3"/>
  <c r="G461" i="3"/>
  <c r="G358" i="3"/>
  <c r="G2036" i="3"/>
  <c r="G2037" i="3"/>
  <c r="G144" i="3"/>
  <c r="G145" i="3"/>
  <c r="G146" i="3"/>
  <c r="G147" i="3"/>
  <c r="G148" i="3"/>
  <c r="G149" i="3"/>
  <c r="G497" i="3"/>
  <c r="G498" i="3"/>
  <c r="G499" i="3"/>
  <c r="G500" i="3"/>
  <c r="G501" i="3"/>
  <c r="G502" i="3"/>
  <c r="G150" i="3"/>
  <c r="G151" i="3"/>
  <c r="G152" i="3"/>
  <c r="G503" i="3"/>
  <c r="G2038" i="3"/>
  <c r="G2039" i="3"/>
  <c r="G558" i="3"/>
  <c r="G2040" i="3"/>
  <c r="G2041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1273" i="3"/>
  <c r="G2042" i="3"/>
  <c r="G711" i="3"/>
  <c r="G712" i="3"/>
  <c r="G1274" i="3"/>
  <c r="G1275" i="3"/>
  <c r="G1276" i="3"/>
  <c r="G1277" i="3"/>
  <c r="G1278" i="3"/>
  <c r="G1279" i="3"/>
  <c r="G1280" i="3"/>
  <c r="G1281" i="3"/>
  <c r="G1282" i="3"/>
  <c r="G505" i="3"/>
  <c r="G507" i="3"/>
  <c r="G509" i="3"/>
  <c r="G506" i="3"/>
  <c r="G504" i="3"/>
  <c r="G252" i="3"/>
  <c r="G253" i="3"/>
  <c r="G2084" i="3"/>
  <c r="G296" i="3"/>
  <c r="G305" i="3"/>
  <c r="G377" i="3"/>
  <c r="G393" i="3"/>
  <c r="G407" i="3"/>
  <c r="G2048" i="3"/>
  <c r="G408" i="3"/>
  <c r="G465" i="3"/>
  <c r="G462" i="3"/>
  <c r="G464" i="3"/>
  <c r="G463" i="3"/>
  <c r="G511" i="3"/>
  <c r="G508" i="3"/>
  <c r="G262" i="3"/>
  <c r="G2081" i="3"/>
  <c r="G321" i="3"/>
  <c r="G276" i="3"/>
  <c r="G2088" i="3"/>
  <c r="G329" i="3"/>
  <c r="G433" i="3"/>
  <c r="G2094" i="3"/>
  <c r="G432" i="3"/>
  <c r="G431" i="3"/>
  <c r="G430" i="3"/>
  <c r="G429" i="3"/>
  <c r="G510" i="3"/>
  <c r="G582" i="3"/>
  <c r="G2097" i="3"/>
  <c r="G571" i="3"/>
  <c r="G574" i="3"/>
  <c r="G572" i="3"/>
  <c r="G335" i="3"/>
  <c r="G350" i="3"/>
  <c r="G349" i="3"/>
  <c r="G359" i="3"/>
  <c r="G366" i="3"/>
  <c r="G378" i="3"/>
  <c r="G578" i="3"/>
  <c r="G575" i="3"/>
  <c r="G581" i="3"/>
  <c r="G580" i="3"/>
  <c r="G576" i="3"/>
  <c r="G579" i="3"/>
  <c r="G573" i="3"/>
  <c r="G577" i="3"/>
  <c r="G730" i="3"/>
  <c r="G741" i="3"/>
  <c r="G731" i="3"/>
  <c r="G745" i="3"/>
  <c r="G732" i="3"/>
  <c r="G716" i="3"/>
  <c r="G2051" i="3"/>
  <c r="G718" i="3"/>
  <c r="G737" i="3"/>
  <c r="G740" i="3"/>
  <c r="G733" i="3"/>
  <c r="G744" i="3"/>
  <c r="G734" i="3"/>
  <c r="G720" i="3"/>
  <c r="G726" i="3"/>
  <c r="G721" i="3"/>
  <c r="G728" i="3"/>
  <c r="G717" i="3"/>
  <c r="G715" i="3"/>
  <c r="G719" i="3"/>
  <c r="G714" i="3"/>
  <c r="G743" i="3"/>
  <c r="G742" i="3"/>
  <c r="G739" i="3"/>
  <c r="G735" i="3"/>
  <c r="G736" i="3"/>
  <c r="G723" i="3"/>
  <c r="G722" i="3"/>
  <c r="G724" i="3"/>
  <c r="G727" i="3"/>
  <c r="G729" i="3"/>
  <c r="G738" i="3"/>
  <c r="G713" i="3"/>
  <c r="G725" i="3"/>
  <c r="G1290" i="3"/>
  <c r="G1295" i="3"/>
  <c r="G1285" i="3"/>
  <c r="G1284" i="3"/>
  <c r="G1283" i="3"/>
  <c r="G1292" i="3"/>
  <c r="G1293" i="3"/>
  <c r="G1298" i="3"/>
  <c r="G1291" i="3"/>
  <c r="G1299" i="3"/>
  <c r="G1289" i="3"/>
  <c r="G1287" i="3"/>
  <c r="G1297" i="3"/>
  <c r="G1294" i="3"/>
  <c r="G1296" i="3"/>
  <c r="G1286" i="3"/>
  <c r="G1288" i="3"/>
  <c r="G583" i="3"/>
  <c r="G584" i="3"/>
  <c r="G746" i="3"/>
  <c r="G747" i="3"/>
  <c r="G748" i="3"/>
  <c r="G749" i="3"/>
  <c r="G247" i="3"/>
  <c r="G248" i="3"/>
  <c r="G297" i="3"/>
  <c r="G306" i="3"/>
  <c r="G307" i="3"/>
  <c r="G313" i="3"/>
  <c r="G379" i="3"/>
  <c r="G394" i="3"/>
  <c r="G409" i="3"/>
  <c r="G410" i="3"/>
  <c r="G411" i="3"/>
  <c r="G434" i="3"/>
  <c r="G466" i="3"/>
  <c r="G467" i="3"/>
  <c r="G512" i="3"/>
  <c r="G513" i="3"/>
  <c r="G514" i="3"/>
  <c r="G515" i="3"/>
  <c r="G257" i="3"/>
  <c r="G258" i="3"/>
  <c r="G259" i="3"/>
  <c r="G322" i="3"/>
  <c r="G272" i="3"/>
  <c r="G273" i="3"/>
  <c r="G435" i="3"/>
  <c r="G436" i="3"/>
  <c r="G437" i="3"/>
  <c r="G468" i="3"/>
  <c r="G469" i="3"/>
  <c r="G470" i="3"/>
  <c r="G516" i="3"/>
  <c r="G517" i="3"/>
  <c r="G585" i="3"/>
  <c r="G2150" i="3"/>
  <c r="G586" i="3"/>
  <c r="G587" i="3"/>
  <c r="G336" i="3"/>
  <c r="G337" i="3"/>
  <c r="G351" i="3"/>
  <c r="G360" i="3"/>
  <c r="G367" i="3"/>
  <c r="G380" i="3"/>
  <c r="G2151" i="3"/>
  <c r="G2152" i="3"/>
  <c r="G588" i="3"/>
  <c r="G589" i="3"/>
  <c r="G590" i="3"/>
  <c r="G591" i="3"/>
  <c r="G592" i="3"/>
  <c r="G593" i="3"/>
  <c r="G518" i="3"/>
  <c r="G519" i="3"/>
  <c r="G520" i="3"/>
  <c r="G521" i="3"/>
  <c r="G594" i="3"/>
  <c r="G2153" i="3"/>
  <c r="G522" i="3"/>
  <c r="G523" i="3"/>
  <c r="G595" i="3"/>
  <c r="G596" i="3"/>
  <c r="G597" i="3"/>
  <c r="G598" i="3"/>
  <c r="G599" i="3"/>
  <c r="G600" i="3"/>
  <c r="G601" i="3"/>
  <c r="G602" i="3"/>
  <c r="G603" i="3"/>
  <c r="G604" i="3"/>
  <c r="G750" i="3"/>
  <c r="G751" i="3"/>
  <c r="G752" i="3"/>
  <c r="G753" i="3"/>
  <c r="G754" i="3"/>
  <c r="G21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412" i="3"/>
  <c r="G413" i="3"/>
  <c r="G414" i="3"/>
  <c r="G280" i="3"/>
  <c r="G283" i="3"/>
  <c r="G2405" i="3"/>
  <c r="G338" i="3"/>
  <c r="G361" i="3"/>
  <c r="G2406" i="3"/>
  <c r="G352" i="3"/>
  <c r="G438" i="3"/>
  <c r="G439" i="3"/>
  <c r="G440" i="3"/>
  <c r="G441" i="3"/>
  <c r="G471" i="3"/>
  <c r="G285" i="3"/>
  <c r="G286" i="3"/>
  <c r="G298" i="3"/>
  <c r="G287" i="3"/>
  <c r="G314" i="3"/>
  <c r="G323" i="3"/>
  <c r="G381" i="3"/>
  <c r="G2407" i="3"/>
  <c r="G2408" i="3"/>
  <c r="G368" i="3"/>
  <c r="G395" i="3"/>
  <c r="G2409" i="3"/>
  <c r="G230" i="3"/>
  <c r="G231" i="3"/>
  <c r="G232" i="3"/>
  <c r="G233" i="3"/>
  <c r="G234" i="3"/>
  <c r="G235" i="3"/>
  <c r="G299" i="3"/>
  <c r="G300" i="3"/>
  <c r="G301" i="3"/>
  <c r="G339" i="3"/>
  <c r="G340" i="3"/>
  <c r="G341" i="3"/>
  <c r="G382" i="3"/>
  <c r="G1666" i="3"/>
  <c r="G396" i="3"/>
  <c r="G472" i="3"/>
  <c r="G2410" i="3"/>
  <c r="G2411" i="3"/>
  <c r="G236" i="3"/>
  <c r="G237" i="3"/>
  <c r="G605" i="3"/>
  <c r="G2412" i="3"/>
  <c r="G238" i="3"/>
  <c r="G239" i="3"/>
  <c r="G473" i="3"/>
  <c r="G474" i="3"/>
  <c r="G475" i="3"/>
  <c r="G240" i="3"/>
  <c r="G524" i="3"/>
  <c r="G2413" i="3"/>
  <c r="G241" i="3"/>
  <c r="G242" i="3"/>
  <c r="G243" i="3"/>
  <c r="G244" i="3"/>
  <c r="G245" i="3"/>
  <c r="G606" i="3"/>
  <c r="G779" i="3"/>
  <c r="G780" i="3"/>
  <c r="G781" i="3"/>
  <c r="G782" i="3"/>
  <c r="G783" i="3"/>
  <c r="G784" i="3"/>
  <c r="G785" i="3"/>
  <c r="G2414" i="3"/>
  <c r="G241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476" i="3"/>
  <c r="G246" i="3"/>
  <c r="G525" i="3"/>
  <c r="G526" i="3"/>
  <c r="G527" i="3"/>
  <c r="G528" i="3"/>
  <c r="G266" i="3"/>
  <c r="G277" i="3"/>
  <c r="G291" i="3"/>
  <c r="G268" i="3"/>
  <c r="G269" i="3"/>
  <c r="G302" i="3"/>
  <c r="G369" i="3"/>
  <c r="G370" i="3"/>
  <c r="G383" i="3"/>
  <c r="G384" i="3"/>
  <c r="G415" i="3"/>
  <c r="G2466" i="3"/>
  <c r="G529" i="3"/>
  <c r="G530" i="3"/>
  <c r="G607" i="3"/>
  <c r="G608" i="3"/>
  <c r="G609" i="3"/>
  <c r="G610" i="3"/>
  <c r="G271" i="3"/>
  <c r="G324" i="3"/>
  <c r="G330" i="3"/>
  <c r="G292" i="3"/>
  <c r="G293" i="3"/>
  <c r="G294" i="3"/>
  <c r="G1681" i="3"/>
  <c r="G397" i="3"/>
  <c r="G442" i="3"/>
  <c r="G2467" i="3"/>
  <c r="G342" i="3"/>
  <c r="G443" i="3"/>
  <c r="G611" i="3"/>
  <c r="G612" i="3"/>
  <c r="G613" i="3"/>
  <c r="G614" i="3"/>
  <c r="G615" i="3"/>
  <c r="G616" i="3"/>
  <c r="G315" i="3"/>
  <c r="G316" i="3"/>
  <c r="G317" i="3"/>
  <c r="G343" i="3"/>
  <c r="G353" i="3"/>
  <c r="G354" i="3"/>
  <c r="G531" i="3"/>
  <c r="G2468" i="3"/>
  <c r="G444" i="3"/>
  <c r="G445" i="3"/>
  <c r="G477" i="3"/>
  <c r="G478" i="3"/>
  <c r="G479" i="3"/>
  <c r="G617" i="3"/>
  <c r="G814" i="3"/>
  <c r="G815" i="3"/>
  <c r="G816" i="3"/>
  <c r="G817" i="3"/>
  <c r="G618" i="3"/>
  <c r="G2469" i="3"/>
  <c r="G2470" i="3"/>
  <c r="G818" i="3"/>
  <c r="G619" i="3"/>
  <c r="G2471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1682" i="3"/>
  <c r="G1683" i="3"/>
  <c r="G1684" i="3"/>
  <c r="G2472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532" i="3"/>
  <c r="G533" i="3"/>
  <c r="G534" i="3"/>
  <c r="G535" i="3"/>
  <c r="G536" i="3"/>
  <c r="G254" i="3"/>
  <c r="G255" i="3"/>
  <c r="G256" i="3"/>
  <c r="G303" i="3"/>
  <c r="G308" i="3"/>
  <c r="G385" i="3"/>
  <c r="G386" i="3"/>
  <c r="G398" i="3"/>
  <c r="G416" i="3"/>
  <c r="G417" i="3"/>
  <c r="G418" i="3"/>
  <c r="G537" i="3"/>
  <c r="G538" i="3"/>
  <c r="G620" i="3"/>
  <c r="G2523" i="3"/>
  <c r="G621" i="3"/>
  <c r="G263" i="3"/>
  <c r="G264" i="3"/>
  <c r="G344" i="3"/>
  <c r="G278" i="3"/>
  <c r="G2524" i="3"/>
  <c r="G355" i="3"/>
  <c r="G446" i="3"/>
  <c r="G447" i="3"/>
  <c r="G448" i="3"/>
  <c r="G449" i="3"/>
  <c r="G480" i="3"/>
  <c r="G481" i="3"/>
  <c r="G622" i="3"/>
  <c r="G623" i="3"/>
  <c r="G624" i="3"/>
  <c r="G625" i="3"/>
  <c r="G626" i="3"/>
  <c r="G627" i="3"/>
  <c r="G325" i="3"/>
  <c r="G326" i="3"/>
  <c r="G362" i="3"/>
  <c r="G371" i="3"/>
  <c r="G331" i="3"/>
  <c r="G2525" i="3"/>
  <c r="G482" i="3"/>
  <c r="G483" i="3"/>
  <c r="G484" i="3"/>
  <c r="G628" i="3"/>
  <c r="G629" i="3"/>
  <c r="G630" i="3"/>
  <c r="G631" i="3"/>
  <c r="G847" i="3"/>
  <c r="G848" i="3"/>
  <c r="G849" i="3"/>
  <c r="G850" i="3"/>
  <c r="G851" i="3"/>
  <c r="G852" i="3"/>
  <c r="G2526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539" i="3"/>
  <c r="G540" i="3"/>
  <c r="G541" i="3"/>
  <c r="G542" i="3"/>
  <c r="G543" i="3"/>
  <c r="G544" i="3"/>
  <c r="G249" i="3"/>
  <c r="G250" i="3"/>
  <c r="G251" i="3"/>
  <c r="G304" i="3"/>
  <c r="G274" i="3"/>
  <c r="G318" i="3"/>
  <c r="G399" i="3"/>
  <c r="G400" i="3"/>
  <c r="G419" i="3"/>
  <c r="G420" i="3"/>
  <c r="G421" i="3"/>
  <c r="G450" i="3"/>
  <c r="G545" i="3"/>
  <c r="G632" i="3"/>
  <c r="G633" i="3"/>
  <c r="G634" i="3"/>
  <c r="G635" i="3"/>
  <c r="G636" i="3"/>
  <c r="G260" i="3"/>
  <c r="G261" i="3"/>
  <c r="G327" i="3"/>
  <c r="G345" i="3"/>
  <c r="G309" i="3"/>
  <c r="G310" i="3"/>
  <c r="G451" i="3"/>
  <c r="G452" i="3"/>
  <c r="G453" i="3"/>
  <c r="G485" i="3"/>
  <c r="G486" i="3"/>
  <c r="G2577" i="3"/>
  <c r="G637" i="3"/>
  <c r="G638" i="3"/>
  <c r="G639" i="3"/>
  <c r="G640" i="3"/>
  <c r="G641" i="3"/>
  <c r="G642" i="3"/>
  <c r="G346" i="3"/>
  <c r="G356" i="3"/>
  <c r="G363" i="3"/>
  <c r="G372" i="3"/>
  <c r="G387" i="3"/>
  <c r="G388" i="3"/>
  <c r="G487" i="3"/>
  <c r="G488" i="3"/>
  <c r="G489" i="3"/>
  <c r="G881" i="3"/>
  <c r="G643" i="3"/>
  <c r="G2578" i="3"/>
  <c r="G882" i="3"/>
  <c r="G883" i="3"/>
  <c r="G884" i="3"/>
  <c r="G885" i="3"/>
  <c r="G886" i="3"/>
  <c r="G887" i="3"/>
  <c r="G888" i="3"/>
  <c r="G2579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1731" i="3"/>
  <c r="G2580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2" i="3"/>
  <c r="L66" i="2" l="1"/>
  <c r="M57" i="1"/>
  <c r="M64" i="1" s="1"/>
  <c r="L64" i="1"/>
  <c r="A1750" i="3"/>
  <c r="H1750" i="3" s="1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30" i="3"/>
  <c r="H130" i="3" s="1"/>
  <c r="A131" i="3"/>
  <c r="H131" i="3" s="1"/>
  <c r="A133" i="3"/>
  <c r="H133" i="3" s="1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75" i="3"/>
  <c r="G1976" i="3"/>
  <c r="G1977" i="3"/>
  <c r="G1978" i="3"/>
  <c r="G1979" i="3"/>
  <c r="G1980" i="3"/>
  <c r="G1981" i="3"/>
  <c r="G1982" i="3"/>
  <c r="A1983" i="3"/>
  <c r="A1984" i="3"/>
  <c r="A1985" i="3"/>
  <c r="A1986" i="3"/>
  <c r="A1987" i="3"/>
  <c r="A1988" i="3"/>
  <c r="G1989" i="3"/>
  <c r="G1990" i="3"/>
  <c r="G1991" i="3"/>
  <c r="G1992" i="3"/>
  <c r="G1993" i="3"/>
  <c r="G1994" i="3"/>
  <c r="A1995" i="3"/>
  <c r="A1996" i="3"/>
  <c r="A1997" i="3"/>
  <c r="A1998" i="3"/>
  <c r="G1999" i="3"/>
  <c r="G2000" i="3"/>
  <c r="G2001" i="3"/>
  <c r="G2002" i="3"/>
  <c r="A2003" i="3"/>
  <c r="A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53" i="3"/>
  <c r="G2046" i="3"/>
  <c r="G2080" i="3"/>
  <c r="G2052" i="3"/>
  <c r="G2099" i="3"/>
  <c r="G2083" i="3"/>
  <c r="G2057" i="3"/>
  <c r="G2066" i="3"/>
  <c r="G2059" i="3"/>
  <c r="G2075" i="3"/>
  <c r="A2045" i="3"/>
  <c r="A2050" i="3"/>
  <c r="G2070" i="3"/>
  <c r="G2071" i="3"/>
  <c r="G2096" i="3"/>
  <c r="G2056" i="3"/>
  <c r="G2091" i="3"/>
  <c r="A2049" i="3"/>
  <c r="A2074" i="3"/>
  <c r="A2090" i="3"/>
  <c r="A2089" i="3"/>
  <c r="A2064" i="3"/>
  <c r="A2079" i="3"/>
  <c r="G2058" i="3"/>
  <c r="G2098" i="3"/>
  <c r="G2068" i="3"/>
  <c r="A2086" i="3"/>
  <c r="A2054" i="3"/>
  <c r="A2067" i="3"/>
  <c r="A2069" i="3"/>
  <c r="G2065" i="3"/>
  <c r="G2093" i="3"/>
  <c r="G2061" i="3"/>
  <c r="G2062" i="3"/>
  <c r="G2092" i="3"/>
  <c r="G2085" i="3"/>
  <c r="G2043" i="3"/>
  <c r="G2082" i="3"/>
  <c r="G2055" i="3"/>
  <c r="G2077" i="3"/>
  <c r="G2076" i="3"/>
  <c r="G2060" i="3"/>
  <c r="G2044" i="3"/>
  <c r="G2073" i="3"/>
  <c r="G2063" i="3"/>
  <c r="G2087" i="3"/>
  <c r="G2072" i="3"/>
  <c r="G2078" i="3"/>
  <c r="G2047" i="3"/>
  <c r="G2095" i="3"/>
  <c r="G2100" i="3"/>
  <c r="G2101" i="3"/>
  <c r="G2102" i="3"/>
  <c r="G2103" i="3"/>
  <c r="G2104" i="3"/>
  <c r="G2105" i="3"/>
  <c r="G2106" i="3"/>
  <c r="G2107" i="3"/>
  <c r="G2108" i="3"/>
  <c r="G2109" i="3"/>
  <c r="A2110" i="3"/>
  <c r="A2111" i="3"/>
  <c r="G2112" i="3"/>
  <c r="G2113" i="3"/>
  <c r="G2114" i="3"/>
  <c r="G2115" i="3"/>
  <c r="G2116" i="3"/>
  <c r="A2117" i="3"/>
  <c r="A2118" i="3"/>
  <c r="A2119" i="3"/>
  <c r="A2120" i="3"/>
  <c r="A2121" i="3"/>
  <c r="A2122" i="3"/>
  <c r="A2123" i="3"/>
  <c r="G2124" i="3"/>
  <c r="G2125" i="3"/>
  <c r="G2126" i="3"/>
  <c r="A2127" i="3"/>
  <c r="A2128" i="3"/>
  <c r="A2129" i="3"/>
  <c r="G2130" i="3"/>
  <c r="G2131" i="3"/>
  <c r="G2132" i="3"/>
  <c r="G2133" i="3"/>
  <c r="G2134" i="3"/>
  <c r="G2135" i="3"/>
  <c r="G2136" i="3"/>
  <c r="G2137" i="3"/>
  <c r="G2138" i="3"/>
  <c r="A2139" i="3"/>
  <c r="G2140" i="3"/>
  <c r="G2141" i="3"/>
  <c r="G2142" i="3"/>
  <c r="G2143" i="3"/>
  <c r="G2144" i="3"/>
  <c r="G2145" i="3"/>
  <c r="G2146" i="3"/>
  <c r="G2147" i="3"/>
  <c r="G2148" i="3"/>
  <c r="G2149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G2355" i="3"/>
  <c r="G2356" i="3"/>
  <c r="G2357" i="3"/>
  <c r="G2358" i="3"/>
  <c r="G2359" i="3"/>
  <c r="G2360" i="3"/>
  <c r="G2361" i="3"/>
  <c r="G2362" i="3"/>
  <c r="G2363" i="3"/>
  <c r="G2364" i="3"/>
  <c r="A2365" i="3"/>
  <c r="A2366" i="3"/>
  <c r="G2367" i="3"/>
  <c r="G2368" i="3"/>
  <c r="G2369" i="3"/>
  <c r="G2370" i="3"/>
  <c r="G2371" i="3"/>
  <c r="G2372" i="3"/>
  <c r="A2373" i="3"/>
  <c r="A2374" i="3"/>
  <c r="A2375" i="3"/>
  <c r="A2376" i="3"/>
  <c r="G2377" i="3"/>
  <c r="G2378" i="3"/>
  <c r="G2379" i="3"/>
  <c r="G2380" i="3"/>
  <c r="G2381" i="3"/>
  <c r="A2382" i="3"/>
  <c r="A2383" i="3"/>
  <c r="A2384" i="3"/>
  <c r="G2385" i="3"/>
  <c r="G2386" i="3"/>
  <c r="G2387" i="3"/>
  <c r="G2388" i="3"/>
  <c r="G2389" i="3"/>
  <c r="G2390" i="3"/>
  <c r="G2391" i="3"/>
  <c r="G2392" i="3"/>
  <c r="G2393" i="3"/>
  <c r="A2394" i="3"/>
  <c r="G2395" i="3"/>
  <c r="G2396" i="3"/>
  <c r="G2397" i="3"/>
  <c r="G2398" i="3"/>
  <c r="G2399" i="3"/>
  <c r="G2400" i="3"/>
  <c r="G2401" i="3"/>
  <c r="G2402" i="3"/>
  <c r="G2403" i="3"/>
  <c r="G2404" i="3"/>
  <c r="G2416" i="3"/>
  <c r="G2417" i="3"/>
  <c r="G2418" i="3"/>
  <c r="G2419" i="3"/>
  <c r="G2420" i="3"/>
  <c r="G2421" i="3"/>
  <c r="G2422" i="3"/>
  <c r="G2423" i="3"/>
  <c r="G2424" i="3"/>
  <c r="A2425" i="3"/>
  <c r="A2426" i="3"/>
  <c r="A2427" i="3"/>
  <c r="G2428" i="3"/>
  <c r="G2429" i="3"/>
  <c r="G2430" i="3"/>
  <c r="G2431" i="3"/>
  <c r="G2432" i="3"/>
  <c r="G2433" i="3"/>
  <c r="G2434" i="3"/>
  <c r="A2435" i="3"/>
  <c r="A2436" i="3"/>
  <c r="A2437" i="3"/>
  <c r="A2438" i="3"/>
  <c r="A2439" i="3"/>
  <c r="G2440" i="3"/>
  <c r="G2441" i="3"/>
  <c r="G2442" i="3"/>
  <c r="G2443" i="3"/>
  <c r="A2444" i="3"/>
  <c r="A2445" i="3"/>
  <c r="A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73" i="3"/>
  <c r="G2474" i="3"/>
  <c r="G2475" i="3"/>
  <c r="G2476" i="3"/>
  <c r="G2477" i="3"/>
  <c r="G2478" i="3"/>
  <c r="G2479" i="3"/>
  <c r="G2480" i="3"/>
  <c r="G2481" i="3"/>
  <c r="G2482" i="3"/>
  <c r="A2483" i="3"/>
  <c r="A2484" i="3"/>
  <c r="A2485" i="3"/>
  <c r="A2486" i="3"/>
  <c r="A2487" i="3"/>
  <c r="A2488" i="3"/>
  <c r="A2489" i="3"/>
  <c r="G2490" i="3"/>
  <c r="A2491" i="3"/>
  <c r="A2492" i="3"/>
  <c r="A2493" i="3"/>
  <c r="A2494" i="3"/>
  <c r="A2495" i="3"/>
  <c r="A2496" i="3"/>
  <c r="A2497" i="3"/>
  <c r="A2498" i="3"/>
  <c r="G2499" i="3"/>
  <c r="A2500" i="3"/>
  <c r="A2501" i="3"/>
  <c r="A2502" i="3"/>
  <c r="A2503" i="3"/>
  <c r="A2504" i="3"/>
  <c r="A2505" i="3"/>
  <c r="G2506" i="3"/>
  <c r="A2507" i="3"/>
  <c r="G2508" i="3"/>
  <c r="A2509" i="3"/>
  <c r="A2510" i="3"/>
  <c r="G2511" i="3"/>
  <c r="A2512" i="3"/>
  <c r="G2513" i="3"/>
  <c r="G2514" i="3"/>
  <c r="G2515" i="3"/>
  <c r="G2516" i="3"/>
  <c r="G2517" i="3"/>
  <c r="G2518" i="3"/>
  <c r="G2519" i="3"/>
  <c r="G2520" i="3"/>
  <c r="G2521" i="3"/>
  <c r="G2522" i="3"/>
  <c r="G2527" i="3"/>
  <c r="A2528" i="3"/>
  <c r="G2529" i="3"/>
  <c r="A2530" i="3"/>
  <c r="A2531" i="3"/>
  <c r="A2532" i="3"/>
  <c r="A2533" i="3"/>
  <c r="A2534" i="3"/>
  <c r="A2535" i="3"/>
  <c r="A2536" i="3"/>
  <c r="A2537" i="3"/>
  <c r="G2538" i="3"/>
  <c r="G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G2560" i="3"/>
  <c r="A2561" i="3"/>
  <c r="A2562" i="3"/>
  <c r="A2563" i="3"/>
  <c r="G2564" i="3"/>
  <c r="A2565" i="3"/>
  <c r="G2566" i="3"/>
  <c r="G2567" i="3"/>
  <c r="G2568" i="3"/>
  <c r="G2569" i="3"/>
  <c r="A2570" i="3"/>
  <c r="G2571" i="3"/>
  <c r="A2572" i="3"/>
  <c r="A2573" i="3"/>
  <c r="A2574" i="3"/>
  <c r="A2575" i="3"/>
  <c r="G2576" i="3"/>
  <c r="G2553" i="3" l="1"/>
  <c r="H2553" i="3"/>
  <c r="G1895" i="3"/>
  <c r="H1895" i="3"/>
  <c r="G1855" i="3"/>
  <c r="H1855" i="3"/>
  <c r="G1831" i="3"/>
  <c r="H1831" i="3"/>
  <c r="G1773" i="3"/>
  <c r="H1773" i="3"/>
  <c r="G2528" i="3"/>
  <c r="H2528" i="3"/>
  <c r="G2338" i="3"/>
  <c r="H2338" i="3"/>
  <c r="G2330" i="3"/>
  <c r="H2330" i="3"/>
  <c r="G2304" i="3"/>
  <c r="H2304" i="3"/>
  <c r="G2296" i="3"/>
  <c r="H2296" i="3"/>
  <c r="G2288" i="3"/>
  <c r="H2288" i="3"/>
  <c r="G2118" i="3"/>
  <c r="H2118" i="3"/>
  <c r="G2110" i="3"/>
  <c r="H2110" i="3"/>
  <c r="G2067" i="3"/>
  <c r="H2067" i="3"/>
  <c r="G2089" i="3"/>
  <c r="H2089" i="3"/>
  <c r="G1997" i="3"/>
  <c r="H1997" i="3"/>
  <c r="G1945" i="3"/>
  <c r="H1945" i="3"/>
  <c r="G1937" i="3"/>
  <c r="H1937" i="3"/>
  <c r="G1929" i="3"/>
  <c r="H1929" i="3"/>
  <c r="G1921" i="3"/>
  <c r="H1921" i="3"/>
  <c r="G1913" i="3"/>
  <c r="H1913" i="3"/>
  <c r="G1894" i="3"/>
  <c r="H1894" i="3"/>
  <c r="G1886" i="3"/>
  <c r="H1886" i="3"/>
  <c r="G1878" i="3"/>
  <c r="H1878" i="3"/>
  <c r="G1870" i="3"/>
  <c r="H1870" i="3"/>
  <c r="G1862" i="3"/>
  <c r="H1862" i="3"/>
  <c r="G1854" i="3"/>
  <c r="H1854" i="3"/>
  <c r="G1846" i="3"/>
  <c r="H1846" i="3"/>
  <c r="G1838" i="3"/>
  <c r="H1838" i="3"/>
  <c r="G1830" i="3"/>
  <c r="H1830" i="3"/>
  <c r="G1822" i="3"/>
  <c r="H1822" i="3"/>
  <c r="G1796" i="3"/>
  <c r="H1796" i="3"/>
  <c r="G1788" i="3"/>
  <c r="H1788" i="3"/>
  <c r="G1780" i="3"/>
  <c r="H1780" i="3"/>
  <c r="G1772" i="3"/>
  <c r="H1772" i="3"/>
  <c r="G1764" i="3"/>
  <c r="H1764" i="3"/>
  <c r="G1756" i="3"/>
  <c r="H1756" i="3"/>
  <c r="G2286" i="3"/>
  <c r="H2286" i="3"/>
  <c r="G2086" i="3"/>
  <c r="H2086" i="3"/>
  <c r="G2074" i="3"/>
  <c r="H2074" i="3"/>
  <c r="G2045" i="3"/>
  <c r="H2045" i="3"/>
  <c r="G2003" i="3"/>
  <c r="H2003" i="3"/>
  <c r="G1995" i="3"/>
  <c r="H1995" i="3"/>
  <c r="G1987" i="3"/>
  <c r="H1987" i="3"/>
  <c r="G1943" i="3"/>
  <c r="H1943" i="3"/>
  <c r="G1935" i="3"/>
  <c r="H1935" i="3"/>
  <c r="G1927" i="3"/>
  <c r="H1927" i="3"/>
  <c r="G1919" i="3"/>
  <c r="H1919" i="3"/>
  <c r="G1911" i="3"/>
  <c r="H1911" i="3"/>
  <c r="G1892" i="3"/>
  <c r="H1892" i="3"/>
  <c r="G1884" i="3"/>
  <c r="H1884" i="3"/>
  <c r="G1876" i="3"/>
  <c r="H1876" i="3"/>
  <c r="G1868" i="3"/>
  <c r="H1868" i="3"/>
  <c r="G1860" i="3"/>
  <c r="H1860" i="3"/>
  <c r="G1852" i="3"/>
  <c r="H1852" i="3"/>
  <c r="G1844" i="3"/>
  <c r="H1844" i="3"/>
  <c r="G1836" i="3"/>
  <c r="H1836" i="3"/>
  <c r="G1828" i="3"/>
  <c r="H1828" i="3"/>
  <c r="G1820" i="3"/>
  <c r="H1820" i="3"/>
  <c r="G1794" i="3"/>
  <c r="H1794" i="3"/>
  <c r="G1786" i="3"/>
  <c r="H1786" i="3"/>
  <c r="G1778" i="3"/>
  <c r="H1778" i="3"/>
  <c r="G1770" i="3"/>
  <c r="H1770" i="3"/>
  <c r="G1762" i="3"/>
  <c r="H1762" i="3"/>
  <c r="G1754" i="3"/>
  <c r="H1754" i="3"/>
  <c r="G2561" i="3"/>
  <c r="H2561" i="3"/>
  <c r="G2509" i="3"/>
  <c r="H2509" i="3"/>
  <c r="G2485" i="3"/>
  <c r="H2485" i="3"/>
  <c r="G2446" i="3"/>
  <c r="H2446" i="3"/>
  <c r="G2347" i="3"/>
  <c r="H2347" i="3"/>
  <c r="G2323" i="3"/>
  <c r="H2323" i="3"/>
  <c r="G2119" i="3"/>
  <c r="H2119" i="3"/>
  <c r="G1946" i="3"/>
  <c r="H1946" i="3"/>
  <c r="G1922" i="3"/>
  <c r="H1922" i="3"/>
  <c r="G1871" i="3"/>
  <c r="H1871" i="3"/>
  <c r="G1847" i="3"/>
  <c r="H1847" i="3"/>
  <c r="G1797" i="3"/>
  <c r="H1797" i="3"/>
  <c r="G1757" i="3"/>
  <c r="H1757" i="3"/>
  <c r="G2492" i="3"/>
  <c r="H2492" i="3"/>
  <c r="G2346" i="3"/>
  <c r="H2346" i="3"/>
  <c r="G2535" i="3"/>
  <c r="H2535" i="3"/>
  <c r="G2483" i="3"/>
  <c r="H2483" i="3"/>
  <c r="G2353" i="3"/>
  <c r="H2353" i="3"/>
  <c r="G2329" i="3"/>
  <c r="H2329" i="3"/>
  <c r="G2054" i="3"/>
  <c r="H2054" i="3"/>
  <c r="G2090" i="3"/>
  <c r="H2090" i="3"/>
  <c r="G1928" i="3"/>
  <c r="H1928" i="3"/>
  <c r="G1893" i="3"/>
  <c r="H1893" i="3"/>
  <c r="G1869" i="3"/>
  <c r="H1869" i="3"/>
  <c r="G1845" i="3"/>
  <c r="H1845" i="3"/>
  <c r="G1829" i="3"/>
  <c r="H1829" i="3"/>
  <c r="G1795" i="3"/>
  <c r="H1795" i="3"/>
  <c r="G1771" i="3"/>
  <c r="H1771" i="3"/>
  <c r="G2550" i="3"/>
  <c r="H2550" i="3"/>
  <c r="G2435" i="3"/>
  <c r="H2435" i="3"/>
  <c r="G2427" i="3"/>
  <c r="H2427" i="3"/>
  <c r="G2384" i="3"/>
  <c r="H2384" i="3"/>
  <c r="G2376" i="3"/>
  <c r="H2376" i="3"/>
  <c r="G2352" i="3"/>
  <c r="H2352" i="3"/>
  <c r="G2344" i="3"/>
  <c r="H2344" i="3"/>
  <c r="G2336" i="3"/>
  <c r="H2336" i="3"/>
  <c r="G2328" i="3"/>
  <c r="H2328" i="3"/>
  <c r="G2302" i="3"/>
  <c r="H2302" i="3"/>
  <c r="G2294" i="3"/>
  <c r="H2294" i="3"/>
  <c r="G2573" i="3"/>
  <c r="H2573" i="3"/>
  <c r="G2565" i="3"/>
  <c r="H2565" i="3"/>
  <c r="G2557" i="3"/>
  <c r="H2557" i="3"/>
  <c r="G2549" i="3"/>
  <c r="H2549" i="3"/>
  <c r="G2541" i="3"/>
  <c r="H2541" i="3"/>
  <c r="G2533" i="3"/>
  <c r="H2533" i="3"/>
  <c r="G2505" i="3"/>
  <c r="H2505" i="3"/>
  <c r="G2497" i="3"/>
  <c r="H2497" i="3"/>
  <c r="G2489" i="3"/>
  <c r="H2489" i="3"/>
  <c r="G2426" i="3"/>
  <c r="H2426" i="3"/>
  <c r="G2383" i="3"/>
  <c r="H2383" i="3"/>
  <c r="G2375" i="3"/>
  <c r="H2375" i="3"/>
  <c r="G2351" i="3"/>
  <c r="H2351" i="3"/>
  <c r="G2343" i="3"/>
  <c r="H2343" i="3"/>
  <c r="G2335" i="3"/>
  <c r="H2335" i="3"/>
  <c r="G2327" i="3"/>
  <c r="H2327" i="3"/>
  <c r="G2301" i="3"/>
  <c r="H2301" i="3"/>
  <c r="G2293" i="3"/>
  <c r="H2293" i="3"/>
  <c r="G2285" i="3"/>
  <c r="H2285" i="3"/>
  <c r="G2139" i="3"/>
  <c r="H2139" i="3"/>
  <c r="G2123" i="3"/>
  <c r="H2123" i="3"/>
  <c r="G2049" i="3"/>
  <c r="H2049" i="3"/>
  <c r="G1986" i="3"/>
  <c r="H1986" i="3"/>
  <c r="G1942" i="3"/>
  <c r="H1942" i="3"/>
  <c r="G1934" i="3"/>
  <c r="H1934" i="3"/>
  <c r="G1926" i="3"/>
  <c r="H1926" i="3"/>
  <c r="G1918" i="3"/>
  <c r="H1918" i="3"/>
  <c r="G1899" i="3"/>
  <c r="H1899" i="3"/>
  <c r="G1891" i="3"/>
  <c r="H1891" i="3"/>
  <c r="G1883" i="3"/>
  <c r="H1883" i="3"/>
  <c r="G1875" i="3"/>
  <c r="H1875" i="3"/>
  <c r="G1867" i="3"/>
  <c r="H1867" i="3"/>
  <c r="G1859" i="3"/>
  <c r="H1859" i="3"/>
  <c r="G1851" i="3"/>
  <c r="H1851" i="3"/>
  <c r="G1843" i="3"/>
  <c r="H1843" i="3"/>
  <c r="G1835" i="3"/>
  <c r="H1835" i="3"/>
  <c r="G1827" i="3"/>
  <c r="H1827" i="3"/>
  <c r="G1819" i="3"/>
  <c r="H1819" i="3"/>
  <c r="G1793" i="3"/>
  <c r="H1793" i="3"/>
  <c r="G1785" i="3"/>
  <c r="H1785" i="3"/>
  <c r="G1777" i="3"/>
  <c r="H1777" i="3"/>
  <c r="G1769" i="3"/>
  <c r="H1769" i="3"/>
  <c r="G1761" i="3"/>
  <c r="H1761" i="3"/>
  <c r="G1753" i="3"/>
  <c r="H1753" i="3"/>
  <c r="G2438" i="3"/>
  <c r="H2438" i="3"/>
  <c r="G2297" i="3"/>
  <c r="H2297" i="3"/>
  <c r="G2111" i="3"/>
  <c r="H2111" i="3"/>
  <c r="G2069" i="3"/>
  <c r="H2069" i="3"/>
  <c r="G1914" i="3"/>
  <c r="H1914" i="3"/>
  <c r="G2436" i="3"/>
  <c r="H2436" i="3"/>
  <c r="G2303" i="3"/>
  <c r="H2303" i="3"/>
  <c r="G2534" i="3"/>
  <c r="H2534" i="3"/>
  <c r="G2512" i="3"/>
  <c r="H2512" i="3"/>
  <c r="G2122" i="3"/>
  <c r="H2122" i="3"/>
  <c r="G1985" i="3"/>
  <c r="H1985" i="3"/>
  <c r="G1949" i="3"/>
  <c r="H1949" i="3"/>
  <c r="G1941" i="3"/>
  <c r="H1941" i="3"/>
  <c r="G1933" i="3"/>
  <c r="H1933" i="3"/>
  <c r="G1925" i="3"/>
  <c r="H1925" i="3"/>
  <c r="G1917" i="3"/>
  <c r="H1917" i="3"/>
  <c r="G1898" i="3"/>
  <c r="H1898" i="3"/>
  <c r="G1890" i="3"/>
  <c r="H1890" i="3"/>
  <c r="G1882" i="3"/>
  <c r="H1882" i="3"/>
  <c r="G1874" i="3"/>
  <c r="H1874" i="3"/>
  <c r="G1866" i="3"/>
  <c r="H1866" i="3"/>
  <c r="G1858" i="3"/>
  <c r="H1858" i="3"/>
  <c r="G1850" i="3"/>
  <c r="H1850" i="3"/>
  <c r="G1842" i="3"/>
  <c r="H1842" i="3"/>
  <c r="G1834" i="3"/>
  <c r="H1834" i="3"/>
  <c r="G1826" i="3"/>
  <c r="H1826" i="3"/>
  <c r="G1818" i="3"/>
  <c r="H1818" i="3"/>
  <c r="G1792" i="3"/>
  <c r="H1792" i="3"/>
  <c r="G1784" i="3"/>
  <c r="H1784" i="3"/>
  <c r="G1776" i="3"/>
  <c r="H1776" i="3"/>
  <c r="G1768" i="3"/>
  <c r="H1768" i="3"/>
  <c r="G1760" i="3"/>
  <c r="H1760" i="3"/>
  <c r="G1752" i="3"/>
  <c r="H1752" i="3"/>
  <c r="G2545" i="3"/>
  <c r="H2545" i="3"/>
  <c r="G2501" i="3"/>
  <c r="H2501" i="3"/>
  <c r="G2331" i="3"/>
  <c r="H2331" i="3"/>
  <c r="G2281" i="3"/>
  <c r="H2281" i="3"/>
  <c r="G2127" i="3"/>
  <c r="H2127" i="3"/>
  <c r="G1930" i="3"/>
  <c r="H1930" i="3"/>
  <c r="G1879" i="3"/>
  <c r="H1879" i="3"/>
  <c r="G1839" i="3"/>
  <c r="H1839" i="3"/>
  <c r="G1789" i="3"/>
  <c r="H1789" i="3"/>
  <c r="G1765" i="3"/>
  <c r="H1765" i="3"/>
  <c r="G2544" i="3"/>
  <c r="H2544" i="3"/>
  <c r="G2536" i="3"/>
  <c r="H2536" i="3"/>
  <c r="G2445" i="3"/>
  <c r="H2445" i="3"/>
  <c r="G2354" i="3"/>
  <c r="H2354" i="3"/>
  <c r="G2559" i="3"/>
  <c r="H2559" i="3"/>
  <c r="G2551" i="3"/>
  <c r="H2551" i="3"/>
  <c r="G2491" i="3"/>
  <c r="H2491" i="3"/>
  <c r="G2444" i="3"/>
  <c r="H2444" i="3"/>
  <c r="G2337" i="3"/>
  <c r="H2337" i="3"/>
  <c r="G2287" i="3"/>
  <c r="H2287" i="3"/>
  <c r="G2117" i="3"/>
  <c r="H2117" i="3"/>
  <c r="G2050" i="3"/>
  <c r="H2050" i="3"/>
  <c r="G2004" i="3"/>
  <c r="H2004" i="3"/>
  <c r="G1936" i="3"/>
  <c r="H1936" i="3"/>
  <c r="G1912" i="3"/>
  <c r="H1912" i="3"/>
  <c r="G1877" i="3"/>
  <c r="H1877" i="3"/>
  <c r="G1853" i="3"/>
  <c r="H1853" i="3"/>
  <c r="G1821" i="3"/>
  <c r="H1821" i="3"/>
  <c r="G1779" i="3"/>
  <c r="H1779" i="3"/>
  <c r="G1755" i="3"/>
  <c r="H1755" i="3"/>
  <c r="G2574" i="3"/>
  <c r="H2574" i="3"/>
  <c r="G2558" i="3"/>
  <c r="H2558" i="3"/>
  <c r="G2542" i="3"/>
  <c r="H2542" i="3"/>
  <c r="G2556" i="3"/>
  <c r="H2556" i="3"/>
  <c r="G2532" i="3"/>
  <c r="H2532" i="3"/>
  <c r="G2488" i="3"/>
  <c r="H2488" i="3"/>
  <c r="G2382" i="3"/>
  <c r="H2382" i="3"/>
  <c r="G2366" i="3"/>
  <c r="H2366" i="3"/>
  <c r="G2342" i="3"/>
  <c r="H2342" i="3"/>
  <c r="G2326" i="3"/>
  <c r="H2326" i="3"/>
  <c r="G2292" i="3"/>
  <c r="H2292" i="3"/>
  <c r="G2563" i="3"/>
  <c r="H2563" i="3"/>
  <c r="G2555" i="3"/>
  <c r="H2555" i="3"/>
  <c r="G2531" i="3"/>
  <c r="H2531" i="3"/>
  <c r="G2503" i="3"/>
  <c r="H2503" i="3"/>
  <c r="G2495" i="3"/>
  <c r="H2495" i="3"/>
  <c r="G2487" i="3"/>
  <c r="H2487" i="3"/>
  <c r="G2373" i="3"/>
  <c r="H2373" i="3"/>
  <c r="G2365" i="3"/>
  <c r="H2365" i="3"/>
  <c r="G2349" i="3"/>
  <c r="H2349" i="3"/>
  <c r="G2341" i="3"/>
  <c r="H2341" i="3"/>
  <c r="G2333" i="3"/>
  <c r="H2333" i="3"/>
  <c r="G2325" i="3"/>
  <c r="H2325" i="3"/>
  <c r="G2299" i="3"/>
  <c r="H2299" i="3"/>
  <c r="G2291" i="3"/>
  <c r="H2291" i="3"/>
  <c r="G2283" i="3"/>
  <c r="H2283" i="3"/>
  <c r="G2129" i="3"/>
  <c r="H2129" i="3"/>
  <c r="G2121" i="3"/>
  <c r="H2121" i="3"/>
  <c r="G1984" i="3"/>
  <c r="H1984" i="3"/>
  <c r="G1948" i="3"/>
  <c r="H1948" i="3"/>
  <c r="G1940" i="3"/>
  <c r="H1940" i="3"/>
  <c r="G1932" i="3"/>
  <c r="H1932" i="3"/>
  <c r="G1924" i="3"/>
  <c r="H1924" i="3"/>
  <c r="G1916" i="3"/>
  <c r="H1916" i="3"/>
  <c r="G1897" i="3"/>
  <c r="H1897" i="3"/>
  <c r="G1889" i="3"/>
  <c r="H1889" i="3"/>
  <c r="G1881" i="3"/>
  <c r="H1881" i="3"/>
  <c r="G1873" i="3"/>
  <c r="H1873" i="3"/>
  <c r="G1865" i="3"/>
  <c r="H1865" i="3"/>
  <c r="G1857" i="3"/>
  <c r="H1857" i="3"/>
  <c r="G1849" i="3"/>
  <c r="H1849" i="3"/>
  <c r="G1841" i="3"/>
  <c r="H1841" i="3"/>
  <c r="G1833" i="3"/>
  <c r="H1833" i="3"/>
  <c r="G1825" i="3"/>
  <c r="H1825" i="3"/>
  <c r="G1799" i="3"/>
  <c r="H1799" i="3"/>
  <c r="G1791" i="3"/>
  <c r="H1791" i="3"/>
  <c r="G1783" i="3"/>
  <c r="H1783" i="3"/>
  <c r="G1775" i="3"/>
  <c r="H1775" i="3"/>
  <c r="G1767" i="3"/>
  <c r="H1767" i="3"/>
  <c r="G1759" i="3"/>
  <c r="H1759" i="3"/>
  <c r="G1751" i="3"/>
  <c r="H1751" i="3"/>
  <c r="G2537" i="3"/>
  <c r="H2537" i="3"/>
  <c r="G2493" i="3"/>
  <c r="H2493" i="3"/>
  <c r="G2339" i="3"/>
  <c r="H2339" i="3"/>
  <c r="G2289" i="3"/>
  <c r="H2289" i="3"/>
  <c r="G2064" i="3"/>
  <c r="H2064" i="3"/>
  <c r="G1998" i="3"/>
  <c r="H1998" i="3"/>
  <c r="G1938" i="3"/>
  <c r="H1938" i="3"/>
  <c r="G1887" i="3"/>
  <c r="H1887" i="3"/>
  <c r="G1863" i="3"/>
  <c r="H1863" i="3"/>
  <c r="G1823" i="3"/>
  <c r="H1823" i="3"/>
  <c r="G1781" i="3"/>
  <c r="H1781" i="3"/>
  <c r="G2552" i="3"/>
  <c r="H2552" i="3"/>
  <c r="G2500" i="3"/>
  <c r="H2500" i="3"/>
  <c r="G2484" i="3"/>
  <c r="H2484" i="3"/>
  <c r="G2437" i="3"/>
  <c r="H2437" i="3"/>
  <c r="G2394" i="3"/>
  <c r="H2394" i="3"/>
  <c r="G2575" i="3"/>
  <c r="H2575" i="3"/>
  <c r="G2543" i="3"/>
  <c r="H2543" i="3"/>
  <c r="G2507" i="3"/>
  <c r="H2507" i="3"/>
  <c r="G2345" i="3"/>
  <c r="H2345" i="3"/>
  <c r="G2295" i="3"/>
  <c r="H2295" i="3"/>
  <c r="G1996" i="3"/>
  <c r="H1996" i="3"/>
  <c r="G1988" i="3"/>
  <c r="H1988" i="3"/>
  <c r="G1944" i="3"/>
  <c r="H1944" i="3"/>
  <c r="G1920" i="3"/>
  <c r="H1920" i="3"/>
  <c r="G1885" i="3"/>
  <c r="H1885" i="3"/>
  <c r="G1861" i="3"/>
  <c r="H1861" i="3"/>
  <c r="G1837" i="3"/>
  <c r="H1837" i="3"/>
  <c r="G1787" i="3"/>
  <c r="H1787" i="3"/>
  <c r="G1763" i="3"/>
  <c r="H1763" i="3"/>
  <c r="G2498" i="3"/>
  <c r="H2498" i="3"/>
  <c r="G2572" i="3"/>
  <c r="H2572" i="3"/>
  <c r="G2548" i="3"/>
  <c r="H2548" i="3"/>
  <c r="G2540" i="3"/>
  <c r="H2540" i="3"/>
  <c r="G2504" i="3"/>
  <c r="H2504" i="3"/>
  <c r="G2496" i="3"/>
  <c r="H2496" i="3"/>
  <c r="G2425" i="3"/>
  <c r="H2425" i="3"/>
  <c r="G2374" i="3"/>
  <c r="H2374" i="3"/>
  <c r="G2350" i="3"/>
  <c r="H2350" i="3"/>
  <c r="G2334" i="3"/>
  <c r="H2334" i="3"/>
  <c r="G2300" i="3"/>
  <c r="H2300" i="3"/>
  <c r="G2284" i="3"/>
  <c r="H2284" i="3"/>
  <c r="G2547" i="3"/>
  <c r="H2547" i="3"/>
  <c r="G2570" i="3"/>
  <c r="H2570" i="3"/>
  <c r="G2562" i="3"/>
  <c r="H2562" i="3"/>
  <c r="G2554" i="3"/>
  <c r="H2554" i="3"/>
  <c r="G2546" i="3"/>
  <c r="H2546" i="3"/>
  <c r="G2530" i="3"/>
  <c r="H2530" i="3"/>
  <c r="G2510" i="3"/>
  <c r="H2510" i="3"/>
  <c r="G2502" i="3"/>
  <c r="H2502" i="3"/>
  <c r="G2494" i="3"/>
  <c r="H2494" i="3"/>
  <c r="G2486" i="3"/>
  <c r="H2486" i="3"/>
  <c r="G2439" i="3"/>
  <c r="H2439" i="3"/>
  <c r="G2348" i="3"/>
  <c r="H2348" i="3"/>
  <c r="G2340" i="3"/>
  <c r="H2340" i="3"/>
  <c r="G2332" i="3"/>
  <c r="H2332" i="3"/>
  <c r="G2324" i="3"/>
  <c r="H2324" i="3"/>
  <c r="G2298" i="3"/>
  <c r="H2298" i="3"/>
  <c r="G2290" i="3"/>
  <c r="H2290" i="3"/>
  <c r="G2282" i="3"/>
  <c r="H2282" i="3"/>
  <c r="G2128" i="3"/>
  <c r="H2128" i="3"/>
  <c r="G2120" i="3"/>
  <c r="H2120" i="3"/>
  <c r="G2079" i="3"/>
  <c r="H2079" i="3"/>
  <c r="G1983" i="3"/>
  <c r="H1983" i="3"/>
  <c r="G1947" i="3"/>
  <c r="H1947" i="3"/>
  <c r="G1939" i="3"/>
  <c r="H1939" i="3"/>
  <c r="G1931" i="3"/>
  <c r="H1931" i="3"/>
  <c r="G1923" i="3"/>
  <c r="H1923" i="3"/>
  <c r="G1915" i="3"/>
  <c r="H1915" i="3"/>
  <c r="G1896" i="3"/>
  <c r="H1896" i="3"/>
  <c r="G1888" i="3"/>
  <c r="H1888" i="3"/>
  <c r="G1880" i="3"/>
  <c r="H1880" i="3"/>
  <c r="G1872" i="3"/>
  <c r="H1872" i="3"/>
  <c r="G1864" i="3"/>
  <c r="H1864" i="3"/>
  <c r="G1856" i="3"/>
  <c r="H1856" i="3"/>
  <c r="G1848" i="3"/>
  <c r="H1848" i="3"/>
  <c r="G1840" i="3"/>
  <c r="H1840" i="3"/>
  <c r="G1832" i="3"/>
  <c r="H1832" i="3"/>
  <c r="G1824" i="3"/>
  <c r="H1824" i="3"/>
  <c r="G1798" i="3"/>
  <c r="H1798" i="3"/>
  <c r="G1790" i="3"/>
  <c r="H1790" i="3"/>
  <c r="G1782" i="3"/>
  <c r="H1782" i="3"/>
  <c r="G1774" i="3"/>
  <c r="H1774" i="3"/>
  <c r="G1766" i="3"/>
  <c r="H1766" i="3"/>
  <c r="G1758" i="3"/>
  <c r="H1758" i="3"/>
  <c r="G1750" i="3"/>
  <c r="G129" i="3"/>
  <c r="G121" i="3"/>
  <c r="G113" i="3"/>
  <c r="G105" i="3"/>
  <c r="G128" i="3"/>
  <c r="G120" i="3"/>
  <c r="G112" i="3"/>
  <c r="G104" i="3"/>
  <c r="G130" i="3"/>
  <c r="G119" i="3"/>
  <c r="G134" i="3"/>
  <c r="G118" i="3"/>
  <c r="G114" i="3"/>
  <c r="G135" i="3"/>
  <c r="G111" i="3"/>
  <c r="G126" i="3"/>
  <c r="G110" i="3"/>
  <c r="G133" i="3"/>
  <c r="G125" i="3"/>
  <c r="G117" i="3"/>
  <c r="G109" i="3"/>
  <c r="G106" i="3"/>
  <c r="G122" i="3"/>
  <c r="G127" i="3"/>
  <c r="G132" i="3"/>
  <c r="G124" i="3"/>
  <c r="G116" i="3"/>
  <c r="G108" i="3"/>
  <c r="G131" i="3"/>
  <c r="G123" i="3"/>
  <c r="G115" i="3"/>
  <c r="G107" i="3"/>
  <c r="K6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<sst xmlns="http://schemas.openxmlformats.org/spreadsheetml/2006/main" count="22803" uniqueCount="6786">
  <si>
    <t>1ST FLOOR</t>
  </si>
  <si>
    <t>PICK MOD 1</t>
  </si>
  <si>
    <t>TOTE FARM - 8' BAY</t>
  </si>
  <si>
    <t>M11-1-6C06</t>
  </si>
  <si>
    <t>M11-1-6C05</t>
  </si>
  <si>
    <t>M11-1-6C04</t>
  </si>
  <si>
    <t>M11-1-6C03</t>
  </si>
  <si>
    <t>M11-1-6C02</t>
  </si>
  <si>
    <t>M11-1-6C01</t>
  </si>
  <si>
    <t>M11-1-5C06</t>
  </si>
  <si>
    <t>M11-1-5C05</t>
  </si>
  <si>
    <t>M11-1-5C04</t>
  </si>
  <si>
    <t>M11-1-5C03</t>
  </si>
  <si>
    <t>COLUMN</t>
  </si>
  <si>
    <t>M11-1-5C01</t>
  </si>
  <si>
    <t>M11-1-4C06</t>
  </si>
  <si>
    <t>M11-1-4C05</t>
  </si>
  <si>
    <t>M11-1-4C04</t>
  </si>
  <si>
    <t>M11-1-4C03</t>
  </si>
  <si>
    <t>M11-1-4C02</t>
  </si>
  <si>
    <t>M11-1-4C01</t>
  </si>
  <si>
    <t>M11-1-3C06</t>
  </si>
  <si>
    <t>M11-1-3C05</t>
  </si>
  <si>
    <t>M11-1-3C04</t>
  </si>
  <si>
    <t>M11-1-3C03</t>
  </si>
  <si>
    <t>M11-1-3C02</t>
  </si>
  <si>
    <t>M11-1-3C01</t>
  </si>
  <si>
    <t>M11-1-2C06</t>
  </si>
  <si>
    <t>M11-1-2C05</t>
  </si>
  <si>
    <t>M11-1-2C04</t>
  </si>
  <si>
    <t>M11-1-2C03</t>
  </si>
  <si>
    <t>M11-1-2C02</t>
  </si>
  <si>
    <t>M11-1-2C01</t>
  </si>
  <si>
    <t>M11-1-1C06</t>
  </si>
  <si>
    <t>M11-1-1C05</t>
  </si>
  <si>
    <t>M11-1-1C04</t>
  </si>
  <si>
    <t>M11-1-1C03</t>
  </si>
  <si>
    <t>M11-1-1C02</t>
  </si>
  <si>
    <t>M11-1-1C01</t>
  </si>
  <si>
    <t>M13-1-9C06</t>
  </si>
  <si>
    <t>M13-1-9C05</t>
  </si>
  <si>
    <t>M13-1-9C04</t>
  </si>
  <si>
    <t>M13-1-9C03</t>
  </si>
  <si>
    <t>M13-1-9C02</t>
  </si>
  <si>
    <t>M13-1-9C01</t>
  </si>
  <si>
    <t>M13-1-8A01</t>
  </si>
  <si>
    <t>M13-1-8A10</t>
  </si>
  <si>
    <t>M13-1-8B09</t>
  </si>
  <si>
    <t>M13-1-8C06</t>
  </si>
  <si>
    <t>M13-1-8D03</t>
  </si>
  <si>
    <t>M13-1-8E02</t>
  </si>
  <si>
    <t>COLUMN W/ FIRE EXTINGUISHER</t>
  </si>
  <si>
    <t>WALKWAY</t>
  </si>
  <si>
    <t>M13-1-6C06</t>
  </si>
  <si>
    <t>M13-1-6C05</t>
  </si>
  <si>
    <t>M13-1-6C04</t>
  </si>
  <si>
    <t>M13-1-6C03</t>
  </si>
  <si>
    <t>M13-1-6C02</t>
  </si>
  <si>
    <t>M13-1-6C01</t>
  </si>
  <si>
    <t>M13-1-5C06</t>
  </si>
  <si>
    <t>M13-1-5C05</t>
  </si>
  <si>
    <t>M13-1-5C04</t>
  </si>
  <si>
    <t>M13-1-5C03</t>
  </si>
  <si>
    <t>M13-1-5C02</t>
  </si>
  <si>
    <t>M13-1-5C01</t>
  </si>
  <si>
    <t>M13-1-4C06</t>
  </si>
  <si>
    <t>M13-1-4C05</t>
  </si>
  <si>
    <t>M13-1-4C04</t>
  </si>
  <si>
    <t>M13-1-4C03</t>
  </si>
  <si>
    <t>M13-1-4C02</t>
  </si>
  <si>
    <t>M13-1-4C01</t>
  </si>
  <si>
    <t>M13-1-3C06</t>
  </si>
  <si>
    <t>M13-1-3C05</t>
  </si>
  <si>
    <t>M13-1-3C04</t>
  </si>
  <si>
    <t>M13-1-3C03</t>
  </si>
  <si>
    <t>M13-1-3C02</t>
  </si>
  <si>
    <t>M13-1-3C01</t>
  </si>
  <si>
    <t>M13-1-2C06</t>
  </si>
  <si>
    <t>M13-1-2C05</t>
  </si>
  <si>
    <t>M13-1-2C04</t>
  </si>
  <si>
    <t>M13-1-2C03</t>
  </si>
  <si>
    <t>M13-1-2C02</t>
  </si>
  <si>
    <t>M13-1-2C01</t>
  </si>
  <si>
    <t>M13-1-1A01</t>
  </si>
  <si>
    <t>M13-1-1A10</t>
  </si>
  <si>
    <t>M13-1-1D03</t>
  </si>
  <si>
    <t>M13-1-1B09</t>
  </si>
  <si>
    <t>M13-1-1C06</t>
  </si>
  <si>
    <t>M13-1-1E02</t>
  </si>
  <si>
    <t>M13-1-8A02</t>
  </si>
  <si>
    <t>M13-1-8B01</t>
  </si>
  <si>
    <t>M13-1-8B10</t>
  </si>
  <si>
    <t>M13-1-8C07</t>
  </si>
  <si>
    <t>M13-1-8D04</t>
  </si>
  <si>
    <t>M13-1-8E03</t>
  </si>
  <si>
    <t>M13-1-1A02</t>
  </si>
  <si>
    <t>M13-1-1B01</t>
  </si>
  <si>
    <t>M13-1-1D04</t>
  </si>
  <si>
    <t>M13-1-1B10</t>
  </si>
  <si>
    <t>M13-1-1C07</t>
  </si>
  <si>
    <t>M13-1-1E03</t>
  </si>
  <si>
    <t>M13-1-8A03</t>
  </si>
  <si>
    <t>M13-1-8B02</t>
  </si>
  <si>
    <t>M13-1-8C01</t>
  </si>
  <si>
    <t>M13-1-8C08</t>
  </si>
  <si>
    <t>M13-1-8D05</t>
  </si>
  <si>
    <t>M13-1-8E04</t>
  </si>
  <si>
    <t>M13-1-1A03</t>
  </si>
  <si>
    <t>M13-1-1B02</t>
  </si>
  <si>
    <t>M13-1-1D05</t>
  </si>
  <si>
    <t>M13-1-1C01</t>
  </si>
  <si>
    <t>M13-1-1C08</t>
  </si>
  <si>
    <t>M13-1-1E04</t>
  </si>
  <si>
    <t>M11-1-6B06</t>
  </si>
  <si>
    <t>M11-1-6B05</t>
  </si>
  <si>
    <t>M11-1-6B04</t>
  </si>
  <si>
    <t>M11-1-6B03</t>
  </si>
  <si>
    <t>M11-1-6B02</t>
  </si>
  <si>
    <t>M11-1-6B01</t>
  </si>
  <si>
    <t>M11-1-5B06</t>
  </si>
  <si>
    <t>M11-1-5B05</t>
  </si>
  <si>
    <t>M11-1-5B04</t>
  </si>
  <si>
    <t>M11-1-5B03</t>
  </si>
  <si>
    <t>M11-1-5B01</t>
  </si>
  <si>
    <t>M11-1-4B06</t>
  </si>
  <si>
    <t>M11-1-4B05</t>
  </si>
  <si>
    <t>M11-1-4B04</t>
  </si>
  <si>
    <t>M11-1-4B03</t>
  </si>
  <si>
    <t>M11-1-4B02</t>
  </si>
  <si>
    <t>M11-1-4B01</t>
  </si>
  <si>
    <t>M11-1-3B06</t>
  </si>
  <si>
    <t>M11-1-3B05</t>
  </si>
  <si>
    <t>M11-1-3B04</t>
  </si>
  <si>
    <t>M11-1-3B03</t>
  </si>
  <si>
    <t>M11-1-3B02</t>
  </si>
  <si>
    <t>M11-1-3B01</t>
  </si>
  <si>
    <t>M11-1-2B06</t>
  </si>
  <si>
    <t>M11-1-2B05</t>
  </si>
  <si>
    <t>M11-1-2B04</t>
  </si>
  <si>
    <t>M11-1-2B03</t>
  </si>
  <si>
    <t>M11-1-2B02</t>
  </si>
  <si>
    <t>M11-1-2B01</t>
  </si>
  <si>
    <t>M11-1-1B06</t>
  </si>
  <si>
    <t>M11-1-1B05</t>
  </si>
  <si>
    <t>M11-1-1B04</t>
  </si>
  <si>
    <t>M11-1-1B03</t>
  </si>
  <si>
    <t>M11-1-1B02</t>
  </si>
  <si>
    <t>M11-1-1B01</t>
  </si>
  <si>
    <t>M13-1-9B06</t>
  </si>
  <si>
    <t>M13-1-9B05</t>
  </si>
  <si>
    <t>M13-1-9B04</t>
  </si>
  <si>
    <t>M13-1-9B03</t>
  </si>
  <si>
    <t>M13-1-9B02</t>
  </si>
  <si>
    <t>M13-1-9B01</t>
  </si>
  <si>
    <t>M13-1-8A04</t>
  </si>
  <si>
    <t>M13-1-8B03</t>
  </si>
  <si>
    <t>M13-1-8C02</t>
  </si>
  <si>
    <t>M13-1-8C09</t>
  </si>
  <si>
    <t>M13-1-8D06</t>
  </si>
  <si>
    <t>M13-1-8E05</t>
  </si>
  <si>
    <t>M13-1-6B06</t>
  </si>
  <si>
    <t>M13-1-6B05</t>
  </si>
  <si>
    <t>M13-1-6B04</t>
  </si>
  <si>
    <t>M13-1-6B03</t>
  </si>
  <si>
    <t>M13-1-6B02</t>
  </si>
  <si>
    <t>M13-1-6B01</t>
  </si>
  <si>
    <t>M13-1-5B06</t>
  </si>
  <si>
    <t>M13-1-5B05</t>
  </si>
  <si>
    <t>M13-1-5B04</t>
  </si>
  <si>
    <t>M13-1-5B03</t>
  </si>
  <si>
    <t>M13-1-5B02</t>
  </si>
  <si>
    <t>M13-1-5B01</t>
  </si>
  <si>
    <t>M13-1-4B06</t>
  </si>
  <si>
    <t>M13-1-4B05</t>
  </si>
  <si>
    <t>M13-1-4B04</t>
  </si>
  <si>
    <t>M13-1-4B03</t>
  </si>
  <si>
    <t>M13-1-4B02</t>
  </si>
  <si>
    <t>M13-1-4B01</t>
  </si>
  <si>
    <t>M13-1-3B06</t>
  </si>
  <si>
    <t>M13-1-3B05</t>
  </si>
  <si>
    <t>M13-1-3B04</t>
  </si>
  <si>
    <t>M13-1-3B03</t>
  </si>
  <si>
    <t>M13-1-3B02</t>
  </si>
  <si>
    <t>M13-1-3B01</t>
  </si>
  <si>
    <t>M13-1-2B06</t>
  </si>
  <si>
    <t>M13-1-2B05</t>
  </si>
  <si>
    <t>M13-1-2B04</t>
  </si>
  <si>
    <t>M13-1-2B03</t>
  </si>
  <si>
    <t>M13-1-2B02</t>
  </si>
  <si>
    <t>M13-1-2B01</t>
  </si>
  <si>
    <t>M13-1-1A04</t>
  </si>
  <si>
    <t>M13-1-1B03</t>
  </si>
  <si>
    <t>M13-1-1D06</t>
  </si>
  <si>
    <t>M13-1-1C02</t>
  </si>
  <si>
    <t>M13-1-1C09</t>
  </si>
  <si>
    <t>M13-1-1E05</t>
  </si>
  <si>
    <t>M13-1-8A05</t>
  </si>
  <si>
    <t>M13-1-8B04</t>
  </si>
  <si>
    <t>M13-1-8C03</t>
  </si>
  <si>
    <t>M13-1-8C10</t>
  </si>
  <si>
    <t>M13-1-8D07</t>
  </si>
  <si>
    <t>M13-1-8E06</t>
  </si>
  <si>
    <t>M13-1-1A05</t>
  </si>
  <si>
    <t>M13-1-1B04</t>
  </si>
  <si>
    <t>M13-1-1D07</t>
  </si>
  <si>
    <t>M13-1-1C03</t>
  </si>
  <si>
    <t>M13-1-1C10</t>
  </si>
  <si>
    <t>M13-1-1E06</t>
  </si>
  <si>
    <t>M13-1-8A06</t>
  </si>
  <si>
    <t>M13-1-8B05</t>
  </si>
  <si>
    <t>M13-1-8C04</t>
  </si>
  <si>
    <t>M13-1-8D01</t>
  </si>
  <si>
    <t>M13-1-8D08</t>
  </si>
  <si>
    <t>M13-1-8E07</t>
  </si>
  <si>
    <t>M13-1-1A06</t>
  </si>
  <si>
    <t>M13-1-1B05</t>
  </si>
  <si>
    <t>M13-1-1D08</t>
  </si>
  <si>
    <t>M13-1-1C04</t>
  </si>
  <si>
    <t>M13-1-1D01</t>
  </si>
  <si>
    <t>M13-1-1E07</t>
  </si>
  <si>
    <t>M11-1-6A06</t>
  </si>
  <si>
    <t>M11-1-6A05</t>
  </si>
  <si>
    <t>M11-1-6A04</t>
  </si>
  <si>
    <t>M11-1-6A03</t>
  </si>
  <si>
    <t>M11-1-6A02</t>
  </si>
  <si>
    <t>M11-1-6A01</t>
  </si>
  <si>
    <t>M11-1-5A06</t>
  </si>
  <si>
    <t>M11-1-5A05</t>
  </si>
  <si>
    <t>M11-1-5A04</t>
  </si>
  <si>
    <t>M11-1-5A03</t>
  </si>
  <si>
    <t>M11-1-5A01</t>
  </si>
  <si>
    <t>M11-1-4A06</t>
  </si>
  <si>
    <t>M11-1-4A05</t>
  </si>
  <si>
    <t>M11-1-4A04</t>
  </si>
  <si>
    <t>M11-1-4A03</t>
  </si>
  <si>
    <t>M11-1-4A02</t>
  </si>
  <si>
    <t>M11-1-4A01</t>
  </si>
  <si>
    <t>M11-1-3A06</t>
  </si>
  <si>
    <t>M11-1-3A05</t>
  </si>
  <si>
    <t>M11-1-3A04</t>
  </si>
  <si>
    <t>M11-1-3A03</t>
  </si>
  <si>
    <t>M11-1-3A02</t>
  </si>
  <si>
    <t>M11-1-3A01</t>
  </si>
  <si>
    <t>M11-1-2A06</t>
  </si>
  <si>
    <t>M11-1-2A05</t>
  </si>
  <si>
    <t>M11-1-2A04</t>
  </si>
  <si>
    <t>M11-1-2A03</t>
  </si>
  <si>
    <t>M11-1-2A02</t>
  </si>
  <si>
    <t>M11-1-2A01</t>
  </si>
  <si>
    <t>M11-1-1A06</t>
  </si>
  <si>
    <t>M11-1-1A05</t>
  </si>
  <si>
    <t>M11-1-1A04</t>
  </si>
  <si>
    <t>M11-1-1A03</t>
  </si>
  <si>
    <t>M11-1-1A02</t>
  </si>
  <si>
    <t>M11-1-1A01</t>
  </si>
  <si>
    <t>M13-1-9A06</t>
  </si>
  <si>
    <t>M13-1-9A05</t>
  </si>
  <si>
    <t>M13-1-9A04</t>
  </si>
  <si>
    <t>M13-1-9A03</t>
  </si>
  <si>
    <t>M13-1-9A02</t>
  </si>
  <si>
    <t>M13-1-9A01</t>
  </si>
  <si>
    <t>M13-1-8A07</t>
  </si>
  <si>
    <t>M13-1-8B06</t>
  </si>
  <si>
    <t>M13-1-8C05</t>
  </si>
  <si>
    <t>M13-1-8D02</t>
  </si>
  <si>
    <t>M13-1-8D09</t>
  </si>
  <si>
    <t>M13-1-8E08</t>
  </si>
  <si>
    <t>M13-1-6A06</t>
  </si>
  <si>
    <t>M13-1-6A05</t>
  </si>
  <si>
    <t>M13-1-6A04</t>
  </si>
  <si>
    <t>M13-1-6A03</t>
  </si>
  <si>
    <t>M13-1-6A02</t>
  </si>
  <si>
    <t>M13-1-6A01</t>
  </si>
  <si>
    <t>M13-1-5A06</t>
  </si>
  <si>
    <t>M13-1-5A05</t>
  </si>
  <si>
    <t>M13-1-5A04</t>
  </si>
  <si>
    <t>M13-1-5A03</t>
  </si>
  <si>
    <t>M13-1-5A02</t>
  </si>
  <si>
    <t>M13-1-5A01</t>
  </si>
  <si>
    <t>M13-1-4A06</t>
  </si>
  <si>
    <t>M13-1-4A05</t>
  </si>
  <si>
    <t>M13-1-4A04</t>
  </si>
  <si>
    <t>M13-1-4A03</t>
  </si>
  <si>
    <t>M13-1-4A02</t>
  </si>
  <si>
    <t>M13-1-4A01</t>
  </si>
  <si>
    <t>M13-1-3A06</t>
  </si>
  <si>
    <t>M13-1-3A05</t>
  </si>
  <si>
    <t>M13-1-3A04</t>
  </si>
  <si>
    <t>M13-1-3A03</t>
  </si>
  <si>
    <t>M13-1-3A02</t>
  </si>
  <si>
    <t>M13-1-3A01</t>
  </si>
  <si>
    <t>M13-1-2A06</t>
  </si>
  <si>
    <t>M13-1-2A05</t>
  </si>
  <si>
    <t>M13-1-2A04</t>
  </si>
  <si>
    <t>M13-1-2A03</t>
  </si>
  <si>
    <t>M13-1-2A02</t>
  </si>
  <si>
    <t>M13-1-2A01</t>
  </si>
  <si>
    <t>M13-1-1A07</t>
  </si>
  <si>
    <t>M13-1-1B06</t>
  </si>
  <si>
    <t>M13-1-1D09</t>
  </si>
  <si>
    <t>M13-1-1C05</t>
  </si>
  <si>
    <t>M13-1-1D02</t>
  </si>
  <si>
    <t>M13-1-1E08</t>
  </si>
  <si>
    <t>M13-1-8A08</t>
  </si>
  <si>
    <t>M13-1-8B07</t>
  </si>
  <si>
    <t>WALK-IN SHELVES</t>
  </si>
  <si>
    <t>M13-1-8D10</t>
  </si>
  <si>
    <t>M13-1-8E09</t>
  </si>
  <si>
    <t>M13-1-1A08</t>
  </si>
  <si>
    <t>M13-1-1B07</t>
  </si>
  <si>
    <t>M13-1-1D10</t>
  </si>
  <si>
    <t>M13-1-1E09</t>
  </si>
  <si>
    <t>M13-1-8A09</t>
  </si>
  <si>
    <t>M13-1-8B08</t>
  </si>
  <si>
    <t>M13-1-8E01</t>
  </si>
  <si>
    <t>M13-1-8E10</t>
  </si>
  <si>
    <t>M13-1-1A09</t>
  </si>
  <si>
    <t>M13-1-1B08</t>
  </si>
  <si>
    <t>M13-1-1E01</t>
  </si>
  <si>
    <t>M13-1-1E10</t>
  </si>
  <si>
    <t xml:space="preserve">ZONE 1 </t>
  </si>
  <si>
    <t>ZONE 3</t>
  </si>
  <si>
    <t xml:space="preserve">ZONE 2 </t>
  </si>
  <si>
    <t>ZONE 4</t>
  </si>
  <si>
    <t>M14-1-8A01</t>
  </si>
  <si>
    <t>M14-1-8A10</t>
  </si>
  <si>
    <t>M14-1-8D03</t>
  </si>
  <si>
    <t>M14-1-8E02</t>
  </si>
  <si>
    <t>M14-1-1A01</t>
  </si>
  <si>
    <t>M14-1-1A10</t>
  </si>
  <si>
    <t>M14-1-1D03</t>
  </si>
  <si>
    <t>M14-1-1E02</t>
  </si>
  <si>
    <t>M14-1-8A02</t>
  </si>
  <si>
    <t>M14-1-8B01</t>
  </si>
  <si>
    <t>M14-1-8D04</t>
  </si>
  <si>
    <t>M14-1-8E03</t>
  </si>
  <si>
    <t>M14-1-1A02</t>
  </si>
  <si>
    <t>M14-1-1B01</t>
  </si>
  <si>
    <t>M14-1-1D04</t>
  </si>
  <si>
    <t>M14-1-1E03</t>
  </si>
  <si>
    <t>M12-1-6A06</t>
  </si>
  <si>
    <t>M12-1-6A05</t>
  </si>
  <si>
    <t>M12-1-6A04</t>
  </si>
  <si>
    <t>M12-1-6A03</t>
  </si>
  <si>
    <t>M12-1-6A02</t>
  </si>
  <si>
    <t>M12-1-6A01</t>
  </si>
  <si>
    <t>M12-1-5A06</t>
  </si>
  <si>
    <t>M12-1-5A05</t>
  </si>
  <si>
    <t>M12-1-5A04</t>
  </si>
  <si>
    <t>M12-1-5A03</t>
  </si>
  <si>
    <t>M12-1-5A02</t>
  </si>
  <si>
    <t>M12-1-5A01</t>
  </si>
  <si>
    <t>M12-1-4A06</t>
  </si>
  <si>
    <t>M12-1-4A05</t>
  </si>
  <si>
    <t>M12-1-4A04</t>
  </si>
  <si>
    <t>M12-1-4A03</t>
  </si>
  <si>
    <t>M12-1-4A02</t>
  </si>
  <si>
    <t>M12-1-4A01</t>
  </si>
  <si>
    <t>M12-1-3A06</t>
  </si>
  <si>
    <t>M12-1-3A05</t>
  </si>
  <si>
    <t>M12-1-3A04</t>
  </si>
  <si>
    <t>M12-1-3A03</t>
  </si>
  <si>
    <t>M12-1-3A02</t>
  </si>
  <si>
    <t>M12-1-3A01</t>
  </si>
  <si>
    <t>M12-1-2A06</t>
  </si>
  <si>
    <t>M12-1-2A05</t>
  </si>
  <si>
    <t>M12-1-2A04</t>
  </si>
  <si>
    <t>M12-1-2A03</t>
  </si>
  <si>
    <t>M12-1-2A02</t>
  </si>
  <si>
    <t>M12-1-2A01</t>
  </si>
  <si>
    <t>M12-1-1A06</t>
  </si>
  <si>
    <t>M12-1-1A05</t>
  </si>
  <si>
    <t>M12-1-1A04</t>
  </si>
  <si>
    <t>M12-1-1A03</t>
  </si>
  <si>
    <t>M12-1-1A02</t>
  </si>
  <si>
    <t>M12-1-1A01</t>
  </si>
  <si>
    <t>M14-1-9A06</t>
  </si>
  <si>
    <t>M14-1-9A05</t>
  </si>
  <si>
    <t>M14-1-9A04</t>
  </si>
  <si>
    <t>M14-1-9A03</t>
  </si>
  <si>
    <t>M14-1-9A02</t>
  </si>
  <si>
    <t>M14-1-9A01</t>
  </si>
  <si>
    <t>M14-1-8A03</t>
  </si>
  <si>
    <t>M14-1-8B02</t>
  </si>
  <si>
    <t>M14-1-8B09</t>
  </si>
  <si>
    <t>M14-1-8C06</t>
  </si>
  <si>
    <t>M14-1-8D05</t>
  </si>
  <si>
    <t>M14-1-8E04</t>
  </si>
  <si>
    <t>M14-1-7A03</t>
  </si>
  <si>
    <t>M14-1-7A02</t>
  </si>
  <si>
    <t>M14-1-7A01</t>
  </si>
  <si>
    <t>M14-1-6A06</t>
  </si>
  <si>
    <t>M14-1-6A05</t>
  </si>
  <si>
    <t>M14-1-6A04</t>
  </si>
  <si>
    <t>M14-1-6A03</t>
  </si>
  <si>
    <t>M14-1-6A02</t>
  </si>
  <si>
    <t>M14-1-6A01</t>
  </si>
  <si>
    <t>M14-1-5A06</t>
  </si>
  <si>
    <t>M14-1-5A05</t>
  </si>
  <si>
    <t>M14-1-5A04</t>
  </si>
  <si>
    <t>M14-1-5A03</t>
  </si>
  <si>
    <t>M14-1-5A02</t>
  </si>
  <si>
    <t>M14-1-5A01</t>
  </si>
  <si>
    <t>M14-1-4A06</t>
  </si>
  <si>
    <t>M14-1-4A05</t>
  </si>
  <si>
    <t>M14-1-4A04</t>
  </si>
  <si>
    <t>M14-1-4A03</t>
  </si>
  <si>
    <t>M14-1-4A02</t>
  </si>
  <si>
    <t>M14-1-4A01</t>
  </si>
  <si>
    <t>M14-1-3A06</t>
  </si>
  <si>
    <t>M14-1-3A05</t>
  </si>
  <si>
    <t>M14-1-3A04</t>
  </si>
  <si>
    <t>M14-1-3A03</t>
  </si>
  <si>
    <t>M14-1-3A02</t>
  </si>
  <si>
    <t>M14-1-3A01</t>
  </si>
  <si>
    <t>M14-1-2A06</t>
  </si>
  <si>
    <t>M14-1-2A05</t>
  </si>
  <si>
    <t>M14-1-2A04</t>
  </si>
  <si>
    <t>M14-1-2A03</t>
  </si>
  <si>
    <t>M14-1-2A02</t>
  </si>
  <si>
    <t>M14-1-2A01</t>
  </si>
  <si>
    <t>M14-1-1A03</t>
  </si>
  <si>
    <t>M14-1-1B02</t>
  </si>
  <si>
    <t>M14-1-1B09</t>
  </si>
  <si>
    <t>M14-1-1C06</t>
  </si>
  <si>
    <t>M14-1-1D05</t>
  </si>
  <si>
    <t>M14-1-1E04</t>
  </si>
  <si>
    <t>M14-1-8A04</t>
  </si>
  <si>
    <t>M14-1-8B03</t>
  </si>
  <si>
    <t>M14-1-8B10</t>
  </si>
  <si>
    <t>M14-1-8C07</t>
  </si>
  <si>
    <t>M14-1-8D06</t>
  </si>
  <si>
    <t>M14-1-8E05</t>
  </si>
  <si>
    <t>M14-1-1A04</t>
  </si>
  <si>
    <t>M14-1-1B03</t>
  </si>
  <si>
    <t>M14-1-1B10</t>
  </si>
  <si>
    <t>M14-1-1C07</t>
  </si>
  <si>
    <t>M14-1-1D06</t>
  </si>
  <si>
    <t>M14-1-1E05</t>
  </si>
  <si>
    <t>M14-1-8A05</t>
  </si>
  <si>
    <t>M14-1-8B04</t>
  </si>
  <si>
    <t>M14-1-8C01</t>
  </si>
  <si>
    <t>M14-1-8C08</t>
  </si>
  <si>
    <t>M14-1-8D07</t>
  </si>
  <si>
    <t>M14-1-8E06</t>
  </si>
  <si>
    <t>M14-1-1A05</t>
  </si>
  <si>
    <t>M14-1-1B04</t>
  </si>
  <si>
    <t>M14-1-1C01</t>
  </si>
  <si>
    <t>M14-1-1C08</t>
  </si>
  <si>
    <t>M14-1-1D07</t>
  </si>
  <si>
    <t>M14-1-1E06</t>
  </si>
  <si>
    <t>M12-1-6B06</t>
  </si>
  <si>
    <t>M12-1-6B05</t>
  </si>
  <si>
    <t>M12-1-6B04</t>
  </si>
  <si>
    <t>M12-1-6B03</t>
  </si>
  <si>
    <t>M12-1-6B02</t>
  </si>
  <si>
    <t>M12-1-6B01</t>
  </si>
  <si>
    <t>M12-1-5B06</t>
  </si>
  <si>
    <t>M12-1-5B05</t>
  </si>
  <si>
    <t>M12-1-5B04</t>
  </si>
  <si>
    <t>M12-1-5B03</t>
  </si>
  <si>
    <t>M12-1-5B02</t>
  </si>
  <si>
    <t>M12-1-5B01</t>
  </si>
  <si>
    <t>M12-1-4B06</t>
  </si>
  <si>
    <t>M12-1-4B05</t>
  </si>
  <si>
    <t>M12-1-4B04</t>
  </si>
  <si>
    <t>M12-1-4B03</t>
  </si>
  <si>
    <t>M12-1-4B02</t>
  </si>
  <si>
    <t>M12-1-4B01</t>
  </si>
  <si>
    <t>M12-1-3B06</t>
  </si>
  <si>
    <t>M12-1-3B05</t>
  </si>
  <si>
    <t>M12-1-3B04</t>
  </si>
  <si>
    <t>M12-1-3B03</t>
  </si>
  <si>
    <t>M12-1-3B02</t>
  </si>
  <si>
    <t>M12-1-3B01</t>
  </si>
  <si>
    <t>M12-1-2B06</t>
  </si>
  <si>
    <t>M12-1-2B05</t>
  </si>
  <si>
    <t>M12-1-2B04</t>
  </si>
  <si>
    <t>M12-1-2B03</t>
  </si>
  <si>
    <t>M12-1-2B02</t>
  </si>
  <si>
    <t>M12-1-2B01</t>
  </si>
  <si>
    <t>M12-1-1B06</t>
  </si>
  <si>
    <t>M12-1-1B05</t>
  </si>
  <si>
    <t>M12-1-1B04</t>
  </si>
  <si>
    <t>M12-1-1B03</t>
  </si>
  <si>
    <t>M12-1-1B02</t>
  </si>
  <si>
    <t>M12-1-1B01</t>
  </si>
  <si>
    <t>M14-1-9B06</t>
  </si>
  <si>
    <t>M14-1-9B05</t>
  </si>
  <si>
    <t>M14-1-9B04</t>
  </si>
  <si>
    <t>M14-1-9B03</t>
  </si>
  <si>
    <t>M14-1-9B02</t>
  </si>
  <si>
    <t>M14-1-9B01</t>
  </si>
  <si>
    <t>M14-1-8A06</t>
  </si>
  <si>
    <t>M14-1-8B05</t>
  </si>
  <si>
    <t>M14-1-8C02</t>
  </si>
  <si>
    <t>M14-1-8C09</t>
  </si>
  <si>
    <t>M14-1-8D08</t>
  </si>
  <si>
    <t>M14-1-8E07</t>
  </si>
  <si>
    <t>M14-1-7B03</t>
  </si>
  <si>
    <t>M14-1-7B02</t>
  </si>
  <si>
    <t>M14-1-7B01</t>
  </si>
  <si>
    <t>M14-1-6B06</t>
  </si>
  <si>
    <t>M14-1-6B05</t>
  </si>
  <si>
    <t>M14-1-6B04</t>
  </si>
  <si>
    <t>M14-1-6B03</t>
  </si>
  <si>
    <t>M14-1-6B02</t>
  </si>
  <si>
    <t>M14-1-6B01</t>
  </si>
  <si>
    <t>M14-1-5B06</t>
  </si>
  <si>
    <t>M14-1-5B05</t>
  </si>
  <si>
    <t>M14-1-5B04</t>
  </si>
  <si>
    <t>M14-1-5B03</t>
  </si>
  <si>
    <t>M14-1-5B02</t>
  </si>
  <si>
    <t>M14-1-5B01</t>
  </si>
  <si>
    <t>M14-1-4B06</t>
  </si>
  <si>
    <t>M14-1-4B05</t>
  </si>
  <si>
    <t>M14-1-4B04</t>
  </si>
  <si>
    <t>M14-1-4B03</t>
  </si>
  <si>
    <t>M14-1-4B02</t>
  </si>
  <si>
    <t>M14-1-4B01</t>
  </si>
  <si>
    <t>M14-1-3B06</t>
  </si>
  <si>
    <t>M14-1-3B05</t>
  </si>
  <si>
    <t>M14-1-3B04</t>
  </si>
  <si>
    <t>M14-1-3B03</t>
  </si>
  <si>
    <t>M14-1-3B02</t>
  </si>
  <si>
    <t>M14-1-3B01</t>
  </si>
  <si>
    <t>M14-1-2B06</t>
  </si>
  <si>
    <t>M14-1-2B05</t>
  </si>
  <si>
    <t>M14-1-2B04</t>
  </si>
  <si>
    <t>M14-1-2B03</t>
  </si>
  <si>
    <t>M14-1-2B02</t>
  </si>
  <si>
    <t>M14-1-2B01</t>
  </si>
  <si>
    <t>M14-1-1A06</t>
  </si>
  <si>
    <t>M14-1-1B05</t>
  </si>
  <si>
    <t>M14-1-1C02</t>
  </si>
  <si>
    <t>M14-1-1C09</t>
  </si>
  <si>
    <t>M14-1-1D08</t>
  </si>
  <si>
    <t>M14-1-1E07</t>
  </si>
  <si>
    <t>M14-1-8A07</t>
  </si>
  <si>
    <t>M14-1-8B06</t>
  </si>
  <si>
    <t>M14-1-8C03</t>
  </si>
  <si>
    <t>M14-1-8C10</t>
  </si>
  <si>
    <t>M14-1-8D09</t>
  </si>
  <si>
    <t>M14-1-8E08</t>
  </si>
  <si>
    <t>M14-1-1A07</t>
  </si>
  <si>
    <t>M14-1-1B06</t>
  </si>
  <si>
    <t>M14-1-1C03</t>
  </si>
  <si>
    <t>M14-1-1C10</t>
  </si>
  <si>
    <t>M14-1-1D09</t>
  </si>
  <si>
    <t>M14-1-1E08</t>
  </si>
  <si>
    <t>M14-1-8A08</t>
  </si>
  <si>
    <t>M14-1-8B07</t>
  </si>
  <si>
    <t>M14-1-8C04</t>
  </si>
  <si>
    <t>M14-1-8D01</t>
  </si>
  <si>
    <t>M14-1-8D10</t>
  </si>
  <si>
    <t>M14-1-8E09</t>
  </si>
  <si>
    <t>M14-1-1A08</t>
  </si>
  <si>
    <t>M14-1-1B07</t>
  </si>
  <si>
    <t>M14-1-1C04</t>
  </si>
  <si>
    <t>M14-1-1D01</t>
  </si>
  <si>
    <t>M14-1-1D10</t>
  </si>
  <si>
    <t>M14-1-1E09</t>
  </si>
  <si>
    <t>M12-1-6C06</t>
  </si>
  <si>
    <t>M12-1-6C05</t>
  </si>
  <si>
    <t>M12-1-6C04</t>
  </si>
  <si>
    <t>M12-1-6C03</t>
  </si>
  <si>
    <t>M12-1-6C02</t>
  </si>
  <si>
    <t>M12-1-6C01</t>
  </si>
  <si>
    <t>M12-1-5C06</t>
  </si>
  <si>
    <t>M12-1-5C05</t>
  </si>
  <si>
    <t>M12-1-5C04</t>
  </si>
  <si>
    <t>M12-1-5C03</t>
  </si>
  <si>
    <t>M12-1-5C02</t>
  </si>
  <si>
    <t>M12-1-5C01</t>
  </si>
  <si>
    <t>M12-1-4C06</t>
  </si>
  <si>
    <t>M12-1-4C05</t>
  </si>
  <si>
    <t>M12-1-4C04</t>
  </si>
  <si>
    <t>M12-1-4C03</t>
  </si>
  <si>
    <t>M12-1-4C02</t>
  </si>
  <si>
    <t>M12-1-4C01</t>
  </si>
  <si>
    <t>M12-1-3C06</t>
  </si>
  <si>
    <t>M12-1-3C05</t>
  </si>
  <si>
    <t>M12-1-3C04</t>
  </si>
  <si>
    <t>M12-1-3C03</t>
  </si>
  <si>
    <t>M12-1-3C02</t>
  </si>
  <si>
    <t>M12-1-3C01</t>
  </si>
  <si>
    <t>M12-1-2C06</t>
  </si>
  <si>
    <t>M12-1-2C05</t>
  </si>
  <si>
    <t>M12-1-2C04</t>
  </si>
  <si>
    <t>M12-1-2C03</t>
  </si>
  <si>
    <t>M12-1-2C02</t>
  </si>
  <si>
    <t>M12-1-2C01</t>
  </si>
  <si>
    <t>M12-1-1C06</t>
  </si>
  <si>
    <t>M12-1-1C05</t>
  </si>
  <si>
    <t>M12-1-1C04</t>
  </si>
  <si>
    <t>M12-1-1C03</t>
  </si>
  <si>
    <t>M12-1-1C02</t>
  </si>
  <si>
    <t>M12-1-1C01</t>
  </si>
  <si>
    <t>M14-1-9C06</t>
  </si>
  <si>
    <t>M14-1-9C05</t>
  </si>
  <si>
    <t>M14-1-9C04</t>
  </si>
  <si>
    <t>M14-1-9C03</t>
  </si>
  <si>
    <t>M14-1-9C02</t>
  </si>
  <si>
    <t>M14-1-9C01</t>
  </si>
  <si>
    <t>M14-1-8A09</t>
  </si>
  <si>
    <t>M14-1-8B08</t>
  </si>
  <si>
    <t>M14-1-8C05</t>
  </si>
  <si>
    <t>M14-1-8D02</t>
  </si>
  <si>
    <t>M14-1-8E01</t>
  </si>
  <si>
    <t>M14-1-8E10</t>
  </si>
  <si>
    <t>M14-1-7C03</t>
  </si>
  <si>
    <t>M14-1-7C02</t>
  </si>
  <si>
    <t>M14-1-7C01</t>
  </si>
  <si>
    <t>M14-1-6C06</t>
  </si>
  <si>
    <t>M14-1-6C05</t>
  </si>
  <si>
    <t>M14-1-6C04</t>
  </si>
  <si>
    <t>M14-1-6C03</t>
  </si>
  <si>
    <t>M14-1-6C02</t>
  </si>
  <si>
    <t>M14-1-6C01</t>
  </si>
  <si>
    <t>M14-1-5C06</t>
  </si>
  <si>
    <t>M14-1-5C05</t>
  </si>
  <si>
    <t>M14-1-5C04</t>
  </si>
  <si>
    <t>M14-1-5C03</t>
  </si>
  <si>
    <t>M14-1-5C02</t>
  </si>
  <si>
    <t>M14-1-5C01</t>
  </si>
  <si>
    <t>M14-1-4C06</t>
  </si>
  <si>
    <t>M14-1-4C05</t>
  </si>
  <si>
    <t>M14-1-4C04</t>
  </si>
  <si>
    <t>M14-1-4C03</t>
  </si>
  <si>
    <t>M14-1-4C02</t>
  </si>
  <si>
    <t>M14-1-4C01</t>
  </si>
  <si>
    <t>M14-1-3C06</t>
  </si>
  <si>
    <t>M14-1-3C05</t>
  </si>
  <si>
    <t>M14-1-3C04</t>
  </si>
  <si>
    <t>M14-1-3C03</t>
  </si>
  <si>
    <t>M14-1-3C02</t>
  </si>
  <si>
    <t>M14-1-3C01</t>
  </si>
  <si>
    <t>M14-1-2C06</t>
  </si>
  <si>
    <t>M14-1-2C05</t>
  </si>
  <si>
    <t>M14-1-2C04</t>
  </si>
  <si>
    <t>M14-1-2C03</t>
  </si>
  <si>
    <t>M14-1-2C02</t>
  </si>
  <si>
    <t>M14-1-2C01</t>
  </si>
  <si>
    <t>M14-1-1A09</t>
  </si>
  <si>
    <t>M14-1-1B08</t>
  </si>
  <si>
    <t>M14-1-1C05</t>
  </si>
  <si>
    <t>M14-1-1D02</t>
  </si>
  <si>
    <t>M14-1-1E01</t>
  </si>
  <si>
    <t>M14-1-1E10</t>
  </si>
  <si>
    <t>2ND FLOOR</t>
  </si>
  <si>
    <t>M18-2-1A01</t>
  </si>
  <si>
    <t>M18-2-1A10</t>
  </si>
  <si>
    <t>M18-2-1B09</t>
  </si>
  <si>
    <t>M18-2-1C06</t>
  </si>
  <si>
    <t>M18-2-1D03</t>
  </si>
  <si>
    <t>M18-2-1E02</t>
  </si>
  <si>
    <t>M18-2-2C01</t>
  </si>
  <si>
    <t>M18-2-2C02</t>
  </si>
  <si>
    <t>M18-2-2C03</t>
  </si>
  <si>
    <t>M18-2-2C04</t>
  </si>
  <si>
    <t>M18-2-2C06</t>
  </si>
  <si>
    <t>M18-2-3C01</t>
  </si>
  <si>
    <t>M18-2-3C02</t>
  </si>
  <si>
    <t>M18-2-3C03</t>
  </si>
  <si>
    <t>M18-2-3C04</t>
  </si>
  <si>
    <t>M18-2-3C05</t>
  </si>
  <si>
    <t>M18-2-3C06</t>
  </si>
  <si>
    <t>M18-2-4C01</t>
  </si>
  <si>
    <t>M18-2-4C02</t>
  </si>
  <si>
    <t>M18-2-4C03</t>
  </si>
  <si>
    <t>M18-2-4C04</t>
  </si>
  <si>
    <t>M18-2-4C05</t>
  </si>
  <si>
    <t>M18-2-4C06</t>
  </si>
  <si>
    <t>M18-2-5C01</t>
  </si>
  <si>
    <t>M18-2-5C02</t>
  </si>
  <si>
    <t>M18-2-5C03</t>
  </si>
  <si>
    <t>M18-2-5C04</t>
  </si>
  <si>
    <t>M18-2-5C05</t>
  </si>
  <si>
    <t>M18-2-5C06</t>
  </si>
  <si>
    <t>M18-2-6C01</t>
  </si>
  <si>
    <t>M18-2-6C02</t>
  </si>
  <si>
    <t>M18-2-6C03</t>
  </si>
  <si>
    <t>M18-2-6C04</t>
  </si>
  <si>
    <t>M18-2-6C05</t>
  </si>
  <si>
    <t>M18-2-6C06</t>
  </si>
  <si>
    <t>M18-2-7C01</t>
  </si>
  <si>
    <t>M18-2-7C02</t>
  </si>
  <si>
    <t>M18-2-7C03</t>
  </si>
  <si>
    <t>M18-2-7C04</t>
  </si>
  <si>
    <t>M18-2-7C05</t>
  </si>
  <si>
    <t>M18-2-7C06</t>
  </si>
  <si>
    <t>M16-2-1A01</t>
  </si>
  <si>
    <t>M16-2-1A10</t>
  </si>
  <si>
    <t>M16-2-1B09</t>
  </si>
  <si>
    <t>M16-2-1C06</t>
  </si>
  <si>
    <t>M16-2-1D03</t>
  </si>
  <si>
    <t>M16-2-1E02</t>
  </si>
  <si>
    <t>M16-2-2C04</t>
  </si>
  <si>
    <t>M16-2-2C05</t>
  </si>
  <si>
    <t>M16-2-2C06</t>
  </si>
  <si>
    <t>M16-2-3C01</t>
  </si>
  <si>
    <t>M16-2-3C02</t>
  </si>
  <si>
    <t>M16-2-3C03</t>
  </si>
  <si>
    <t>M16-2-3C04</t>
  </si>
  <si>
    <t>M16-2-3C05</t>
  </si>
  <si>
    <t>M16-2-3C06</t>
  </si>
  <si>
    <t>M16-2-4C01</t>
  </si>
  <si>
    <t>M16-2-4C02</t>
  </si>
  <si>
    <t>M16-2-4C03</t>
  </si>
  <si>
    <t>M16-2-4C04</t>
  </si>
  <si>
    <t>M16-2-4C05</t>
  </si>
  <si>
    <t>M16-2-4C06</t>
  </si>
  <si>
    <t>M16-2-5C01</t>
  </si>
  <si>
    <t>M16-2-5C02</t>
  </si>
  <si>
    <t>M16-2-5C03</t>
  </si>
  <si>
    <t>M16-2-5C04</t>
  </si>
  <si>
    <t>M16-2-5C05</t>
  </si>
  <si>
    <t>M16-2-5C06</t>
  </si>
  <si>
    <t>M16-2-6C01</t>
  </si>
  <si>
    <t>M16-2-6C02</t>
  </si>
  <si>
    <t>M16-2-6C03</t>
  </si>
  <si>
    <t>M16-2-6C04</t>
  </si>
  <si>
    <t>M16-2-6C05</t>
  </si>
  <si>
    <t>M16-2-6C06</t>
  </si>
  <si>
    <t>M16-2-7C01</t>
  </si>
  <si>
    <t>M16-2-7C02</t>
  </si>
  <si>
    <t>M16-2-7C03</t>
  </si>
  <si>
    <t>M16-2-7C04</t>
  </si>
  <si>
    <t>M16-2-7C05</t>
  </si>
  <si>
    <t>M16-2-7C06</t>
  </si>
  <si>
    <t>M16-2-8C01</t>
  </si>
  <si>
    <t>M16-2-8C02</t>
  </si>
  <si>
    <t>M16-2-8C03</t>
  </si>
  <si>
    <t>M16-2-8C04</t>
  </si>
  <si>
    <t>M16-2-8C06</t>
  </si>
  <si>
    <t>M18-2-1A02</t>
  </si>
  <si>
    <t>M18-2-1B01</t>
  </si>
  <si>
    <t>M18-2-1B10</t>
  </si>
  <si>
    <t>M18-2-1C07</t>
  </si>
  <si>
    <t>M18-2-1D04</t>
  </si>
  <si>
    <t>M18-2-1E03</t>
  </si>
  <si>
    <t>M16-2-1A02</t>
  </si>
  <si>
    <t>M16-2-1B01</t>
  </si>
  <si>
    <t>M16-2-1B10</t>
  </si>
  <si>
    <t>M16-2-1C07</t>
  </si>
  <si>
    <t>M16-2-1D04</t>
  </si>
  <si>
    <t>M16-2-1E03</t>
  </si>
  <si>
    <t>M18-2-1A03</t>
  </si>
  <si>
    <t>M18-2-1B02</t>
  </si>
  <si>
    <t>M18-2-1C01</t>
  </si>
  <si>
    <t>M18-2-1C08</t>
  </si>
  <si>
    <t>M18-2-1D05</t>
  </si>
  <si>
    <t>M18-2-1E04</t>
  </si>
  <si>
    <t>M16-2-1A03</t>
  </si>
  <si>
    <t>M16-2-1B02</t>
  </si>
  <si>
    <t>M16-2-1C01</t>
  </si>
  <si>
    <t>M16-2-1C08</t>
  </si>
  <si>
    <t>M16-2-1D05</t>
  </si>
  <si>
    <t>M16-2-1E04</t>
  </si>
  <si>
    <t>M18-2-1A04</t>
  </si>
  <si>
    <t>M18-2-1B03</t>
  </si>
  <si>
    <t>M18-2-1C02</t>
  </si>
  <si>
    <t>M18-2-1C09</t>
  </si>
  <si>
    <t>M18-2-1D06</t>
  </si>
  <si>
    <t>M18-2-1E05</t>
  </si>
  <si>
    <t>M18-2-2B01</t>
  </si>
  <si>
    <t>M18-2-2B02</t>
  </si>
  <si>
    <t>M18-2-2B03</t>
  </si>
  <si>
    <t>M18-2-2B04</t>
  </si>
  <si>
    <t>M18-2-2B06</t>
  </si>
  <si>
    <t>M18-2-3B01</t>
  </si>
  <si>
    <t>M18-2-3B02</t>
  </si>
  <si>
    <t>M18-2-3B03</t>
  </si>
  <si>
    <t>M18-2-3B04</t>
  </si>
  <si>
    <t>M18-2-3B05</t>
  </si>
  <si>
    <t>M18-2-3B06</t>
  </si>
  <si>
    <t>M18-2-4B01</t>
  </si>
  <si>
    <t>M18-2-4B02</t>
  </si>
  <si>
    <t>M18-2-4B03</t>
  </si>
  <si>
    <t>M18-2-4B04</t>
  </si>
  <si>
    <t>M18-2-4B05</t>
  </si>
  <si>
    <t>M18-2-4B06</t>
  </si>
  <si>
    <t>M18-2-5B01</t>
  </si>
  <si>
    <t>M18-2-5B02</t>
  </si>
  <si>
    <t>M18-2-5B03</t>
  </si>
  <si>
    <t>M18-2-5B04</t>
  </si>
  <si>
    <t>M18-2-5B05</t>
  </si>
  <si>
    <t>M18-2-5B06</t>
  </si>
  <si>
    <t>M18-2-6B01</t>
  </si>
  <si>
    <t>M18-2-6B02</t>
  </si>
  <si>
    <t>M18-2-6B03</t>
  </si>
  <si>
    <t>M18-2-6B04</t>
  </si>
  <si>
    <t>M18-2-6B05</t>
  </si>
  <si>
    <t>M18-2-6B06</t>
  </si>
  <si>
    <t>M18-2-7B01</t>
  </si>
  <si>
    <t>M18-2-7B02</t>
  </si>
  <si>
    <t>M18-2-7B03</t>
  </si>
  <si>
    <t>M18-2-7B04</t>
  </si>
  <si>
    <t>M18-2-7B05</t>
  </si>
  <si>
    <t>M18-2-7B06</t>
  </si>
  <si>
    <t>M16-2-1A04</t>
  </si>
  <si>
    <t>M16-2-1B03</t>
  </si>
  <si>
    <t>M16-2-1C02</t>
  </si>
  <si>
    <t>M16-2-1C09</t>
  </si>
  <si>
    <t>M16-2-1D06</t>
  </si>
  <si>
    <t>M16-2-1E05</t>
  </si>
  <si>
    <t>M16-2-2B04</t>
  </si>
  <si>
    <t>M16-2-2B05</t>
  </si>
  <si>
    <t>M16-2-2B06</t>
  </si>
  <si>
    <t>M16-2-3B01</t>
  </si>
  <si>
    <t>M16-2-3B02</t>
  </si>
  <si>
    <t>M16-2-3B03</t>
  </si>
  <si>
    <t>M16-2-3B04</t>
  </si>
  <si>
    <t>M16-2-3B05</t>
  </si>
  <si>
    <t>M16-2-3B06</t>
  </si>
  <si>
    <t>M16-2-4B01</t>
  </si>
  <si>
    <t>M16-2-4B02</t>
  </si>
  <si>
    <t>M16-2-4B03</t>
  </si>
  <si>
    <t>M16-2-4B04</t>
  </si>
  <si>
    <t>M16-2-4B05</t>
  </si>
  <si>
    <t>M16-2-4B06</t>
  </si>
  <si>
    <t>M16-2-5B01</t>
  </si>
  <si>
    <t>M16-2-5B02</t>
  </si>
  <si>
    <t>M16-2-5B03</t>
  </si>
  <si>
    <t>M16-2-5B04</t>
  </si>
  <si>
    <t>M16-2-5B05</t>
  </si>
  <si>
    <t>M16-2-5B06</t>
  </si>
  <si>
    <t>M16-2-6B01</t>
  </si>
  <si>
    <t>M16-2-6B02</t>
  </si>
  <si>
    <t>M16-2-6B03</t>
  </si>
  <si>
    <t>M16-2-6B04</t>
  </si>
  <si>
    <t>M16-2-6B05</t>
  </si>
  <si>
    <t>M16-2-6B06</t>
  </si>
  <si>
    <t>M16-2-7B01</t>
  </si>
  <si>
    <t>M16-2-7B02</t>
  </si>
  <si>
    <t>M16-2-7B03</t>
  </si>
  <si>
    <t>M16-2-7B04</t>
  </si>
  <si>
    <t>M16-2-7B05</t>
  </si>
  <si>
    <t>M16-2-7B06</t>
  </si>
  <si>
    <t>M16-2-8B01</t>
  </si>
  <si>
    <t>M16-2-8B02</t>
  </si>
  <si>
    <t>M16-2-8B03</t>
  </si>
  <si>
    <t>M16-2-8B04</t>
  </si>
  <si>
    <t>M16-2-8B06</t>
  </si>
  <si>
    <t>M18-2-1A05</t>
  </si>
  <si>
    <t>M18-2-1B04</t>
  </si>
  <si>
    <t>M18-2-1C03</t>
  </si>
  <si>
    <t>M18-2-1C10</t>
  </si>
  <si>
    <t>M18-2-1D07</t>
  </si>
  <si>
    <t>M18-2-1E06</t>
  </si>
  <si>
    <t>M16-2-1A05</t>
  </si>
  <si>
    <t>M16-2-1B04</t>
  </si>
  <si>
    <t>M16-2-1C03</t>
  </si>
  <si>
    <t>M16-2-1C10</t>
  </si>
  <si>
    <t>M16-2-1D07</t>
  </si>
  <si>
    <t>M16-2-1E06</t>
  </si>
  <si>
    <t>M18-2-1A06</t>
  </si>
  <si>
    <t>M18-2-1B05</t>
  </si>
  <si>
    <t>M18-2-1C04</t>
  </si>
  <si>
    <t>M18-2-1D01</t>
  </si>
  <si>
    <t>M18-2-1D08</t>
  </si>
  <si>
    <t>M18-2-1E07</t>
  </si>
  <si>
    <t>M16-2-1A06</t>
  </si>
  <si>
    <t>M16-2-1B05</t>
  </si>
  <si>
    <t>M16-2-1C04</t>
  </si>
  <si>
    <t>M16-2-1D01</t>
  </si>
  <si>
    <t>M16-2-1D08</t>
  </si>
  <si>
    <t>M16-2-1E07</t>
  </si>
  <si>
    <t>M18-2-1A07</t>
  </si>
  <si>
    <t>M18-2-1B06</t>
  </si>
  <si>
    <t>M18-2-1C05</t>
  </si>
  <si>
    <t>M18-2-1D02</t>
  </si>
  <si>
    <t>M18-2-1D09</t>
  </si>
  <si>
    <t>M18-2-1E08</t>
  </si>
  <si>
    <t>M18-2-2A01</t>
  </si>
  <si>
    <t>M18-2-2A02</t>
  </si>
  <si>
    <t>M18-2-2A03</t>
  </si>
  <si>
    <t>M18-2-2A04</t>
  </si>
  <si>
    <t>M18-2-2A06</t>
  </si>
  <si>
    <t>M18-2-3A01</t>
  </si>
  <si>
    <t>M18-2-3A02</t>
  </si>
  <si>
    <t>M18-2-3A03</t>
  </si>
  <si>
    <t>M18-2-3A04</t>
  </si>
  <si>
    <t>M18-2-3A05</t>
  </si>
  <si>
    <t>M18-2-3A06</t>
  </si>
  <si>
    <t>M18-2-4A01</t>
  </si>
  <si>
    <t>M18-2-4A02</t>
  </si>
  <si>
    <t>M18-2-4A03</t>
  </si>
  <si>
    <t>M18-2-4A04</t>
  </si>
  <si>
    <t>M18-2-4A05</t>
  </si>
  <si>
    <t>M18-2-4A06</t>
  </si>
  <si>
    <t>M18-2-5A01</t>
  </si>
  <si>
    <t>M18-2-5A02</t>
  </si>
  <si>
    <t>M18-2-5A03</t>
  </si>
  <si>
    <t>M18-2-5A04</t>
  </si>
  <si>
    <t>M18-2-5A05</t>
  </si>
  <si>
    <t>M18-2-5A06</t>
  </si>
  <si>
    <t>M18-2-6A01</t>
  </si>
  <si>
    <t>M18-2-6A02</t>
  </si>
  <si>
    <t>M18-2-6A03</t>
  </si>
  <si>
    <t>M18-2-6A04</t>
  </si>
  <si>
    <t>M18-2-6A05</t>
  </si>
  <si>
    <t>M18-2-6A06</t>
  </si>
  <si>
    <t>M18-2-7A01</t>
  </si>
  <si>
    <t>M18-2-7A02</t>
  </si>
  <si>
    <t>M18-2-7A03</t>
  </si>
  <si>
    <t>M18-2-7A04</t>
  </si>
  <si>
    <t>M18-2-7A05</t>
  </si>
  <si>
    <t>M18-2-7A06</t>
  </si>
  <si>
    <t>M16-2-1A07</t>
  </si>
  <si>
    <t>M16-2-1B06</t>
  </si>
  <si>
    <t>M16-2-1C05</t>
  </si>
  <si>
    <t>M16-2-1D02</t>
  </si>
  <si>
    <t>M16-2-1D09</t>
  </si>
  <si>
    <t>M16-2-1E08</t>
  </si>
  <si>
    <t>M16-2-2A04</t>
  </si>
  <si>
    <t>M16-2-2A05</t>
  </si>
  <si>
    <t>M16-2-2A06</t>
  </si>
  <si>
    <t>M16-2-3A01</t>
  </si>
  <si>
    <t>M16-2-3A02</t>
  </si>
  <si>
    <t>M16-2-3A03</t>
  </si>
  <si>
    <t>M16-2-3A04</t>
  </si>
  <si>
    <t>M16-2-3A05</t>
  </si>
  <si>
    <t>M16-2-3A06</t>
  </si>
  <si>
    <t>M16-2-4A01</t>
  </si>
  <si>
    <t>M16-2-4A02</t>
  </si>
  <si>
    <t>M16-2-4A03</t>
  </si>
  <si>
    <t>M16-2-4A04</t>
  </si>
  <si>
    <t>M16-2-4A05</t>
  </si>
  <si>
    <t>M16-2-4A06</t>
  </si>
  <si>
    <t>M16-2-5A01</t>
  </si>
  <si>
    <t>M16-2-5A02</t>
  </si>
  <si>
    <t>M16-2-5A03</t>
  </si>
  <si>
    <t>M16-2-5A04</t>
  </si>
  <si>
    <t>M16-2-5A05</t>
  </si>
  <si>
    <t>M16-2-5A06</t>
  </si>
  <si>
    <t>M16-2-6A01</t>
  </si>
  <si>
    <t>M16-2-6A02</t>
  </si>
  <si>
    <t>M16-2-6A03</t>
  </si>
  <si>
    <t>M16-2-6A04</t>
  </si>
  <si>
    <t>M16-2-6A05</t>
  </si>
  <si>
    <t>M16-2-6A06</t>
  </si>
  <si>
    <t>M16-2-7A01</t>
  </si>
  <si>
    <t>M16-2-7A02</t>
  </si>
  <si>
    <t>M16-2-7A03</t>
  </si>
  <si>
    <t>M16-2-7A04</t>
  </si>
  <si>
    <t>M16-2-7A05</t>
  </si>
  <si>
    <t>M16-2-7A06</t>
  </si>
  <si>
    <t>M16-2-8A01</t>
  </si>
  <si>
    <t>M16-2-8A02</t>
  </si>
  <si>
    <t>M16-2-8A03</t>
  </si>
  <si>
    <t>M16-2-8A04</t>
  </si>
  <si>
    <t>M16-2-8A06</t>
  </si>
  <si>
    <t>M18-2-1A08</t>
  </si>
  <si>
    <t>M18-2-1B07</t>
  </si>
  <si>
    <t>M18-2-1D10</t>
  </si>
  <si>
    <t>M18-2-1E09</t>
  </si>
  <si>
    <t>M16-2-1A08</t>
  </si>
  <si>
    <t>M16-2-1B07</t>
  </si>
  <si>
    <t>M16-2-1D10</t>
  </si>
  <si>
    <t>M16-2-1E09</t>
  </si>
  <si>
    <t>M18-2-1A09</t>
  </si>
  <si>
    <t>M18-2-1B08</t>
  </si>
  <si>
    <t>M18-2-1E01</t>
  </si>
  <si>
    <t>M18-2-1E10</t>
  </si>
  <si>
    <t>M16-2-1A09</t>
  </si>
  <si>
    <t>M16-2-1B08</t>
  </si>
  <si>
    <t>M16-2-1E01</t>
  </si>
  <si>
    <t>M16-2-1E10</t>
  </si>
  <si>
    <t>ZONE 7</t>
  </si>
  <si>
    <t>ZONE 5</t>
  </si>
  <si>
    <t>ZONE 8</t>
  </si>
  <si>
    <t>ZONE 6</t>
  </si>
  <si>
    <t>M17-2-1A01</t>
  </si>
  <si>
    <t>M17-2-1A10</t>
  </si>
  <si>
    <t>M17-2-1D03</t>
  </si>
  <si>
    <t>M17-2-1E02</t>
  </si>
  <si>
    <t>M15-2-1A01</t>
  </si>
  <si>
    <t>M15-2-1A10</t>
  </si>
  <si>
    <t>M15-2-1D03</t>
  </si>
  <si>
    <t>M15-2-1E02</t>
  </si>
  <si>
    <t>M17-2-1A02</t>
  </si>
  <si>
    <t>M17-2-1B01</t>
  </si>
  <si>
    <t>M17-2-1D04</t>
  </si>
  <si>
    <t>M17-2-1E03</t>
  </si>
  <si>
    <t>M15-2-1A02</t>
  </si>
  <si>
    <t>M15-2-1B01</t>
  </si>
  <si>
    <t>M15-2-1D04</t>
  </si>
  <si>
    <t>M15-2-1E03</t>
  </si>
  <si>
    <t>M17-2-1A03</t>
  </si>
  <si>
    <t>M17-2-1B02</t>
  </si>
  <si>
    <t>M17-2-1B09</t>
  </si>
  <si>
    <t>M17-2-1C06</t>
  </si>
  <si>
    <t>M17-2-1D05</t>
  </si>
  <si>
    <t>M17-2-1E04</t>
  </si>
  <si>
    <t>M17-2-2A01</t>
  </si>
  <si>
    <t>M17-2-2A02</t>
  </si>
  <si>
    <t>M17-2-2A03</t>
  </si>
  <si>
    <t>M17-2-2A04</t>
  </si>
  <si>
    <t>M17-2-2A05</t>
  </si>
  <si>
    <t>M17-2-2A06</t>
  </si>
  <si>
    <t>M17-2-3A01</t>
  </si>
  <si>
    <t>M17-2-3A02</t>
  </si>
  <si>
    <t>M17-2-3A03</t>
  </si>
  <si>
    <t>M17-2-3A04</t>
  </si>
  <si>
    <t>M17-2-3A05</t>
  </si>
  <si>
    <t>M17-2-3A06</t>
  </si>
  <si>
    <t>M17-2-4A01</t>
  </si>
  <si>
    <t>M17-2-4A02</t>
  </si>
  <si>
    <t>M17-2-4A03</t>
  </si>
  <si>
    <t>M17-2-4A04</t>
  </si>
  <si>
    <t>M17-2-4A05</t>
  </si>
  <si>
    <t>M17-2-4A06</t>
  </si>
  <si>
    <t>M17-2-5A01</t>
  </si>
  <si>
    <t>M17-2-5A02</t>
  </si>
  <si>
    <t>M17-2-5A03</t>
  </si>
  <si>
    <t>M17-2-5A04</t>
  </si>
  <si>
    <t>M17-2-5A05</t>
  </si>
  <si>
    <t>M17-2-5A06</t>
  </si>
  <si>
    <t>M17-2-6A01</t>
  </si>
  <si>
    <t>M17-2-6A02</t>
  </si>
  <si>
    <t>M17-2-6A03</t>
  </si>
  <si>
    <t>M17-2-6A04</t>
  </si>
  <si>
    <t>M17-2-6A05</t>
  </si>
  <si>
    <t>M17-2-6A06</t>
  </si>
  <si>
    <t>M17-2-7A01</t>
  </si>
  <si>
    <t>M17-2-7A02</t>
  </si>
  <si>
    <t>M17-2-7A03</t>
  </si>
  <si>
    <t>M17-2-7A04</t>
  </si>
  <si>
    <t>M17-2-7A05</t>
  </si>
  <si>
    <t>M17-2-7A06</t>
  </si>
  <si>
    <t>M15-2-1A03</t>
  </si>
  <si>
    <t>M15-2-1B02</t>
  </si>
  <si>
    <t>M15-2-1B09</t>
  </si>
  <si>
    <t>M15-2-1C06</t>
  </si>
  <si>
    <t>M15-2-1D05</t>
  </si>
  <si>
    <t>M15-2-1E04</t>
  </si>
  <si>
    <t>M16-2-2A01</t>
  </si>
  <si>
    <t>M16-2-2A02</t>
  </si>
  <si>
    <t>M16-2-2A03</t>
  </si>
  <si>
    <t>M15-2-2A04</t>
  </si>
  <si>
    <t>M15-2-2A05</t>
  </si>
  <si>
    <t>M15-2-2A06</t>
  </si>
  <si>
    <t>M15-2-3A01</t>
  </si>
  <si>
    <t>M15-2-3A02</t>
  </si>
  <si>
    <t>M15-2-3A03</t>
  </si>
  <si>
    <t>M15-2-3A04</t>
  </si>
  <si>
    <t>M15-2-3A05</t>
  </si>
  <si>
    <t>M15-2-3A06</t>
  </si>
  <si>
    <t>M15-2-4A01</t>
  </si>
  <si>
    <t>M15-2-4A02</t>
  </si>
  <si>
    <t>M15-2-4A03</t>
  </si>
  <si>
    <t>M15-2-4A04</t>
  </si>
  <si>
    <t>M15-2-4A05</t>
  </si>
  <si>
    <t>M15-2-4A06</t>
  </si>
  <si>
    <t>M15-2-5A01</t>
  </si>
  <si>
    <t>M15-2-5A02</t>
  </si>
  <si>
    <t>M15-2-5A03</t>
  </si>
  <si>
    <t>M15-2-5A04</t>
  </si>
  <si>
    <t>M15-2-5A05</t>
  </si>
  <si>
    <t>M15-2-5A06</t>
  </si>
  <si>
    <t>M15-2-6A01</t>
  </si>
  <si>
    <t>M15-2-6A02</t>
  </si>
  <si>
    <t>M15-2-6A03</t>
  </si>
  <si>
    <t>M15-2-6A04</t>
  </si>
  <si>
    <t>M15-2-6A05</t>
  </si>
  <si>
    <t>M15-2-6A06</t>
  </si>
  <si>
    <t>M15-2-7A01</t>
  </si>
  <si>
    <t>M15-2-7A02</t>
  </si>
  <si>
    <t>M15-2-7A03</t>
  </si>
  <si>
    <t>M15-2-7A04</t>
  </si>
  <si>
    <t>M15-2-7A05</t>
  </si>
  <si>
    <t>M15-2-7A06</t>
  </si>
  <si>
    <t>M15-2-8A01</t>
  </si>
  <si>
    <t>M15-2-8A02</t>
  </si>
  <si>
    <t>M15-2-8A03</t>
  </si>
  <si>
    <t>M15-2-8A04</t>
  </si>
  <si>
    <t>M15-2-8A05</t>
  </si>
  <si>
    <t>M15-2-8A06</t>
  </si>
  <si>
    <t>M17-2-1A04</t>
  </si>
  <si>
    <t>M17-2-1B03</t>
  </si>
  <si>
    <t>M17-2-1B10</t>
  </si>
  <si>
    <t>M17-2-1C07</t>
  </si>
  <si>
    <t>M17-2-1D06</t>
  </si>
  <si>
    <t>M17-2-1E05</t>
  </si>
  <si>
    <t>M15-2-1A04</t>
  </si>
  <si>
    <t>M15-2-1B03</t>
  </si>
  <si>
    <t>M15-2-1B10</t>
  </si>
  <si>
    <t>M15-2-1C07</t>
  </si>
  <si>
    <t>M15-2-1D06</t>
  </si>
  <si>
    <t>M15-2-1E05</t>
  </si>
  <si>
    <t>M17-2-1A05</t>
  </si>
  <si>
    <t>M17-2-1B04</t>
  </si>
  <si>
    <t>M17-2-1C01</t>
  </si>
  <si>
    <t>M17-2-1C08</t>
  </si>
  <si>
    <t>M17-2-1D07</t>
  </si>
  <si>
    <t>M17-2-1E06</t>
  </si>
  <si>
    <t>M15-2-1A05</t>
  </si>
  <si>
    <t>M15-2-1B04</t>
  </si>
  <si>
    <t>M15-2-1C01</t>
  </si>
  <si>
    <t>M15-2-1C08</t>
  </si>
  <si>
    <t>M15-2-1D07</t>
  </si>
  <si>
    <t>M15-2-1E06</t>
  </si>
  <si>
    <t>M17-2-1A06</t>
  </si>
  <si>
    <t>M17-2-1B05</t>
  </si>
  <si>
    <t>M17-2-1C02</t>
  </si>
  <si>
    <t>M17-2-1C09</t>
  </si>
  <si>
    <t>M17-2-1D08</t>
  </si>
  <si>
    <t>M17-2-1E07</t>
  </si>
  <si>
    <t>M17-2-2B01</t>
  </si>
  <si>
    <t>M17-2-2B02</t>
  </si>
  <si>
    <t>M17-2-2B03</t>
  </si>
  <si>
    <t>M17-2-2B04</t>
  </si>
  <si>
    <t>M17-2-2B05</t>
  </si>
  <si>
    <t>M17-2-2B06</t>
  </si>
  <si>
    <t>M17-2-3B01</t>
  </si>
  <si>
    <t>M17-2-3B02</t>
  </si>
  <si>
    <t>M17-2-3B03</t>
  </si>
  <si>
    <t>M17-2-3B04</t>
  </si>
  <si>
    <t>M17-2-3B05</t>
  </si>
  <si>
    <t>M17-2-3B06</t>
  </si>
  <si>
    <t>M17-2-4B01</t>
  </si>
  <si>
    <t>M17-2-4B02</t>
  </si>
  <si>
    <t>M17-2-4B03</t>
  </si>
  <si>
    <t>M17-2-4B04</t>
  </si>
  <si>
    <t>M17-2-4B05</t>
  </si>
  <si>
    <t>M17-2-4B06</t>
  </si>
  <si>
    <t>M17-2-5B01</t>
  </si>
  <si>
    <t>M17-2-5B02</t>
  </si>
  <si>
    <t>M17-2-5B03</t>
  </si>
  <si>
    <t>M17-2-5B04</t>
  </si>
  <si>
    <t>M17-2-5B05</t>
  </si>
  <si>
    <t>M17-2-5B06</t>
  </si>
  <si>
    <t>M17-2-6B01</t>
  </si>
  <si>
    <t>M17-2-6B02</t>
  </si>
  <si>
    <t>M17-2-6B03</t>
  </si>
  <si>
    <t>M17-2-6B04</t>
  </si>
  <si>
    <t>M17-2-6B05</t>
  </si>
  <si>
    <t>M17-2-6B06</t>
  </si>
  <si>
    <t>M17-2-7B01</t>
  </si>
  <si>
    <t>M17-2-7B02</t>
  </si>
  <si>
    <t>M17-2-7B03</t>
  </si>
  <si>
    <t>M17-2-7B04</t>
  </si>
  <si>
    <t>M17-2-7B05</t>
  </si>
  <si>
    <t>M17-2-7B06</t>
  </si>
  <si>
    <t>M15-2-1A06</t>
  </si>
  <si>
    <t>M15-2-1B05</t>
  </si>
  <si>
    <t>M15-2-1C02</t>
  </si>
  <si>
    <t>M15-2-1C09</t>
  </si>
  <si>
    <t>M15-2-1D08</t>
  </si>
  <si>
    <t>M15-2-1E07</t>
  </si>
  <si>
    <t>M16-2-2B01</t>
  </si>
  <si>
    <t>M16-2-2B02</t>
  </si>
  <si>
    <t>M16-2-2B03</t>
  </si>
  <si>
    <t>M15-2-2B04</t>
  </si>
  <si>
    <t>M15-2-2B05</t>
  </si>
  <si>
    <t>M15-2-2B06</t>
  </si>
  <si>
    <t>M15-2-3B01</t>
  </si>
  <si>
    <t>M15-2-3B02</t>
  </si>
  <si>
    <t>M15-2-3B03</t>
  </si>
  <si>
    <t>M15-2-3B04</t>
  </si>
  <si>
    <t>M15-2-3B05</t>
  </si>
  <si>
    <t>M15-2-3B06</t>
  </si>
  <si>
    <t>M15-2-4B01</t>
  </si>
  <si>
    <t>M15-2-4B02</t>
  </si>
  <si>
    <t>M15-2-4B03</t>
  </si>
  <si>
    <t>M15-2-4B04</t>
  </si>
  <si>
    <t>M15-2-4B05</t>
  </si>
  <si>
    <t>M15-2-4B06</t>
  </si>
  <si>
    <t>M15-2-5B01</t>
  </si>
  <si>
    <t>M15-2-5B02</t>
  </si>
  <si>
    <t>M15-2-5B03</t>
  </si>
  <si>
    <t>M15-2-5B04</t>
  </si>
  <si>
    <t>M15-2-5B05</t>
  </si>
  <si>
    <t>M15-2-5B06</t>
  </si>
  <si>
    <t>M15-2-6B01</t>
  </si>
  <si>
    <t>M15-2-6B02</t>
  </si>
  <si>
    <t>M15-2-6B03</t>
  </si>
  <si>
    <t>M15-2-6B04</t>
  </si>
  <si>
    <t>M15-2-6B05</t>
  </si>
  <si>
    <t>M15-2-6B06</t>
  </si>
  <si>
    <t>M15-2-7B01</t>
  </si>
  <si>
    <t>M15-2-7B02</t>
  </si>
  <si>
    <t>M15-2-7B03</t>
  </si>
  <si>
    <t>M15-2-7B04</t>
  </si>
  <si>
    <t>M15-2-7B05</t>
  </si>
  <si>
    <t>M15-2-7B06</t>
  </si>
  <si>
    <t>M15-2-8B01</t>
  </si>
  <si>
    <t>M15-2-8B02</t>
  </si>
  <si>
    <t>M15-2-8B03</t>
  </si>
  <si>
    <t>M15-2-8B04</t>
  </si>
  <si>
    <t>M15-2-8B05</t>
  </si>
  <si>
    <t>M15-2-8B06</t>
  </si>
  <si>
    <t>M17-2-1A07</t>
  </si>
  <si>
    <t>M17-2-1B06</t>
  </si>
  <si>
    <t>M17-2-1C03</t>
  </si>
  <si>
    <t>M17-2-1C10</t>
  </si>
  <si>
    <t>M17-2-1D09</t>
  </si>
  <si>
    <t>M17-2-1E08</t>
  </si>
  <si>
    <t>M15-2-1A07</t>
  </si>
  <si>
    <t>M15-2-1B06</t>
  </si>
  <si>
    <t>M15-2-1C03</t>
  </si>
  <si>
    <t>M15-2-1C10</t>
  </si>
  <si>
    <t>M15-2-1D09</t>
  </si>
  <si>
    <t>M15-2-1E08</t>
  </si>
  <si>
    <t>M17-2-1A08</t>
  </si>
  <si>
    <t>M17-2-1B07</t>
  </si>
  <si>
    <t>M17-2-1C04</t>
  </si>
  <si>
    <t>M17-2-1D01</t>
  </si>
  <si>
    <t>M17-2-1D10</t>
  </si>
  <si>
    <t>M17-2-1E09</t>
  </si>
  <si>
    <t>M15-2-1A08</t>
  </si>
  <si>
    <t>M15-2-1B07</t>
  </si>
  <si>
    <t>M15-2-1C04</t>
  </si>
  <si>
    <t>M15-2-1D01</t>
  </si>
  <si>
    <t>M15-2-1D10</t>
  </si>
  <si>
    <t>M15-2-1E09</t>
  </si>
  <si>
    <t>M17-2-1A09</t>
  </si>
  <si>
    <t>M17-2-1B08</t>
  </si>
  <si>
    <t>M17-2-1C05</t>
  </si>
  <si>
    <t>M17-2-1D02</t>
  </si>
  <si>
    <t>M17-2-1E01</t>
  </si>
  <si>
    <t>M17-2-1E10</t>
  </si>
  <si>
    <t>M17-2-2C01</t>
  </si>
  <si>
    <t>M17-2-2C02</t>
  </si>
  <si>
    <t>M17-2-2C03</t>
  </si>
  <si>
    <t>M17-2-2C04</t>
  </si>
  <si>
    <t>M17-2-2C05</t>
  </si>
  <si>
    <t>M17-2-2C06</t>
  </si>
  <si>
    <t>M17-2-3C01</t>
  </si>
  <si>
    <t>M17-2-3C02</t>
  </si>
  <si>
    <t>M17-2-3C03</t>
  </si>
  <si>
    <t>M17-2-3C04</t>
  </si>
  <si>
    <t>M17-2-3C05</t>
  </si>
  <si>
    <t>M17-2-3C06</t>
  </si>
  <si>
    <t>M17-2-4C01</t>
  </si>
  <si>
    <t>M17-2-4C02</t>
  </si>
  <si>
    <t>M17-2-4C03</t>
  </si>
  <si>
    <t>M17-2-4C04</t>
  </si>
  <si>
    <t>M17-2-4C05</t>
  </si>
  <si>
    <t>M17-2-4C06</t>
  </si>
  <si>
    <t>M17-2-5C01</t>
  </si>
  <si>
    <t>M17-2-5C02</t>
  </si>
  <si>
    <t>M17-2-5C03</t>
  </si>
  <si>
    <t>M17-2-5C04</t>
  </si>
  <si>
    <t>M17-2-5C05</t>
  </si>
  <si>
    <t>M17-2-5C06</t>
  </si>
  <si>
    <t>M17-2-6C01</t>
  </si>
  <si>
    <t>M17-2-6C02</t>
  </si>
  <si>
    <t>M17-2-6C03</t>
  </si>
  <si>
    <t>M17-2-6C04</t>
  </si>
  <si>
    <t>M17-2-6C05</t>
  </si>
  <si>
    <t>M17-2-6C06</t>
  </si>
  <si>
    <t>M17-2-7C01</t>
  </si>
  <si>
    <t>M17-2-7C02</t>
  </si>
  <si>
    <t>M17-2-7C03</t>
  </si>
  <si>
    <t>M17-2-7C04</t>
  </si>
  <si>
    <t>M17-2-7C05</t>
  </si>
  <si>
    <t>M17-2-7C06</t>
  </si>
  <si>
    <t>M15-2-1A09</t>
  </si>
  <si>
    <t>M15-2-1B08</t>
  </si>
  <si>
    <t>M15-2-1C05</t>
  </si>
  <si>
    <t>M15-2-1D02</t>
  </si>
  <si>
    <t>M15-2-1E01</t>
  </si>
  <si>
    <t>M15-2-1E10</t>
  </si>
  <si>
    <t>M16-2-2C01</t>
  </si>
  <si>
    <t>M16-2-2C02</t>
  </si>
  <si>
    <t>M16-2-2C03</t>
  </si>
  <si>
    <t>M15-2-2C04</t>
  </si>
  <si>
    <t>M15-2-2C05</t>
  </si>
  <si>
    <t>M15-2-2C06</t>
  </si>
  <si>
    <t>M15-2-3C01</t>
  </si>
  <si>
    <t>M15-2-3C02</t>
  </si>
  <si>
    <t>M15-2-3C03</t>
  </si>
  <si>
    <t>M15-2-3C04</t>
  </si>
  <si>
    <t>M15-2-3C05</t>
  </si>
  <si>
    <t>M15-2-3C06</t>
  </si>
  <si>
    <t>M15-2-4C01</t>
  </si>
  <si>
    <t>M15-2-4C02</t>
  </si>
  <si>
    <t>M15-2-4C03</t>
  </si>
  <si>
    <t>M15-2-4C04</t>
  </si>
  <si>
    <t>M15-2-4C05</t>
  </si>
  <si>
    <t>M15-2-4C06</t>
  </si>
  <si>
    <t>M15-2-5C01</t>
  </si>
  <si>
    <t>M15-2-5C02</t>
  </si>
  <si>
    <t>M15-2-5C03</t>
  </si>
  <si>
    <t>M15-2-5C04</t>
  </si>
  <si>
    <t>M15-2-5C05</t>
  </si>
  <si>
    <t>M15-2-5C06</t>
  </si>
  <si>
    <t>M15-2-6C01</t>
  </si>
  <si>
    <t>M15-2-6C02</t>
  </si>
  <si>
    <t>M15-2-6C03</t>
  </si>
  <si>
    <t>M15-2-6C04</t>
  </si>
  <si>
    <t>M15-2-6C05</t>
  </si>
  <si>
    <t>M15-2-6C06</t>
  </si>
  <si>
    <t>M15-2-7C01</t>
  </si>
  <si>
    <t>M15-2-7C02</t>
  </si>
  <si>
    <t>M15-2-7C03</t>
  </si>
  <si>
    <t>M15-2-7C04</t>
  </si>
  <si>
    <t>M15-2-7C05</t>
  </si>
  <si>
    <t>M15-2-7C06</t>
  </si>
  <si>
    <t>M15-2-8C01</t>
  </si>
  <si>
    <t>M15-2-8C02</t>
  </si>
  <si>
    <t>M15-2-8C03</t>
  </si>
  <si>
    <t>M15-2-8C04</t>
  </si>
  <si>
    <t>M15-2-8C05</t>
  </si>
  <si>
    <t>M15-2-8C06</t>
  </si>
  <si>
    <t>Module 1 Pick Counts</t>
  </si>
  <si>
    <t>Monthly</t>
  </si>
  <si>
    <t>Daily</t>
  </si>
  <si>
    <t>Zone 1</t>
  </si>
  <si>
    <t>Zone 2</t>
  </si>
  <si>
    <t xml:space="preserve">Zone 3 </t>
  </si>
  <si>
    <t>Zone 4</t>
  </si>
  <si>
    <t>Zone 5</t>
  </si>
  <si>
    <t>Zone 6</t>
  </si>
  <si>
    <t>Zone 7</t>
  </si>
  <si>
    <t>Zone 8</t>
  </si>
  <si>
    <t>PICK MOD 2</t>
  </si>
  <si>
    <t>M21-1-6C06</t>
  </si>
  <si>
    <t>M21-1-6C05</t>
  </si>
  <si>
    <t>M21-1-6C04</t>
  </si>
  <si>
    <t>M21-1-6C03</t>
  </si>
  <si>
    <t>M21-1-6C02</t>
  </si>
  <si>
    <t>M21-1-6C01</t>
  </si>
  <si>
    <t>M21-1-5C06</t>
  </si>
  <si>
    <t>M21-1-5C05</t>
  </si>
  <si>
    <t>M21-1-5C04</t>
  </si>
  <si>
    <t>M21-1-5C03</t>
  </si>
  <si>
    <t>M21-1-5C01</t>
  </si>
  <si>
    <t>M21-1-4C06</t>
  </si>
  <si>
    <t>M21-1-4C05</t>
  </si>
  <si>
    <t>M21-1-4C04</t>
  </si>
  <si>
    <t>M21-1-4C03</t>
  </si>
  <si>
    <t>M21-1-4C02</t>
  </si>
  <si>
    <t>M21-1-4C01</t>
  </si>
  <si>
    <t>M21-1-3C06</t>
  </si>
  <si>
    <t>M21-1-3C05</t>
  </si>
  <si>
    <t>M21-1-3C04</t>
  </si>
  <si>
    <t>M21-1-3C03</t>
  </si>
  <si>
    <t>M21-1-3C02</t>
  </si>
  <si>
    <t>M21-1-3C01</t>
  </si>
  <si>
    <t>M21-1-2C06</t>
  </si>
  <si>
    <t>M21-1-2C05</t>
  </si>
  <si>
    <t>M21-1-2C04</t>
  </si>
  <si>
    <t>M21-1-2C03</t>
  </si>
  <si>
    <t>M21-1-2C02</t>
  </si>
  <si>
    <t>M21-1-2C01</t>
  </si>
  <si>
    <t>M21-1-1C06</t>
  </si>
  <si>
    <t>M21-1-1C05</t>
  </si>
  <si>
    <t>M21-1-1C04</t>
  </si>
  <si>
    <t>M21-1-1C03</t>
  </si>
  <si>
    <t>M21-1-1C02</t>
  </si>
  <si>
    <t>M21-1-1C01</t>
  </si>
  <si>
    <t>M23-1-9C06</t>
  </si>
  <si>
    <t>M23-1-9C05</t>
  </si>
  <si>
    <t>M23-1-9C04</t>
  </si>
  <si>
    <t>M23-1-9C03</t>
  </si>
  <si>
    <t>M23-1-9C02</t>
  </si>
  <si>
    <t>M23-1-9C01</t>
  </si>
  <si>
    <t>M23-1-8E10</t>
  </si>
  <si>
    <t>M23-1-8E09</t>
  </si>
  <si>
    <t>M23-1-8E08</t>
  </si>
  <si>
    <t>M23-1-8E07</t>
  </si>
  <si>
    <t>M23-1-8E06</t>
  </si>
  <si>
    <t>M23-1-8E05</t>
  </si>
  <si>
    <t>M23-1-6C06</t>
  </si>
  <si>
    <t>M23-1-6C05</t>
  </si>
  <si>
    <t>M23-1-6C04</t>
  </si>
  <si>
    <t>M23-1-6C03</t>
  </si>
  <si>
    <t>M23-1-6C02</t>
  </si>
  <si>
    <t>M23-1-6C01</t>
  </si>
  <si>
    <t>M23-1-5C06</t>
  </si>
  <si>
    <t>M23-1-5C05</t>
  </si>
  <si>
    <t>M23-1-5C04</t>
  </si>
  <si>
    <t>M23-1-5C03</t>
  </si>
  <si>
    <t>M23-1-5C02</t>
  </si>
  <si>
    <t>M23-1-5C01</t>
  </si>
  <si>
    <t>M23-1-4C06</t>
  </si>
  <si>
    <t>M23-1-4C05</t>
  </si>
  <si>
    <t>M23-1-4C04</t>
  </si>
  <si>
    <t>M23-1-4C03</t>
  </si>
  <si>
    <t>M23-1-4C02</t>
  </si>
  <si>
    <t>M23-1-4C01</t>
  </si>
  <si>
    <t>M23-1-3C06</t>
  </si>
  <si>
    <t>M23-1-3C05</t>
  </si>
  <si>
    <t>M23-1-3C04</t>
  </si>
  <si>
    <t>M23-1-3C03</t>
  </si>
  <si>
    <t>M23-1-3C02</t>
  </si>
  <si>
    <t>M23-1-3C01</t>
  </si>
  <si>
    <t>M23-1-2C06</t>
  </si>
  <si>
    <t>M23-1-2C05</t>
  </si>
  <si>
    <t>M23-1-2C04</t>
  </si>
  <si>
    <t>M23-1-2C03</t>
  </si>
  <si>
    <t>M23-1-2C02</t>
  </si>
  <si>
    <t>M23-1-2C01</t>
  </si>
  <si>
    <t>M23-1-1A01</t>
  </si>
  <si>
    <t>M23-1-1A10</t>
  </si>
  <si>
    <t>M23-1-1B09</t>
  </si>
  <si>
    <t>M23-1-1C06</t>
  </si>
  <si>
    <t>M23-1-1D03</t>
  </si>
  <si>
    <t>M23-1-1E02</t>
  </si>
  <si>
    <t>M23-1-8E04</t>
  </si>
  <si>
    <t>M23-1-8E03</t>
  </si>
  <si>
    <t>M23-1-8E02</t>
  </si>
  <si>
    <t>M23-1-8E01</t>
  </si>
  <si>
    <t>M23-1-8D10</t>
  </si>
  <si>
    <t>M23-1-8D09</t>
  </si>
  <si>
    <t>M23-1-1A02</t>
  </si>
  <si>
    <t>M23-1-1B01</t>
  </si>
  <si>
    <t>M23-1-1B10</t>
  </si>
  <si>
    <t>M23-1-1C07</t>
  </si>
  <si>
    <t>M23-1-1D04</t>
  </si>
  <si>
    <t>M23-1-1E03</t>
  </si>
  <si>
    <t>M23-1-8D08</t>
  </si>
  <si>
    <t>M23-1-8D07</t>
  </si>
  <si>
    <t>M23-1-8D06</t>
  </si>
  <si>
    <t>M23-1-8D05</t>
  </si>
  <si>
    <t>M23-1-8D04</t>
  </si>
  <si>
    <t>M23-1-8D03</t>
  </si>
  <si>
    <t>M23-1-1A03</t>
  </si>
  <si>
    <t>M23-1-1B02</t>
  </si>
  <si>
    <t>M23-1-1C01</t>
  </si>
  <si>
    <t>M23-1-1C08</t>
  </si>
  <si>
    <t>M23-1-1D05</t>
  </si>
  <si>
    <t>M23-1-1E04</t>
  </si>
  <si>
    <t>M21-1-6B06</t>
  </si>
  <si>
    <t>M21-1-6B05</t>
  </si>
  <si>
    <t>M21-1-6B04</t>
  </si>
  <si>
    <t>M21-1-6B03</t>
  </si>
  <si>
    <t>M21-1-6B02</t>
  </si>
  <si>
    <t>M21-1-6B01</t>
  </si>
  <si>
    <t>M21-1-5B06</t>
  </si>
  <si>
    <t>M21-1-5B05</t>
  </si>
  <si>
    <t>M21-1-5B04</t>
  </si>
  <si>
    <t>M21-1-5B03</t>
  </si>
  <si>
    <t>M21-1-5B01</t>
  </si>
  <si>
    <t>M21-1-4B06</t>
  </si>
  <si>
    <t>M21-1-4B05</t>
  </si>
  <si>
    <t>M21-1-4B04</t>
  </si>
  <si>
    <t>M21-1-4B03</t>
  </si>
  <si>
    <t>M21-1-4B02</t>
  </si>
  <si>
    <t>M21-1-4B01</t>
  </si>
  <si>
    <t>M21-1-3B06</t>
  </si>
  <si>
    <t>M21-1-3B05</t>
  </si>
  <si>
    <t>M21-1-3B04</t>
  </si>
  <si>
    <t>M21-1-3B03</t>
  </si>
  <si>
    <t>M21-1-3B02</t>
  </si>
  <si>
    <t>M21-1-3B01</t>
  </si>
  <si>
    <t>M21-1-2B06</t>
  </si>
  <si>
    <t>M21-1-2B05</t>
  </si>
  <si>
    <t>M21-1-2B04</t>
  </si>
  <si>
    <t>M21-1-2B03</t>
  </si>
  <si>
    <t>M21-1-2B02</t>
  </si>
  <si>
    <t>M21-1-2B01</t>
  </si>
  <si>
    <t>M21-1-1B06</t>
  </si>
  <si>
    <t>M21-1-1B05</t>
  </si>
  <si>
    <t>M21-1-1B04</t>
  </si>
  <si>
    <t>M21-1-1B03</t>
  </si>
  <si>
    <t>M21-1-1B02</t>
  </si>
  <si>
    <t>M21-1-1B01</t>
  </si>
  <si>
    <t>M23-1-9B06</t>
  </si>
  <si>
    <t>M23-1-9B05</t>
  </si>
  <si>
    <t>M23-1-9B04</t>
  </si>
  <si>
    <t>M23-1-9B03</t>
  </si>
  <si>
    <t>M23-1-9B02</t>
  </si>
  <si>
    <t>M23-1-9B01</t>
  </si>
  <si>
    <t>M23-1-8D02</t>
  </si>
  <si>
    <t>M23-1-8D01</t>
  </si>
  <si>
    <t>M23-1-8C10</t>
  </si>
  <si>
    <t>M23-1-8C09</t>
  </si>
  <si>
    <t>M23-1-8C08</t>
  </si>
  <si>
    <t>M23-1-8C07</t>
  </si>
  <si>
    <t>M23-1-6B06</t>
  </si>
  <si>
    <t>M23-1-6B05</t>
  </si>
  <si>
    <t>M23-1-6B04</t>
  </si>
  <si>
    <t>M23-1-6B03</t>
  </si>
  <si>
    <t>M23-1-6B02</t>
  </si>
  <si>
    <t>M23-1-6B01</t>
  </si>
  <si>
    <t>M23-1-5B06</t>
  </si>
  <si>
    <t>M23-1-5B05</t>
  </si>
  <si>
    <t>M23-1-5B04</t>
  </si>
  <si>
    <t>M23-1-5B03</t>
  </si>
  <si>
    <t>M23-1-5B02</t>
  </si>
  <si>
    <t>M23-1-5B01</t>
  </si>
  <si>
    <t>M23-1-4B06</t>
  </si>
  <si>
    <t>M23-1-4B05</t>
  </si>
  <si>
    <t>M23-1-4B04</t>
  </si>
  <si>
    <t>M23-1-4B03</t>
  </si>
  <si>
    <t>M23-1-4B02</t>
  </si>
  <si>
    <t>M23-1-4B01</t>
  </si>
  <si>
    <t>M23-1-3B06</t>
  </si>
  <si>
    <t>M23-1-3B05</t>
  </si>
  <si>
    <t>M23-1-3B04</t>
  </si>
  <si>
    <t>M23-1-3B03</t>
  </si>
  <si>
    <t>M23-1-3B02</t>
  </si>
  <si>
    <t>M23-1-3B01</t>
  </si>
  <si>
    <t>M23-1-2B06</t>
  </si>
  <si>
    <t>M23-1-2B05</t>
  </si>
  <si>
    <t>M23-1-2B04</t>
  </si>
  <si>
    <t>M23-1-2B03</t>
  </si>
  <si>
    <t>M23-1-2B02</t>
  </si>
  <si>
    <t>M23-1-2B01</t>
  </si>
  <si>
    <t>M23-1-1A04</t>
  </si>
  <si>
    <t>M23-1-1B03</t>
  </si>
  <si>
    <t>M23-1-1C02</t>
  </si>
  <si>
    <t>M23-1-1C09</t>
  </si>
  <si>
    <t>M23-1-1D06</t>
  </si>
  <si>
    <t>M23-1-1E05</t>
  </si>
  <si>
    <t>M23-1-8C06</t>
  </si>
  <si>
    <t>M23-1-8C05</t>
  </si>
  <si>
    <t>M23-1-8C04</t>
  </si>
  <si>
    <t>M23-1-8C03</t>
  </si>
  <si>
    <t>M23-1-8C02</t>
  </si>
  <si>
    <t>M23-1-8C01</t>
  </si>
  <si>
    <t>M23-1-1A05</t>
  </si>
  <si>
    <t>M23-1-1B04</t>
  </si>
  <si>
    <t>M23-1-1C03</t>
  </si>
  <si>
    <t>M23-1-1C10</t>
  </si>
  <si>
    <t>M23-1-1D07</t>
  </si>
  <si>
    <t>M23-1-1E06</t>
  </si>
  <si>
    <t>M23-1-8B10</t>
  </si>
  <si>
    <t>M23-1-8B09</t>
  </si>
  <si>
    <t>M23-1-8B08</t>
  </si>
  <si>
    <t>M23-1-8B07</t>
  </si>
  <si>
    <t>M23-1-8B06</t>
  </si>
  <si>
    <t>M23-1-8B05</t>
  </si>
  <si>
    <t>M23-1-1A06</t>
  </si>
  <si>
    <t>M23-1-1B05</t>
  </si>
  <si>
    <t>M23-1-1C04</t>
  </si>
  <si>
    <t>M23-1-1D01</t>
  </si>
  <si>
    <t>M23-1-1D08</t>
  </si>
  <si>
    <t>M23-1-1E07</t>
  </si>
  <si>
    <t>M21-1-6A06</t>
  </si>
  <si>
    <t>M21-1-6A05</t>
  </si>
  <si>
    <t>M21-1-6A04</t>
  </si>
  <si>
    <t>M21-1-6A03</t>
  </si>
  <si>
    <t>M21-1-6A02</t>
  </si>
  <si>
    <t>M21-1-6A01</t>
  </si>
  <si>
    <t>M21-1-5A06</t>
  </si>
  <si>
    <t>M21-1-5A05</t>
  </si>
  <si>
    <t>M21-1-5A04</t>
  </si>
  <si>
    <t>M21-1-5A03</t>
  </si>
  <si>
    <t>M21-1-4A06</t>
  </si>
  <si>
    <t>M21-1-4A05</t>
  </si>
  <si>
    <t>M21-1-4A04</t>
  </si>
  <si>
    <t>M21-1-4A03</t>
  </si>
  <si>
    <t>M21-1-4A02</t>
  </si>
  <si>
    <t>M21-1-4A01</t>
  </si>
  <si>
    <t>M21-1-3A06</t>
  </si>
  <si>
    <t>M21-1-3A05</t>
  </si>
  <si>
    <t>M21-1-3A04</t>
  </si>
  <si>
    <t>M21-1-3A03</t>
  </si>
  <si>
    <t>M21-1-3A02</t>
  </si>
  <si>
    <t>M21-1-3A01</t>
  </si>
  <si>
    <t>M21-1-2A06</t>
  </si>
  <si>
    <t>M21-1-2A05</t>
  </si>
  <si>
    <t>M21-1-2A04</t>
  </si>
  <si>
    <t>M21-1-2A03</t>
  </si>
  <si>
    <t>M21-1-2A02</t>
  </si>
  <si>
    <t>M21-1-2A01</t>
  </si>
  <si>
    <t>M21-1-1A06</t>
  </si>
  <si>
    <t>M21-1-1A05</t>
  </si>
  <si>
    <t>M21-1-1A04</t>
  </si>
  <si>
    <t>M21-1-1A03</t>
  </si>
  <si>
    <t>M21-1-1A02</t>
  </si>
  <si>
    <t>M21-1-1A01</t>
  </si>
  <si>
    <t>M23-1-9A06</t>
  </si>
  <si>
    <t>M23-1-9A05</t>
  </si>
  <si>
    <t>M23-1-9A04</t>
  </si>
  <si>
    <t>M23-1-9A03</t>
  </si>
  <si>
    <t>M23-1-9A02</t>
  </si>
  <si>
    <t>M23-1-9A01</t>
  </si>
  <si>
    <t>M23-1-8B04</t>
  </si>
  <si>
    <t>M23-1-8B03</t>
  </si>
  <si>
    <t>M23-1-8B02</t>
  </si>
  <si>
    <t>M23-1-8B01</t>
  </si>
  <si>
    <t>M23-1-8A10</t>
  </si>
  <si>
    <t>M23-1-8A09</t>
  </si>
  <si>
    <t>M23-1-6A06</t>
  </si>
  <si>
    <t>M23-1-6A05</t>
  </si>
  <si>
    <t>M23-1-6A04</t>
  </si>
  <si>
    <t>M23-1-6A03</t>
  </si>
  <si>
    <t>M23-1-6A02</t>
  </si>
  <si>
    <t>M23-1-6A01</t>
  </si>
  <si>
    <t>M23-1-5A06</t>
  </si>
  <si>
    <t>M23-1-5A05</t>
  </si>
  <si>
    <t>M23-1-5A04</t>
  </si>
  <si>
    <t>M23-1-5A03</t>
  </si>
  <si>
    <t>M23-1-5A02</t>
  </si>
  <si>
    <t>M23-1-5A01</t>
  </si>
  <si>
    <t>M23-1-4A06</t>
  </si>
  <si>
    <t>M23-1-4A05</t>
  </si>
  <si>
    <t>M23-1-4A04</t>
  </si>
  <si>
    <t>M23-1-4A03</t>
  </si>
  <si>
    <t>M23-1-4A02</t>
  </si>
  <si>
    <t>M23-1-4A01</t>
  </si>
  <si>
    <t>M23-1-3A06</t>
  </si>
  <si>
    <t>M23-1-3A05</t>
  </si>
  <si>
    <t>M23-1-3A04</t>
  </si>
  <si>
    <t>M23-1-3A03</t>
  </si>
  <si>
    <t>M23-1-3A02</t>
  </si>
  <si>
    <t>M23-1-3A01</t>
  </si>
  <si>
    <t>M23-1-2A06</t>
  </si>
  <si>
    <t>M23-1-2A05</t>
  </si>
  <si>
    <t>M23-1-2A04</t>
  </si>
  <si>
    <t>M23-1-2A03</t>
  </si>
  <si>
    <t>M23-1-2A02</t>
  </si>
  <si>
    <t>M23-1-2A01</t>
  </si>
  <si>
    <t>M23-1-1A07</t>
  </si>
  <si>
    <t>M23-1-1B06</t>
  </si>
  <si>
    <t>M23-1-1C05</t>
  </si>
  <si>
    <t>M23-1-1D02</t>
  </si>
  <si>
    <t>M23-1-1D09</t>
  </si>
  <si>
    <t>M23-1-1E08</t>
  </si>
  <si>
    <t>M23-1-8A08</t>
  </si>
  <si>
    <t>M23-1-8A07</t>
  </si>
  <si>
    <t>M23-1-8A06</t>
  </si>
  <si>
    <t>M23-1-8A05</t>
  </si>
  <si>
    <t>M23-1-1A08</t>
  </si>
  <si>
    <t>M23-1-1B07</t>
  </si>
  <si>
    <t>M23-1-1D10</t>
  </si>
  <si>
    <t>M23-1-1E09</t>
  </si>
  <si>
    <t>M23-1-8A04</t>
  </si>
  <si>
    <t>M23-1-8A03</t>
  </si>
  <si>
    <t>M23-1-8A02</t>
  </si>
  <si>
    <t>M23-1-8A01</t>
  </si>
  <si>
    <t>M23-1-1A09</t>
  </si>
  <si>
    <t>M23-1-1B08</t>
  </si>
  <si>
    <t>M23-1-1E01</t>
  </si>
  <si>
    <t>M23-1-1E10</t>
  </si>
  <si>
    <t>ZONE 2</t>
  </si>
  <si>
    <t>M24-1-8A01</t>
  </si>
  <si>
    <t>M24-1-8A10</t>
  </si>
  <si>
    <t>M24-1-8D03</t>
  </si>
  <si>
    <t>M24-1-8E02</t>
  </si>
  <si>
    <t>M24-1-1A01</t>
  </si>
  <si>
    <t>M24-1-1A10</t>
  </si>
  <si>
    <t>M24-1-1D03</t>
  </si>
  <si>
    <t>M24-1-1E02</t>
  </si>
  <si>
    <t>M24-1-8A02</t>
  </si>
  <si>
    <t>M24-1-8B01</t>
  </si>
  <si>
    <t>M24-1-8D04</t>
  </si>
  <si>
    <t>M24-1-8E03</t>
  </si>
  <si>
    <t>M24-1-1A02</t>
  </si>
  <si>
    <t>M24-1-1B01</t>
  </si>
  <si>
    <t>M24-1-1D04</t>
  </si>
  <si>
    <t>M24-1-1E03</t>
  </si>
  <si>
    <t>M22-1-6A06</t>
  </si>
  <si>
    <t>M22-1-6A05</t>
  </si>
  <si>
    <t>M22-1-6A04</t>
  </si>
  <si>
    <t>M22-1-6A03</t>
  </si>
  <si>
    <t>M22-1-6A02</t>
  </si>
  <si>
    <t>M22-1-6A01</t>
  </si>
  <si>
    <t>M22-1-5A06</t>
  </si>
  <si>
    <t>M22-1-5A05</t>
  </si>
  <si>
    <t>M22-1-5A04</t>
  </si>
  <si>
    <t>M22-1-5A03</t>
  </si>
  <si>
    <t>M22-1-5A02</t>
  </si>
  <si>
    <t>M22-1-5A01</t>
  </si>
  <si>
    <t>M22-1-4A06</t>
  </si>
  <si>
    <t>M22-1-4A05</t>
  </si>
  <si>
    <t>M22-1-4A04</t>
  </si>
  <si>
    <t>M22-1-4A03</t>
  </si>
  <si>
    <t>M22-1-4A02</t>
  </si>
  <si>
    <t>M22-1-4A01</t>
  </si>
  <si>
    <t>M22-1-3A06</t>
  </si>
  <si>
    <t>M22-1-3A05</t>
  </si>
  <si>
    <t>M22-1-3A04</t>
  </si>
  <si>
    <t>M22-1-3A03</t>
  </si>
  <si>
    <t>M22-1-3A02</t>
  </si>
  <si>
    <t>M22-1-3A01</t>
  </si>
  <si>
    <t>M22-1-2A06</t>
  </si>
  <si>
    <t>M22-1-2A05</t>
  </si>
  <si>
    <t>M22-1-2A04</t>
  </si>
  <si>
    <t>M22-1-2A03</t>
  </si>
  <si>
    <t>M22-1-2A02</t>
  </si>
  <si>
    <t>M22-1-2A01</t>
  </si>
  <si>
    <t>M22-1-1A06</t>
  </si>
  <si>
    <t>M22-1-1A05</t>
  </si>
  <si>
    <t>M22-1-1A04</t>
  </si>
  <si>
    <t>M22-1-1A03</t>
  </si>
  <si>
    <t>M22-1-1A02</t>
  </si>
  <si>
    <t>M22-1-1A01</t>
  </si>
  <si>
    <t>M24-1-9A06</t>
  </si>
  <si>
    <t>M24-1-9A05</t>
  </si>
  <si>
    <t>M24-1-9A04</t>
  </si>
  <si>
    <t>M24-1-9A03</t>
  </si>
  <si>
    <t>M24-1-9A02</t>
  </si>
  <si>
    <t>M24-1-9A01</t>
  </si>
  <si>
    <t>M24-1-8A03</t>
  </si>
  <si>
    <t>M24-1-8B02</t>
  </si>
  <si>
    <t>M24-1-8B09</t>
  </si>
  <si>
    <t>M24-1-8C06</t>
  </si>
  <si>
    <t>M24-1-8D05</t>
  </si>
  <si>
    <t>M24-1-8E04</t>
  </si>
  <si>
    <t>M24-1-7A03</t>
  </si>
  <si>
    <t>M24-1-7A02</t>
  </si>
  <si>
    <t>M24-1-7A01</t>
  </si>
  <si>
    <t>M24-1-6A06</t>
  </si>
  <si>
    <t>M24-1-6A05</t>
  </si>
  <si>
    <t>M24-1-6A04</t>
  </si>
  <si>
    <t>M24-1-6A03</t>
  </si>
  <si>
    <t>M24-1-6A02</t>
  </si>
  <si>
    <t>M24-1-6A01</t>
  </si>
  <si>
    <t>M24-1-5A06</t>
  </si>
  <si>
    <t>M24-1-5A05</t>
  </si>
  <si>
    <t>M24-1-5A04</t>
  </si>
  <si>
    <t>M24-1-5A03</t>
  </si>
  <si>
    <t>M24-1-5A02</t>
  </si>
  <si>
    <t>M24-1-5A01</t>
  </si>
  <si>
    <t>M24-1-4A06</t>
  </si>
  <si>
    <t>M24-1-4A05</t>
  </si>
  <si>
    <t>M24-1-4A04</t>
  </si>
  <si>
    <t>M24-1-4A03</t>
  </si>
  <si>
    <t>M24-1-4A02</t>
  </si>
  <si>
    <t>M24-1-4A01</t>
  </si>
  <si>
    <t>M24-1-3A06</t>
  </si>
  <si>
    <t>M24-1-3A05</t>
  </si>
  <si>
    <t>M24-1-3A04</t>
  </si>
  <si>
    <t>M24-1-3A03</t>
  </si>
  <si>
    <t>M24-1-3A02</t>
  </si>
  <si>
    <t>M24-1-3A01</t>
  </si>
  <si>
    <t>M24-1-2A06</t>
  </si>
  <si>
    <t>M24-1-2A05</t>
  </si>
  <si>
    <t>M24-1-2A04</t>
  </si>
  <si>
    <t>M24-1-2A03</t>
  </si>
  <si>
    <t>M24-1-2A02</t>
  </si>
  <si>
    <t>M24-1-2A01</t>
  </si>
  <si>
    <t>M24-1-1A03</t>
  </si>
  <si>
    <t>M24-1-1B02</t>
  </si>
  <si>
    <t>M24-1-1B09</t>
  </si>
  <si>
    <t>M24-1-1C06</t>
  </si>
  <si>
    <t>M24-1-1D05</t>
  </si>
  <si>
    <t>M24-1-1E04</t>
  </si>
  <si>
    <t>M24-1-8A04</t>
  </si>
  <si>
    <t>M24-1-8B03</t>
  </si>
  <si>
    <t>M24-1-8B10</t>
  </si>
  <si>
    <t>M24-1-8C07</t>
  </si>
  <si>
    <t>M24-1-8D06</t>
  </si>
  <si>
    <t>M24-1-8E05</t>
  </si>
  <si>
    <t>M24-1-1A04</t>
  </si>
  <si>
    <t>M24-1-1B03</t>
  </si>
  <si>
    <t>M24-1-1B10</t>
  </si>
  <si>
    <t>M24-1-1C07</t>
  </si>
  <si>
    <t>M24-1-1D06</t>
  </si>
  <si>
    <t>M24-1-1E05</t>
  </si>
  <si>
    <t>M24-1-8A05</t>
  </si>
  <si>
    <t>M24-1-8B04</t>
  </si>
  <si>
    <t>M24-1-8C01</t>
  </si>
  <si>
    <t>M24-1-8C08</t>
  </si>
  <si>
    <t>M24-1-8D07</t>
  </si>
  <si>
    <t>M24-1-8E06</t>
  </si>
  <si>
    <t>M24-1-1A05</t>
  </si>
  <si>
    <t>M24-1-1B04</t>
  </si>
  <si>
    <t>M24-1-1C01</t>
  </si>
  <si>
    <t>M24-1-1C08</t>
  </si>
  <si>
    <t>M24-1-1D07</t>
  </si>
  <si>
    <t>M24-1-1E06</t>
  </si>
  <si>
    <t>M22-1-6B06</t>
  </si>
  <si>
    <t>M22-1-6B05</t>
  </si>
  <si>
    <t>M22-1-6B04</t>
  </si>
  <si>
    <t>M22-1-6B03</t>
  </si>
  <si>
    <t>M22-1-6B02</t>
  </si>
  <si>
    <t>M22-1-6B01</t>
  </si>
  <si>
    <t>M22-1-5B06</t>
  </si>
  <si>
    <t>M22-1-5B05</t>
  </si>
  <si>
    <t>M22-1-5B04</t>
  </si>
  <si>
    <t>M22-1-5B03</t>
  </si>
  <si>
    <t>M22-1-5B02</t>
  </si>
  <si>
    <t>M22-1-5B01</t>
  </si>
  <si>
    <t>M22-1-4B06</t>
  </si>
  <si>
    <t>M22-1-4B05</t>
  </si>
  <si>
    <t>M22-1-4B04</t>
  </si>
  <si>
    <t>M22-1-4B03</t>
  </si>
  <si>
    <t>M22-1-4B02</t>
  </si>
  <si>
    <t>M22-1-4B01</t>
  </si>
  <si>
    <t>M22-1-3B06</t>
  </si>
  <si>
    <t>M22-1-3B05</t>
  </si>
  <si>
    <t>M22-1-3B04</t>
  </si>
  <si>
    <t>M22-1-3B03</t>
  </si>
  <si>
    <t>M22-1-3B02</t>
  </si>
  <si>
    <t>M22-1-3B01</t>
  </si>
  <si>
    <t>M22-1-2B06</t>
  </si>
  <si>
    <t>M22-1-2B05</t>
  </si>
  <si>
    <t>M22-1-2B04</t>
  </si>
  <si>
    <t>M22-1-2B03</t>
  </si>
  <si>
    <t>M22-1-2B02</t>
  </si>
  <si>
    <t>M22-1-2B01</t>
  </si>
  <si>
    <t>M22-1-1B06</t>
  </si>
  <si>
    <t>M22-1-1B05</t>
  </si>
  <si>
    <t>M22-1-1B04</t>
  </si>
  <si>
    <t>M22-1-1B03</t>
  </si>
  <si>
    <t>M22-1-1B02</t>
  </si>
  <si>
    <t>M22-1-1B01</t>
  </si>
  <si>
    <t>M24-1-9B06</t>
  </si>
  <si>
    <t>M24-1-9B05</t>
  </si>
  <si>
    <t>M24-1-9B04</t>
  </si>
  <si>
    <t>M24-1-9B03</t>
  </si>
  <si>
    <t>M24-1-9B02</t>
  </si>
  <si>
    <t>M24-1-9B01</t>
  </si>
  <si>
    <t>M24-1-8A06</t>
  </si>
  <si>
    <t>M24-1-8B05</t>
  </si>
  <si>
    <t>M24-1-8C02</t>
  </si>
  <si>
    <t>M24-1-8C09</t>
  </si>
  <si>
    <t>M24-1-8D08</t>
  </si>
  <si>
    <t>M24-1-8E07</t>
  </si>
  <si>
    <t>M24-1-7B03</t>
  </si>
  <si>
    <t>M24-1-7B02</t>
  </si>
  <si>
    <t>M24-1-7B01</t>
  </si>
  <si>
    <t>M24-1-6B06</t>
  </si>
  <si>
    <t>M24-1-6B05</t>
  </si>
  <si>
    <t>M24-1-6B04</t>
  </si>
  <si>
    <t>M24-1-6B03</t>
  </si>
  <si>
    <t>M24-1-6B02</t>
  </si>
  <si>
    <t>M24-1-6B01</t>
  </si>
  <si>
    <t>M24-1-5B06</t>
  </si>
  <si>
    <t>M24-1-5B05</t>
  </si>
  <si>
    <t>M24-1-5B04</t>
  </si>
  <si>
    <t>M24-1-5B03</t>
  </si>
  <si>
    <t>M24-1-5B02</t>
  </si>
  <si>
    <t>M24-1-5B01</t>
  </si>
  <si>
    <t>M24-1-4B06</t>
  </si>
  <si>
    <t>M24-1-4B05</t>
  </si>
  <si>
    <t>M24-1-4B04</t>
  </si>
  <si>
    <t>M24-1-4B03</t>
  </si>
  <si>
    <t>M24-1-4B02</t>
  </si>
  <si>
    <t>M24-1-4B01</t>
  </si>
  <si>
    <t>M24-1-3B06</t>
  </si>
  <si>
    <t>M24-1-3B05</t>
  </si>
  <si>
    <t>M24-1-3B04</t>
  </si>
  <si>
    <t>M24-1-3B03</t>
  </si>
  <si>
    <t>M24-1-3B02</t>
  </si>
  <si>
    <t>M24-1-3B01</t>
  </si>
  <si>
    <t>M24-1-2B06</t>
  </si>
  <si>
    <t>M24-1-2B05</t>
  </si>
  <si>
    <t>M24-1-2B04</t>
  </si>
  <si>
    <t>M24-1-2B03</t>
  </si>
  <si>
    <t>M24-1-2B02</t>
  </si>
  <si>
    <t>M24-1-2B01</t>
  </si>
  <si>
    <t>M24-1-1A06</t>
  </si>
  <si>
    <t>M24-1-1B05</t>
  </si>
  <si>
    <t>M24-1-1C02</t>
  </si>
  <si>
    <t>M24-1-1C09</t>
  </si>
  <si>
    <t>M24-1-1D08</t>
  </si>
  <si>
    <t>M24-1-1E07</t>
  </si>
  <si>
    <t>M24-1-8A07</t>
  </si>
  <si>
    <t>M24-1-8B06</t>
  </si>
  <si>
    <t>M24-1-8C03</t>
  </si>
  <si>
    <t>M24-1-8C10</t>
  </si>
  <si>
    <t>M24-1-8D09</t>
  </si>
  <si>
    <t>M24-1-8E08</t>
  </si>
  <si>
    <t>M24-1-1A07</t>
  </si>
  <si>
    <t>M24-1-1B06</t>
  </si>
  <si>
    <t>M24-1-1C03</t>
  </si>
  <si>
    <t>M24-1-1C10</t>
  </si>
  <si>
    <t>M24-1-1D09</t>
  </si>
  <si>
    <t>M24-1-1E08</t>
  </si>
  <si>
    <t>M24-1-8A08</t>
  </si>
  <si>
    <t>M24-1-8B07</t>
  </si>
  <si>
    <t>M24-1-8C04</t>
  </si>
  <si>
    <t>M24-1-8D01</t>
  </si>
  <si>
    <t>M24-1-8D10</t>
  </si>
  <si>
    <t>M24-1-8E09</t>
  </si>
  <si>
    <t>M24-1-1A08</t>
  </si>
  <si>
    <t>M24-1-1B07</t>
  </si>
  <si>
    <t>M24-1-1C04</t>
  </si>
  <si>
    <t>M24-1-1D01</t>
  </si>
  <si>
    <t>M24-1-1D10</t>
  </si>
  <si>
    <t>M24-1-1E09</t>
  </si>
  <si>
    <t>M22-1-6C06</t>
  </si>
  <si>
    <t>M22-1-6C05</t>
  </si>
  <si>
    <t>M22-1-6C04</t>
  </si>
  <si>
    <t>M22-1-6C03</t>
  </si>
  <si>
    <t>M22-1-6C02</t>
  </si>
  <si>
    <t>M22-1-6C01</t>
  </si>
  <si>
    <t>M22-1-5C06</t>
  </si>
  <si>
    <t>M22-1-5C05</t>
  </si>
  <si>
    <t>M22-1-5C04</t>
  </si>
  <si>
    <t>M22-1-5C03</t>
  </si>
  <si>
    <t>M22-1-5C02</t>
  </si>
  <si>
    <t>M22-1-5C01</t>
  </si>
  <si>
    <t>M22-1-4C06</t>
  </si>
  <si>
    <t>M22-1-4C05</t>
  </si>
  <si>
    <t>M22-1-4C04</t>
  </si>
  <si>
    <t>M22-1-4C03</t>
  </si>
  <si>
    <t>M22-1-4C02</t>
  </si>
  <si>
    <t>M22-1-4C01</t>
  </si>
  <si>
    <t>M22-1-3C06</t>
  </si>
  <si>
    <t>M22-1-3C05</t>
  </si>
  <si>
    <t>M22-1-3C04</t>
  </si>
  <si>
    <t>M22-1-3C03</t>
  </si>
  <si>
    <t>M22-1-3C02</t>
  </si>
  <si>
    <t>M22-1-3C01</t>
  </si>
  <si>
    <t>M22-1-2C06</t>
  </si>
  <si>
    <t>M22-1-2C05</t>
  </si>
  <si>
    <t>M22-1-2C04</t>
  </si>
  <si>
    <t>M22-1-2C03</t>
  </si>
  <si>
    <t>M22-1-2C02</t>
  </si>
  <si>
    <t>M22-1-2C01</t>
  </si>
  <si>
    <t>M22-1-1C06</t>
  </si>
  <si>
    <t>M22-1-1C05</t>
  </si>
  <si>
    <t>M22-1-1C04</t>
  </si>
  <si>
    <t>M22-1-1C03</t>
  </si>
  <si>
    <t>M22-1-1C02</t>
  </si>
  <si>
    <t>M22-1-1C01</t>
  </si>
  <si>
    <t>M24-1-9C06</t>
  </si>
  <si>
    <t>M24-1-9C05</t>
  </si>
  <si>
    <t>M24-1-9C04</t>
  </si>
  <si>
    <t>M24-1-9C03</t>
  </si>
  <si>
    <t>M24-1-9C02</t>
  </si>
  <si>
    <t>M24-1-9C01</t>
  </si>
  <si>
    <t>M24-1-8A09</t>
  </si>
  <si>
    <t>M24-1-8B08</t>
  </si>
  <si>
    <t>M24-1-8C05</t>
  </si>
  <si>
    <t>M24-1-8D02</t>
  </si>
  <si>
    <t>M24-1-8E01</t>
  </si>
  <si>
    <t>M24-1-8E10</t>
  </si>
  <si>
    <t>M24-1-7C03</t>
  </si>
  <si>
    <t>M24-1-7C02</t>
  </si>
  <si>
    <t>M24-1-7C01</t>
  </si>
  <si>
    <t>M24-1-6C06</t>
  </si>
  <si>
    <t>M24-1-6C05</t>
  </si>
  <si>
    <t>M24-1-6C04</t>
  </si>
  <si>
    <t>M24-1-6C03</t>
  </si>
  <si>
    <t>M24-1-6C02</t>
  </si>
  <si>
    <t>M24-1-6C01</t>
  </si>
  <si>
    <t>M24-1-5C06</t>
  </si>
  <si>
    <t>M24-1-5C05</t>
  </si>
  <si>
    <t>M24-1-5C04</t>
  </si>
  <si>
    <t>M24-1-5C03</t>
  </si>
  <si>
    <t>M24-1-5C02</t>
  </si>
  <si>
    <t>M24-1-5C01</t>
  </si>
  <si>
    <t>M24-1-4C06</t>
  </si>
  <si>
    <t>M24-1-4C05</t>
  </si>
  <si>
    <t>M24-1-4C04</t>
  </si>
  <si>
    <t>M24-1-4C03</t>
  </si>
  <si>
    <t>M24-1-4C02</t>
  </si>
  <si>
    <t>M24-1-4C01</t>
  </si>
  <si>
    <t>M24-1-3C06</t>
  </si>
  <si>
    <t>M24-1-3C05</t>
  </si>
  <si>
    <t>M24-1-3C04</t>
  </si>
  <si>
    <t>M24-1-3C03</t>
  </si>
  <si>
    <t>M24-1-3C02</t>
  </si>
  <si>
    <t>M24-1-3C01</t>
  </si>
  <si>
    <t>M24-1-2C06</t>
  </si>
  <si>
    <t>M24-1-2C05</t>
  </si>
  <si>
    <t>M24-1-2C04</t>
  </si>
  <si>
    <t>M24-1-2C03</t>
  </si>
  <si>
    <t>M24-1-2C02</t>
  </si>
  <si>
    <t>M24-1-2C01</t>
  </si>
  <si>
    <t>M24-1-1A09</t>
  </si>
  <si>
    <t>M24-1-1B08</t>
  </si>
  <si>
    <t>M24-1-1C05</t>
  </si>
  <si>
    <t>M24-1-1D02</t>
  </si>
  <si>
    <t>M24-1-1E01</t>
  </si>
  <si>
    <t>M24-1-1E10</t>
  </si>
  <si>
    <t>M28-2-1A01</t>
  </si>
  <si>
    <t>M28-2-1A10</t>
  </si>
  <si>
    <t>M28-2-1B09</t>
  </si>
  <si>
    <t>M28-2-1C06</t>
  </si>
  <si>
    <t>M28-2-1D03</t>
  </si>
  <si>
    <t>M28-2-1E02</t>
  </si>
  <si>
    <t>M28-2-2C01</t>
  </si>
  <si>
    <t>M28-2-2C02</t>
  </si>
  <si>
    <t>M28-2-2C03</t>
  </si>
  <si>
    <t>M28-2-2C04</t>
  </si>
  <si>
    <t>M28-2-2C06</t>
  </si>
  <si>
    <t>M28-2-3C01</t>
  </si>
  <si>
    <t>M28-2-3C02</t>
  </si>
  <si>
    <t>M28-2-3C03</t>
  </si>
  <si>
    <t>M28-2-3C04</t>
  </si>
  <si>
    <t>M28-2-3C05</t>
  </si>
  <si>
    <t>M28-2-3C06</t>
  </si>
  <si>
    <t>M28-2-4C01</t>
  </si>
  <si>
    <t>M28-2-4C02</t>
  </si>
  <si>
    <t>M28-2-4C03</t>
  </si>
  <si>
    <t>M28-2-4C04</t>
  </si>
  <si>
    <t>M28-2-4C05</t>
  </si>
  <si>
    <t>M28-2-4C06</t>
  </si>
  <si>
    <t>M28-2-5C01</t>
  </si>
  <si>
    <t>M28-2-5C02</t>
  </si>
  <si>
    <t>M28-2-5C03</t>
  </si>
  <si>
    <t>M28-2-5C04</t>
  </si>
  <si>
    <t>M28-2-5C05</t>
  </si>
  <si>
    <t>M28-2-5C06</t>
  </si>
  <si>
    <t>M28-2-6C01</t>
  </si>
  <si>
    <t>M28-2-6C02</t>
  </si>
  <si>
    <t>M28-2-6C03</t>
  </si>
  <si>
    <t>M28-2-6C04</t>
  </si>
  <si>
    <t>M28-2-6C05</t>
  </si>
  <si>
    <t>M28-2-6C06</t>
  </si>
  <si>
    <t>M28-2-7C01</t>
  </si>
  <si>
    <t>M28-2-7C02</t>
  </si>
  <si>
    <t>M28-2-7C03</t>
  </si>
  <si>
    <t>M28-2-7C04</t>
  </si>
  <si>
    <t>M28-2-7C05</t>
  </si>
  <si>
    <t>M28-2-7C06</t>
  </si>
  <si>
    <t>M26-2-1A01</t>
  </si>
  <si>
    <t>M26-2-1A10</t>
  </si>
  <si>
    <t>M26-2-1B09</t>
  </si>
  <si>
    <t>M26-2-1C06</t>
  </si>
  <si>
    <t>M26-2-1D03</t>
  </si>
  <si>
    <t>M26-2-1E02</t>
  </si>
  <si>
    <t>M26-2-2C04</t>
  </si>
  <si>
    <t>M26-2-2C05</t>
  </si>
  <si>
    <t>M26-2-2C06</t>
  </si>
  <si>
    <t>M26-2-3C01</t>
  </si>
  <si>
    <t>M26-2-3C02</t>
  </si>
  <si>
    <t>M26-2-3C03</t>
  </si>
  <si>
    <t>M26-2-3C04</t>
  </si>
  <si>
    <t>M26-2-3C05</t>
  </si>
  <si>
    <t>M26-2-3C06</t>
  </si>
  <si>
    <t>M26-2-4C01</t>
  </si>
  <si>
    <t>M26-2-4C02</t>
  </si>
  <si>
    <t>M26-2-4C03</t>
  </si>
  <si>
    <t>M26-2-4C04</t>
  </si>
  <si>
    <t>M26-2-4C05</t>
  </si>
  <si>
    <t>M26-2-4C06</t>
  </si>
  <si>
    <t>M26-2-5C01</t>
  </si>
  <si>
    <t>M26-2-5C02</t>
  </si>
  <si>
    <t>M26-2-5C03</t>
  </si>
  <si>
    <t>M26-2-5C04</t>
  </si>
  <si>
    <t>M26-2-5C05</t>
  </si>
  <si>
    <t>M26-2-5C06</t>
  </si>
  <si>
    <t>M26-2-6C01</t>
  </si>
  <si>
    <t>M26-2-6C02</t>
  </si>
  <si>
    <t>M26-2-6C03</t>
  </si>
  <si>
    <t>M26-2-6C04</t>
  </si>
  <si>
    <t>M26-2-6C05</t>
  </si>
  <si>
    <t>M26-2-6C06</t>
  </si>
  <si>
    <t>M26-2-7C01</t>
  </si>
  <si>
    <t>M26-2-7C02</t>
  </si>
  <si>
    <t>M26-2-7C03</t>
  </si>
  <si>
    <t>M26-2-7C04</t>
  </si>
  <si>
    <t>M26-2-7C05</t>
  </si>
  <si>
    <t>M26-2-7C06</t>
  </si>
  <si>
    <t>M26-2-8C01</t>
  </si>
  <si>
    <t>M26-2-8C02</t>
  </si>
  <si>
    <t>M26-2-8C03</t>
  </si>
  <si>
    <t>M26-2-8C04</t>
  </si>
  <si>
    <t>M26-2-8C06</t>
  </si>
  <si>
    <t>M28-2-1A02</t>
  </si>
  <si>
    <t>M28-2-1B01</t>
  </si>
  <si>
    <t>M28-2-1B10</t>
  </si>
  <si>
    <t>M28-2-1C07</t>
  </si>
  <si>
    <t>M28-2-1D04</t>
  </si>
  <si>
    <t>M28-2-1E03</t>
  </si>
  <si>
    <t>M26-2-1A02</t>
  </si>
  <si>
    <t>M26-2-1B01</t>
  </si>
  <si>
    <t>M26-2-1B10</t>
  </si>
  <si>
    <t>M26-2-1C07</t>
  </si>
  <si>
    <t>M26-2-1D04</t>
  </si>
  <si>
    <t>M26-2-1E03</t>
  </si>
  <si>
    <t>M28-2-1A03</t>
  </si>
  <si>
    <t>M28-2-1B02</t>
  </si>
  <si>
    <t>M28-2-1C01</t>
  </si>
  <si>
    <t>M28-2-1C08</t>
  </si>
  <si>
    <t>M28-2-1D05</t>
  </si>
  <si>
    <t>M28-2-1E04</t>
  </si>
  <si>
    <t>M26-2-1A03</t>
  </si>
  <si>
    <t>M26-2-1B02</t>
  </si>
  <si>
    <t>M26-2-1C01</t>
  </si>
  <si>
    <t>M26-2-1C08</t>
  </si>
  <si>
    <t>M26-2-1D05</t>
  </si>
  <si>
    <t>M26-2-1E04</t>
  </si>
  <si>
    <t>M28-2-1A04</t>
  </si>
  <si>
    <t>M28-2-1B03</t>
  </si>
  <si>
    <t>M28-2-1C02</t>
  </si>
  <si>
    <t>M28-2-1C09</t>
  </si>
  <si>
    <t>M28-2-1D06</t>
  </si>
  <si>
    <t>M28-2-1E05</t>
  </si>
  <si>
    <t>M28-2-2B01</t>
  </si>
  <si>
    <t>M28-2-2B02</t>
  </si>
  <si>
    <t>M28-2-2B03</t>
  </si>
  <si>
    <t>M28-2-2B04</t>
  </si>
  <si>
    <t>M28-2-2B06</t>
  </si>
  <si>
    <t>M28-2-3B01</t>
  </si>
  <si>
    <t>M28-2-3B02</t>
  </si>
  <si>
    <t>M28-2-3B03</t>
  </si>
  <si>
    <t>M28-2-3B04</t>
  </si>
  <si>
    <t>M28-2-3B05</t>
  </si>
  <si>
    <t>M28-2-3B06</t>
  </si>
  <si>
    <t>M28-2-4B01</t>
  </si>
  <si>
    <t>M28-2-4B02</t>
  </si>
  <si>
    <t>M28-2-4B03</t>
  </si>
  <si>
    <t>M28-2-4B04</t>
  </si>
  <si>
    <t>M28-2-4B05</t>
  </si>
  <si>
    <t>M28-2-4B06</t>
  </si>
  <si>
    <t>M28-2-5B01</t>
  </si>
  <si>
    <t>M28-2-5B02</t>
  </si>
  <si>
    <t>M28-2-5B03</t>
  </si>
  <si>
    <t>M28-2-5B04</t>
  </si>
  <si>
    <t>M28-2-5B05</t>
  </si>
  <si>
    <t>M28-2-5B06</t>
  </si>
  <si>
    <t>M28-2-6B01</t>
  </si>
  <si>
    <t>M28-2-6B02</t>
  </si>
  <si>
    <t>M28-2-6B03</t>
  </si>
  <si>
    <t>M28-2-6B04</t>
  </si>
  <si>
    <t>M28-2-6B05</t>
  </si>
  <si>
    <t>M28-2-6B06</t>
  </si>
  <si>
    <t>M28-2-7B01</t>
  </si>
  <si>
    <t>M28-2-7B02</t>
  </si>
  <si>
    <t>M28-2-7B03</t>
  </si>
  <si>
    <t>M28-2-7B04</t>
  </si>
  <si>
    <t>M28-2-7B05</t>
  </si>
  <si>
    <t>M28-2-7B06</t>
  </si>
  <si>
    <t>M26-2-1A04</t>
  </si>
  <si>
    <t>M26-2-1B03</t>
  </si>
  <si>
    <t>M26-2-1C02</t>
  </si>
  <si>
    <t>M26-2-1C09</t>
  </si>
  <si>
    <t>M26-2-1D06</t>
  </si>
  <si>
    <t>M26-2-1E05</t>
  </si>
  <si>
    <t>M26-2-2B04</t>
  </si>
  <si>
    <t>M26-2-2B05</t>
  </si>
  <si>
    <t>M26-2-2B06</t>
  </si>
  <si>
    <t>M26-2-3B01</t>
  </si>
  <si>
    <t>M26-2-3B02</t>
  </si>
  <si>
    <t>M26-2-3B03</t>
  </si>
  <si>
    <t>M26-2-3B04</t>
  </si>
  <si>
    <t>M26-2-3B05</t>
  </si>
  <si>
    <t>M26-2-3B06</t>
  </si>
  <si>
    <t>M26-2-4B01</t>
  </si>
  <si>
    <t>M26-2-4B02</t>
  </si>
  <si>
    <t>M26-2-4B03</t>
  </si>
  <si>
    <t>M26-2-4B04</t>
  </si>
  <si>
    <t>M26-2-4B05</t>
  </si>
  <si>
    <t>M26-2-4B06</t>
  </si>
  <si>
    <t>M26-2-5B01</t>
  </si>
  <si>
    <t>M26-2-5B02</t>
  </si>
  <si>
    <t>M26-2-5B03</t>
  </si>
  <si>
    <t>M26-2-5B04</t>
  </si>
  <si>
    <t>M26-2-5B05</t>
  </si>
  <si>
    <t>M26-2-5B06</t>
  </si>
  <si>
    <t>M26-2-6B01</t>
  </si>
  <si>
    <t>M26-2-6B02</t>
  </si>
  <si>
    <t>M26-2-6B03</t>
  </si>
  <si>
    <t>M26-2-6B04</t>
  </si>
  <si>
    <t>M26-2-6B05</t>
  </si>
  <si>
    <t>M26-2-6B06</t>
  </si>
  <si>
    <t>M26-2-7B01</t>
  </si>
  <si>
    <t>M26-2-7B02</t>
  </si>
  <si>
    <t>M26-2-7B03</t>
  </si>
  <si>
    <t>M26-2-7B04</t>
  </si>
  <si>
    <t>M26-2-7B05</t>
  </si>
  <si>
    <t>M26-2-7B06</t>
  </si>
  <si>
    <t>M26-2-8B01</t>
  </si>
  <si>
    <t>M26-2-8B02</t>
  </si>
  <si>
    <t>M26-2-8B03</t>
  </si>
  <si>
    <t>M26-2-8B04</t>
  </si>
  <si>
    <t>M26-2-8B06</t>
  </si>
  <si>
    <t>M28-2-1A05</t>
  </si>
  <si>
    <t>M28-2-1B04</t>
  </si>
  <si>
    <t>M28-2-1C03</t>
  </si>
  <si>
    <t>M28-2-1C10</t>
  </si>
  <si>
    <t>M28-2-1D07</t>
  </si>
  <si>
    <t>M28-2-1E06</t>
  </si>
  <si>
    <t>M26-2-1A05</t>
  </si>
  <si>
    <t>M26-2-1B04</t>
  </si>
  <si>
    <t>M26-2-1C03</t>
  </si>
  <si>
    <t>M26-2-1C10</t>
  </si>
  <si>
    <t>M26-2-1D07</t>
  </si>
  <si>
    <t>M26-2-1E06</t>
  </si>
  <si>
    <t>M28-2-1A06</t>
  </si>
  <si>
    <t>M28-2-1B05</t>
  </si>
  <si>
    <t>M28-2-1C04</t>
  </si>
  <si>
    <t>M28-2-1D01</t>
  </si>
  <si>
    <t>M28-2-1D08</t>
  </si>
  <si>
    <t>M28-2-1E07</t>
  </si>
  <si>
    <t>M26-2-1A06</t>
  </si>
  <si>
    <t>M26-2-1B05</t>
  </si>
  <si>
    <t>M26-2-1C04</t>
  </si>
  <si>
    <t>M26-2-1D01</t>
  </si>
  <si>
    <t>M26-2-1D08</t>
  </si>
  <si>
    <t>M26-2-1E07</t>
  </si>
  <si>
    <t>M28-2-1A07</t>
  </si>
  <si>
    <t>M28-2-1B06</t>
  </si>
  <si>
    <t>M28-2-1C05</t>
  </si>
  <si>
    <t>M28-2-1D02</t>
  </si>
  <si>
    <t>M28-2-1D09</t>
  </si>
  <si>
    <t>M28-2-1E08</t>
  </si>
  <si>
    <t>M28-2-2A01</t>
  </si>
  <si>
    <t>M28-2-2A02</t>
  </si>
  <si>
    <t>M28-2-2A03</t>
  </si>
  <si>
    <t>M28-2-2A04</t>
  </si>
  <si>
    <t>M28-2-2A06</t>
  </si>
  <si>
    <t>M28-2-3A01</t>
  </si>
  <si>
    <t>M28-2-3A02</t>
  </si>
  <si>
    <t>M28-2-3A03</t>
  </si>
  <si>
    <t>M28-2-3A04</t>
  </si>
  <si>
    <t>M28-2-3A05</t>
  </si>
  <si>
    <t>M28-2-3A06</t>
  </si>
  <si>
    <t>M28-2-4A01</t>
  </si>
  <si>
    <t>M28-2-4A02</t>
  </si>
  <si>
    <t>M28-2-4A03</t>
  </si>
  <si>
    <t>M28-2-4A04</t>
  </si>
  <si>
    <t>M28-2-4A05</t>
  </si>
  <si>
    <t>M28-2-4A06</t>
  </si>
  <si>
    <t>M28-2-5A01</t>
  </si>
  <si>
    <t>M28-2-5A02</t>
  </si>
  <si>
    <t>M28-2-5A03</t>
  </si>
  <si>
    <t>M28-2-5A04</t>
  </si>
  <si>
    <t>M28-2-5A05</t>
  </si>
  <si>
    <t>M28-2-5A06</t>
  </si>
  <si>
    <t>M28-2-6A01</t>
  </si>
  <si>
    <t>M28-2-6A02</t>
  </si>
  <si>
    <t>M28-2-6A03</t>
  </si>
  <si>
    <t>M28-2-6A04</t>
  </si>
  <si>
    <t>M28-2-6A05</t>
  </si>
  <si>
    <t>M28-2-6A06</t>
  </si>
  <si>
    <t>M28-2-7A01</t>
  </si>
  <si>
    <t>M28-2-7A02</t>
  </si>
  <si>
    <t>M28-2-7A03</t>
  </si>
  <si>
    <t>M28-2-7A04</t>
  </si>
  <si>
    <t>M28-2-7A05</t>
  </si>
  <si>
    <t>M28-2-7A06</t>
  </si>
  <si>
    <t>M26-2-1A07</t>
  </si>
  <si>
    <t>M26-2-1B06</t>
  </si>
  <si>
    <t>M26-2-1C05</t>
  </si>
  <si>
    <t>M26-2-1D02</t>
  </si>
  <si>
    <t>M26-2-1D09</t>
  </si>
  <si>
    <t>M26-2-1E08</t>
  </si>
  <si>
    <t>M26-2-2A04</t>
  </si>
  <si>
    <t>M26-2-2A05</t>
  </si>
  <si>
    <t>M26-2-2A06</t>
  </si>
  <si>
    <t>M26-2-3A01</t>
  </si>
  <si>
    <t>M26-2-3A02</t>
  </si>
  <si>
    <t>M26-2-3A03</t>
  </si>
  <si>
    <t>M26-2-3A04</t>
  </si>
  <si>
    <t>M26-2-3A05</t>
  </si>
  <si>
    <t>M26-2-3A06</t>
  </si>
  <si>
    <t>M26-2-4A01</t>
  </si>
  <si>
    <t>M26-2-4A02</t>
  </si>
  <si>
    <t>M26-2-4A03</t>
  </si>
  <si>
    <t>M26-2-4A04</t>
  </si>
  <si>
    <t>M26-2-4A05</t>
  </si>
  <si>
    <t>M26-2-4A06</t>
  </si>
  <si>
    <t>M26-2-5A01</t>
  </si>
  <si>
    <t>M26-2-5A02</t>
  </si>
  <si>
    <t>M26-2-5A03</t>
  </si>
  <si>
    <t>M26-2-5A04</t>
  </si>
  <si>
    <t>M26-2-5A05</t>
  </si>
  <si>
    <t>M26-2-5A06</t>
  </si>
  <si>
    <t>M26-2-6A01</t>
  </si>
  <si>
    <t>M26-2-6A02</t>
  </si>
  <si>
    <t>M26-2-6A03</t>
  </si>
  <si>
    <t>M26-2-6A04</t>
  </si>
  <si>
    <t>M26-2-6A05</t>
  </si>
  <si>
    <t>M26-2-6A06</t>
  </si>
  <si>
    <t>M26-2-7A01</t>
  </si>
  <si>
    <t>M26-2-7A02</t>
  </si>
  <si>
    <t>M26-2-7A03</t>
  </si>
  <si>
    <t>M26-2-7A04</t>
  </si>
  <si>
    <t>M26-2-7A05</t>
  </si>
  <si>
    <t>M26-2-7A06</t>
  </si>
  <si>
    <t>M26-2-8A01</t>
  </si>
  <si>
    <t>M26-2-8A02</t>
  </si>
  <si>
    <t>M26-2-8A03</t>
  </si>
  <si>
    <t>M26-2-8A04</t>
  </si>
  <si>
    <t>M26-2-8A06</t>
  </si>
  <si>
    <t>M28-2-1A08</t>
  </si>
  <si>
    <t>M28-2-1B07</t>
  </si>
  <si>
    <t>M28-2-1D10</t>
  </si>
  <si>
    <t>M28-2-1E09</t>
  </si>
  <si>
    <t>M26-2-1A08</t>
  </si>
  <si>
    <t>M26-2-1B07</t>
  </si>
  <si>
    <t>M26-2-1D10</t>
  </si>
  <si>
    <t>M26-2-1E09</t>
  </si>
  <si>
    <t>M28-2-1A09</t>
  </si>
  <si>
    <t>M28-2-1B08</t>
  </si>
  <si>
    <t>M28-2-1E01</t>
  </si>
  <si>
    <t>M28-2-1E10</t>
  </si>
  <si>
    <t>M26-2-1A09</t>
  </si>
  <si>
    <t>M26-2-1B08</t>
  </si>
  <si>
    <t>M26-2-1E01</t>
  </si>
  <si>
    <t>M26-2-1E10</t>
  </si>
  <si>
    <t>M27-2-1A01</t>
  </si>
  <si>
    <t>M27-2-1A10</t>
  </si>
  <si>
    <t>M27-2-1D03</t>
  </si>
  <si>
    <t>M27-2-1E02</t>
  </si>
  <si>
    <t>M25-2-1A01</t>
  </si>
  <si>
    <t>M25-2-1A10</t>
  </si>
  <si>
    <t>M25-2-1D03</t>
  </si>
  <si>
    <t>M25-2-1E02</t>
  </si>
  <si>
    <t>M27-2-1A02</t>
  </si>
  <si>
    <t>M27-2-1B01</t>
  </si>
  <si>
    <t>M27-2-1D04</t>
  </si>
  <si>
    <t>M27-2-1E03</t>
  </si>
  <si>
    <t>M25-2-1A02</t>
  </si>
  <si>
    <t>M25-2-1B01</t>
  </si>
  <si>
    <t>M25-2-1D04</t>
  </si>
  <si>
    <t>M25-2-1E03</t>
  </si>
  <si>
    <t>M27-2-1A03</t>
  </si>
  <si>
    <t>M27-2-1B02</t>
  </si>
  <si>
    <t>M27-2-1B09</t>
  </si>
  <si>
    <t>M27-2-1C06</t>
  </si>
  <si>
    <t>M27-2-1D05</t>
  </si>
  <si>
    <t>M27-2-1E04</t>
  </si>
  <si>
    <t>M27-2-2A01</t>
  </si>
  <si>
    <t>M27-2-2A02</t>
  </si>
  <si>
    <t>M27-2-2A03</t>
  </si>
  <si>
    <t>M27-2-2A04</t>
  </si>
  <si>
    <t>M27-2-2A05</t>
  </si>
  <si>
    <t>M27-2-2A06</t>
  </si>
  <si>
    <t>M27-2-3A01</t>
  </si>
  <si>
    <t>M27-2-3A02</t>
  </si>
  <si>
    <t>M27-2-3A03</t>
  </si>
  <si>
    <t>M27-2-3A04</t>
  </si>
  <si>
    <t>M27-2-3A05</t>
  </si>
  <si>
    <t>M27-2-3A06</t>
  </si>
  <si>
    <t>M27-2-4A01</t>
  </si>
  <si>
    <t>M27-2-4A02</t>
  </si>
  <si>
    <t>M27-2-4A03</t>
  </si>
  <si>
    <t>M27-2-4A04</t>
  </si>
  <si>
    <t>M27-2-4A05</t>
  </si>
  <si>
    <t>M27-2-4A06</t>
  </si>
  <si>
    <t>M27-2-5A01</t>
  </si>
  <si>
    <t>M27-2-5A02</t>
  </si>
  <si>
    <t>M27-2-5A03</t>
  </si>
  <si>
    <t>M27-2-5A04</t>
  </si>
  <si>
    <t>M27-2-5A05</t>
  </si>
  <si>
    <t>M27-2-5A06</t>
  </si>
  <si>
    <t>M27-2-6A01</t>
  </si>
  <si>
    <t>M27-2-6A02</t>
  </si>
  <si>
    <t>M27-2-6A03</t>
  </si>
  <si>
    <t>M27-2-6A04</t>
  </si>
  <si>
    <t>M27-2-6A05</t>
  </si>
  <si>
    <t>M27-2-6A06</t>
  </si>
  <si>
    <t>M27-2-7A01</t>
  </si>
  <si>
    <t>M27-2-7A02</t>
  </si>
  <si>
    <t>M27-2-7A03</t>
  </si>
  <si>
    <t>M27-2-7A04</t>
  </si>
  <si>
    <t>M27-2-7A05</t>
  </si>
  <si>
    <t>M27-2-7A06</t>
  </si>
  <si>
    <t>M25-2-1A03</t>
  </si>
  <si>
    <t>M25-2-1B02</t>
  </si>
  <si>
    <t>M25-2-1B09</t>
  </si>
  <si>
    <t>M25-2-1C06</t>
  </si>
  <si>
    <t>M25-2-1D05</t>
  </si>
  <si>
    <t>M25-2-1E04</t>
  </si>
  <si>
    <t>M25-2-2A04</t>
  </si>
  <si>
    <t>M25-2-2A05</t>
  </si>
  <si>
    <t>M25-2-2A06</t>
  </si>
  <si>
    <t>M25-2-3A01</t>
  </si>
  <si>
    <t>M25-2-3A02</t>
  </si>
  <si>
    <t>M25-2-3A03</t>
  </si>
  <si>
    <t>M25-2-3A04</t>
  </si>
  <si>
    <t>M25-2-3A05</t>
  </si>
  <si>
    <t>M25-2-3A06</t>
  </si>
  <si>
    <t>M25-2-4A01</t>
  </si>
  <si>
    <t>M25-2-4A02</t>
  </si>
  <si>
    <t>M25-2-4A03</t>
  </si>
  <si>
    <t>M25-2-4A04</t>
  </si>
  <si>
    <t>M25-2-4A05</t>
  </si>
  <si>
    <t>M25-2-4A06</t>
  </si>
  <si>
    <t>M25-2-5A01</t>
  </si>
  <si>
    <t>M25-2-5A02</t>
  </si>
  <si>
    <t>M25-2-5A03</t>
  </si>
  <si>
    <t>M25-2-5A04</t>
  </si>
  <si>
    <t>M25-2-5A05</t>
  </si>
  <si>
    <t>M25-2-5A06</t>
  </si>
  <si>
    <t>M25-2-6A01</t>
  </si>
  <si>
    <t>M25-2-6A02</t>
  </si>
  <si>
    <t>M25-2-6A03</t>
  </si>
  <si>
    <t>M25-2-6A04</t>
  </si>
  <si>
    <t>M25-2-6A05</t>
  </si>
  <si>
    <t>M25-2-6A06</t>
  </si>
  <si>
    <t>M25-2-7A01</t>
  </si>
  <si>
    <t>M25-2-7A02</t>
  </si>
  <si>
    <t>M25-2-7A03</t>
  </si>
  <si>
    <t>M25-2-7A04</t>
  </si>
  <si>
    <t>M25-2-7A05</t>
  </si>
  <si>
    <t>M25-2-7A06</t>
  </si>
  <si>
    <t>M25-2-8A01</t>
  </si>
  <si>
    <t>M25-2-8A02</t>
  </si>
  <si>
    <t>M25-2-8A03</t>
  </si>
  <si>
    <t>M25-2-8A04</t>
  </si>
  <si>
    <t>M25-2-8A05</t>
  </si>
  <si>
    <t>M25-2-8A06</t>
  </si>
  <si>
    <t>M27-2-1A04</t>
  </si>
  <si>
    <t>M27-2-1B03</t>
  </si>
  <si>
    <t>M27-2-1B10</t>
  </si>
  <si>
    <t>M27-2-1C07</t>
  </si>
  <si>
    <t>M27-2-1D06</t>
  </si>
  <si>
    <t>M27-2-1E05</t>
  </si>
  <si>
    <t>M25-2-1A04</t>
  </si>
  <si>
    <t>M25-2-1B03</t>
  </si>
  <si>
    <t>M25-2-1B10</t>
  </si>
  <si>
    <t>M25-2-1C07</t>
  </si>
  <si>
    <t>M25-2-1D06</t>
  </si>
  <si>
    <t>M25-2-1E05</t>
  </si>
  <si>
    <t>M27-2-1A05</t>
  </si>
  <si>
    <t>M27-2-1B04</t>
  </si>
  <si>
    <t>M27-2-1C01</t>
  </si>
  <si>
    <t>M27-2-1C08</t>
  </si>
  <si>
    <t>M27-2-1D07</t>
  </si>
  <si>
    <t>M27-2-1E06</t>
  </si>
  <si>
    <t>M25-2-1A05</t>
  </si>
  <si>
    <t>M25-2-1B04</t>
  </si>
  <si>
    <t>M25-2-1C01</t>
  </si>
  <si>
    <t>M25-2-1C08</t>
  </si>
  <si>
    <t>M25-2-1D07</t>
  </si>
  <si>
    <t>M25-2-1E06</t>
  </si>
  <si>
    <t>M27-2-1A06</t>
  </si>
  <si>
    <t>M27-2-1B05</t>
  </si>
  <si>
    <t>M27-2-1C02</t>
  </si>
  <si>
    <t>M27-2-1C09</t>
  </si>
  <si>
    <t>M27-2-1D08</t>
  </si>
  <si>
    <t>M27-2-1E07</t>
  </si>
  <si>
    <t>M27-2-2B01</t>
  </si>
  <si>
    <t>M27-2-2B02</t>
  </si>
  <si>
    <t>M27-2-2B03</t>
  </si>
  <si>
    <t>M27-2-2B04</t>
  </si>
  <si>
    <t>M27-2-2B05</t>
  </si>
  <si>
    <t>M27-2-2B06</t>
  </si>
  <si>
    <t>M27-2-3B01</t>
  </si>
  <si>
    <t>M27-2-3B02</t>
  </si>
  <si>
    <t>M27-2-3B03</t>
  </si>
  <si>
    <t>M27-2-3B04</t>
  </si>
  <si>
    <t>M27-2-3B05</t>
  </si>
  <si>
    <t>M27-2-3B06</t>
  </si>
  <si>
    <t>M27-2-4B01</t>
  </si>
  <si>
    <t>M27-2-4B02</t>
  </si>
  <si>
    <t>M27-2-4B03</t>
  </si>
  <si>
    <t>M27-2-4B04</t>
  </si>
  <si>
    <t>M27-2-4B05</t>
  </si>
  <si>
    <t>M27-2-4B06</t>
  </si>
  <si>
    <t>M27-2-5B01</t>
  </si>
  <si>
    <t>M27-2-5B02</t>
  </si>
  <si>
    <t>M27-2-5B03</t>
  </si>
  <si>
    <t>M27-2-5B04</t>
  </si>
  <si>
    <t>M27-2-5B05</t>
  </si>
  <si>
    <t>M27-2-5B06</t>
  </si>
  <si>
    <t>M27-2-6B01</t>
  </si>
  <si>
    <t>M27-2-6B02</t>
  </si>
  <si>
    <t>M27-2-6B03</t>
  </si>
  <si>
    <t>M27-2-6B04</t>
  </si>
  <si>
    <t>M27-2-6B05</t>
  </si>
  <si>
    <t>M27-2-6B06</t>
  </si>
  <si>
    <t>M27-2-7B01</t>
  </si>
  <si>
    <t>M27-2-7B02</t>
  </si>
  <si>
    <t>M27-2-7B03</t>
  </si>
  <si>
    <t>M27-2-7B04</t>
  </si>
  <si>
    <t>M27-2-7B05</t>
  </si>
  <si>
    <t>M27-2-7B06</t>
  </si>
  <si>
    <t>M25-2-1A06</t>
  </si>
  <si>
    <t>M25-2-1B05</t>
  </si>
  <si>
    <t>M25-2-1C02</t>
  </si>
  <si>
    <t>M25-2-1C09</t>
  </si>
  <si>
    <t>M25-2-1D08</t>
  </si>
  <si>
    <t>M25-2-1E07</t>
  </si>
  <si>
    <t>M25-2-2B04</t>
  </si>
  <si>
    <t>M25-2-2B05</t>
  </si>
  <si>
    <t>M25-2-2B06</t>
  </si>
  <si>
    <t>M25-2-3B01</t>
  </si>
  <si>
    <t>M25-2-3B02</t>
  </si>
  <si>
    <t>M25-2-3B03</t>
  </si>
  <si>
    <t>M25-2-3B04</t>
  </si>
  <si>
    <t>M25-2-3B05</t>
  </si>
  <si>
    <t>M25-2-3B06</t>
  </si>
  <si>
    <t>M25-2-4B01</t>
  </si>
  <si>
    <t>M25-2-4B02</t>
  </si>
  <si>
    <t>M25-2-4B03</t>
  </si>
  <si>
    <t>M25-2-4B04</t>
  </si>
  <si>
    <t>M25-2-4B05</t>
  </si>
  <si>
    <t>M25-2-4B06</t>
  </si>
  <si>
    <t>M25-2-5B01</t>
  </si>
  <si>
    <t>M25-2-5B02</t>
  </si>
  <si>
    <t>M25-2-5B03</t>
  </si>
  <si>
    <t>M25-2-5B04</t>
  </si>
  <si>
    <t>M25-2-5B05</t>
  </si>
  <si>
    <t>M25-2-5B06</t>
  </si>
  <si>
    <t>M25-2-6B01</t>
  </si>
  <si>
    <t>M25-2-6B02</t>
  </si>
  <si>
    <t>M25-2-6B03</t>
  </si>
  <si>
    <t>M25-2-6B04</t>
  </si>
  <si>
    <t>M25-2-6B05</t>
  </si>
  <si>
    <t>M25-2-6B06</t>
  </si>
  <si>
    <t>M25-2-7B01</t>
  </si>
  <si>
    <t>M25-2-7B02</t>
  </si>
  <si>
    <t>M25-2-7B03</t>
  </si>
  <si>
    <t>M25-2-7B04</t>
  </si>
  <si>
    <t>M25-2-7B05</t>
  </si>
  <si>
    <t>M25-2-7B06</t>
  </si>
  <si>
    <t>M25-2-8B01</t>
  </si>
  <si>
    <t>M25-2-8B02</t>
  </si>
  <si>
    <t>M25-2-8B03</t>
  </si>
  <si>
    <t>M25-2-8B04</t>
  </si>
  <si>
    <t>M25-2-8B05</t>
  </si>
  <si>
    <t>M25-2-8B06</t>
  </si>
  <si>
    <t>M27-2-1A07</t>
  </si>
  <si>
    <t>M27-2-1B06</t>
  </si>
  <si>
    <t>M27-2-1C03</t>
  </si>
  <si>
    <t>M27-2-1C10</t>
  </si>
  <si>
    <t>M27-2-1D09</t>
  </si>
  <si>
    <t>M27-2-1E08</t>
  </si>
  <si>
    <t>M25-2-1A07</t>
  </si>
  <si>
    <t>M25-2-1B06</t>
  </si>
  <si>
    <t>M25-2-1C03</t>
  </si>
  <si>
    <t>M25-2-1C10</t>
  </si>
  <si>
    <t>M25-2-1D09</t>
  </si>
  <si>
    <t>M25-2-1E08</t>
  </si>
  <si>
    <t>M27-2-1A08</t>
  </si>
  <si>
    <t>M27-2-1B07</t>
  </si>
  <si>
    <t>M27-2-1C04</t>
  </si>
  <si>
    <t>M27-2-1D01</t>
  </si>
  <si>
    <t>M27-2-1D10</t>
  </si>
  <si>
    <t>M27-2-1E09</t>
  </si>
  <si>
    <t>M25-2-1A08</t>
  </si>
  <si>
    <t>M25-2-1B07</t>
  </si>
  <si>
    <t>M25-2-1C04</t>
  </si>
  <si>
    <t>M25-2-1D01</t>
  </si>
  <si>
    <t>M25-2-1D10</t>
  </si>
  <si>
    <t>M25-2-1E09</t>
  </si>
  <si>
    <t>M27-2-1A09</t>
  </si>
  <si>
    <t>M27-2-1B08</t>
  </si>
  <si>
    <t>M27-2-1C05</t>
  </si>
  <si>
    <t>M27-2-1D02</t>
  </si>
  <si>
    <t>M27-2-1E01</t>
  </si>
  <si>
    <t>M27-2-1E10</t>
  </si>
  <si>
    <t>M27-2-2C01</t>
  </si>
  <si>
    <t>M27-2-2C02</t>
  </si>
  <si>
    <t>M27-2-2C03</t>
  </si>
  <si>
    <t>M27-2-2C04</t>
  </si>
  <si>
    <t>M27-2-2C05</t>
  </si>
  <si>
    <t>M27-2-2C06</t>
  </si>
  <si>
    <t>M27-2-3C01</t>
  </si>
  <si>
    <t>M27-2-3C02</t>
  </si>
  <si>
    <t>M27-2-3C03</t>
  </si>
  <si>
    <t>M27-2-3C04</t>
  </si>
  <si>
    <t>M27-2-3C05</t>
  </si>
  <si>
    <t>M27-2-3C06</t>
  </si>
  <si>
    <t>M27-2-4C01</t>
  </si>
  <si>
    <t>M27-2-4C02</t>
  </si>
  <si>
    <t>M27-2-4C03</t>
  </si>
  <si>
    <t>M27-2-4C04</t>
  </si>
  <si>
    <t>M27-2-4C05</t>
  </si>
  <si>
    <t>M27-2-4C06</t>
  </si>
  <si>
    <t>M27-2-5C01</t>
  </si>
  <si>
    <t>M27-2-5C02</t>
  </si>
  <si>
    <t>M27-2-5C03</t>
  </si>
  <si>
    <t>M27-2-5C04</t>
  </si>
  <si>
    <t>M27-2-5C05</t>
  </si>
  <si>
    <t>M27-2-5C06</t>
  </si>
  <si>
    <t>M27-2-6C01</t>
  </si>
  <si>
    <t>M27-2-6C02</t>
  </si>
  <si>
    <t>M27-2-6C03</t>
  </si>
  <si>
    <t>M27-2-6C04</t>
  </si>
  <si>
    <t>M27-2-6C05</t>
  </si>
  <si>
    <t>M27-2-6C06</t>
  </si>
  <si>
    <t>M27-2-7C01</t>
  </si>
  <si>
    <t>M27-2-7C02</t>
  </si>
  <si>
    <t>M27-2-7C03</t>
  </si>
  <si>
    <t>M27-2-7C04</t>
  </si>
  <si>
    <t>M27-2-7C05</t>
  </si>
  <si>
    <t>M27-2-7C06</t>
  </si>
  <si>
    <t>M25-2-1A09</t>
  </si>
  <si>
    <t>M25-2-1B08</t>
  </si>
  <si>
    <t>M25-2-1C05</t>
  </si>
  <si>
    <t>M25-2-1D02</t>
  </si>
  <si>
    <t>M25-2-1E01</t>
  </si>
  <si>
    <t>M25-2-1E10</t>
  </si>
  <si>
    <t>M25-2-2C04</t>
  </si>
  <si>
    <t>M25-2-2C05</t>
  </si>
  <si>
    <t>M25-2-2C06</t>
  </si>
  <si>
    <t>M25-2-3C01</t>
  </si>
  <si>
    <t>M25-2-3C02</t>
  </si>
  <si>
    <t>M25-2-3C03</t>
  </si>
  <si>
    <t>M25-2-3C04</t>
  </si>
  <si>
    <t>M25-2-3C05</t>
  </si>
  <si>
    <t>M25-2-3C06</t>
  </si>
  <si>
    <t>M25-2-4C01</t>
  </si>
  <si>
    <t>M25-2-4C02</t>
  </si>
  <si>
    <t>M25-2-4C03</t>
  </si>
  <si>
    <t>M25-2-4C04</t>
  </si>
  <si>
    <t>M25-2-4C05</t>
  </si>
  <si>
    <t>M25-2-4C06</t>
  </si>
  <si>
    <t>M25-2-5C01</t>
  </si>
  <si>
    <t>M25-2-5C02</t>
  </si>
  <si>
    <t>M25-2-5C03</t>
  </si>
  <si>
    <t>M25-2-5C04</t>
  </si>
  <si>
    <t>M25-2-5C05</t>
  </si>
  <si>
    <t>M25-2-5C06</t>
  </si>
  <si>
    <t>M25-2-6C01</t>
  </si>
  <si>
    <t>M25-2-6C02</t>
  </si>
  <si>
    <t>M25-2-6C03</t>
  </si>
  <si>
    <t>M25-2-6C04</t>
  </si>
  <si>
    <t>M25-2-6C05</t>
  </si>
  <si>
    <t>M25-2-6C06</t>
  </si>
  <si>
    <t>M25-2-7C01</t>
  </si>
  <si>
    <t>M25-2-7C02</t>
  </si>
  <si>
    <t>M25-2-7C03</t>
  </si>
  <si>
    <t>M25-2-7C04</t>
  </si>
  <si>
    <t>M25-2-7C05</t>
  </si>
  <si>
    <t>M25-2-7C06</t>
  </si>
  <si>
    <t>M25-2-8C01</t>
  </si>
  <si>
    <t>M25-2-8C02</t>
  </si>
  <si>
    <t>M25-2-8C03</t>
  </si>
  <si>
    <t>M25-2-8C04</t>
  </si>
  <si>
    <t>M25-2-8C05</t>
  </si>
  <si>
    <t>M25-2-8C06</t>
  </si>
  <si>
    <t>FP Item</t>
  </si>
  <si>
    <t>1st / 2nd Floor</t>
  </si>
  <si>
    <t>Location</t>
  </si>
  <si>
    <t>Walk-In / Flow Rack</t>
  </si>
  <si>
    <t># of Picks Daily</t>
  </si>
  <si>
    <t>High/Low Value</t>
  </si>
  <si>
    <t>Pick Mod Location</t>
  </si>
  <si>
    <t>LUM</t>
  </si>
  <si>
    <t>1st</t>
  </si>
  <si>
    <t>Flow Rack</t>
  </si>
  <si>
    <t/>
  </si>
  <si>
    <t>HIGH</t>
  </si>
  <si>
    <t>2nd</t>
  </si>
  <si>
    <t>Walk-In</t>
  </si>
  <si>
    <t>M21-1-5A01</t>
  </si>
  <si>
    <t>M21-1-5A02</t>
  </si>
  <si>
    <t>M21-1-5B02</t>
  </si>
  <si>
    <t>M21-1-5C02</t>
  </si>
  <si>
    <t>M26-2-2A02</t>
  </si>
  <si>
    <t>M26-2-2B01</t>
  </si>
  <si>
    <t>M28-2-2B05</t>
  </si>
  <si>
    <t>M26-2-2B02</t>
  </si>
  <si>
    <t>M26-2-2B03</t>
  </si>
  <si>
    <t>M18-2-2B05</t>
  </si>
  <si>
    <t>M26-2-2C01</t>
  </si>
  <si>
    <t>M26-2-2C02</t>
  </si>
  <si>
    <t>M26-2-2C03</t>
  </si>
  <si>
    <t>M18-2-2C05</t>
  </si>
  <si>
    <t>M28-2-2C05</t>
  </si>
  <si>
    <t>M26-2-2A01</t>
  </si>
  <si>
    <t>M26-2-2A03</t>
  </si>
  <si>
    <t>M28-2-2A05</t>
  </si>
  <si>
    <t>M16-2-8A05</t>
  </si>
  <si>
    <t>M18-2-2A05</t>
  </si>
  <si>
    <t>M16-2-8B05</t>
  </si>
  <si>
    <t>M16-2-8C05</t>
  </si>
  <si>
    <t>M26-2-8A05</t>
  </si>
  <si>
    <t>M26-2-8B05</t>
  </si>
  <si>
    <t>M26-2-8C05</t>
  </si>
  <si>
    <t>96259;</t>
  </si>
  <si>
    <t>20401;</t>
  </si>
  <si>
    <t>96261;</t>
  </si>
  <si>
    <t>158219;</t>
  </si>
  <si>
    <t>6667;</t>
  </si>
  <si>
    <t>328;</t>
  </si>
  <si>
    <t>83902;</t>
  </si>
  <si>
    <t>14049;</t>
  </si>
  <si>
    <t>157434;</t>
  </si>
  <si>
    <t>112428;</t>
  </si>
  <si>
    <t>7378;</t>
  </si>
  <si>
    <t>83918;</t>
  </si>
  <si>
    <t>89162;</t>
  </si>
  <si>
    <t>190;</t>
  </si>
  <si>
    <t>17386;</t>
  </si>
  <si>
    <t>82148;</t>
  </si>
  <si>
    <t>9928;</t>
  </si>
  <si>
    <t>139649;</t>
  </si>
  <si>
    <t>112793;</t>
  </si>
  <si>
    <t>129863;</t>
  </si>
  <si>
    <t>16592;</t>
  </si>
  <si>
    <t>122475;</t>
  </si>
  <si>
    <t>128286;</t>
  </si>
  <si>
    <t>63129;</t>
  </si>
  <si>
    <t>128509;</t>
  </si>
  <si>
    <t>85363;</t>
  </si>
  <si>
    <t>121231;</t>
  </si>
  <si>
    <t>31491;</t>
  </si>
  <si>
    <t>100928;</t>
  </si>
  <si>
    <t>78887;</t>
  </si>
  <si>
    <t>109983;</t>
  </si>
  <si>
    <t>58264;</t>
  </si>
  <si>
    <t>76808;</t>
  </si>
  <si>
    <t>12385;</t>
  </si>
  <si>
    <t>108318;</t>
  </si>
  <si>
    <t>11147;</t>
  </si>
  <si>
    <t>88442;</t>
  </si>
  <si>
    <t>124756;</t>
  </si>
  <si>
    <t>10227;</t>
  </si>
  <si>
    <t>100528;</t>
  </si>
  <si>
    <t>142331;</t>
  </si>
  <si>
    <t>8501;</t>
  </si>
  <si>
    <t>137725;</t>
  </si>
  <si>
    <t>141166;</t>
  </si>
  <si>
    <t>765;</t>
  </si>
  <si>
    <t>12595;</t>
  </si>
  <si>
    <t>39527;</t>
  </si>
  <si>
    <t>128656;</t>
  </si>
  <si>
    <t>18018;</t>
  </si>
  <si>
    <t>8447;</t>
  </si>
  <si>
    <t>112714;</t>
  </si>
  <si>
    <t>14204;</t>
  </si>
  <si>
    <t>348;</t>
  </si>
  <si>
    <t>137402;</t>
  </si>
  <si>
    <t>138525;</t>
  </si>
  <si>
    <t>109264;</t>
  </si>
  <si>
    <t>134739;</t>
  </si>
  <si>
    <t>70439;</t>
  </si>
  <si>
    <t>137613;</t>
  </si>
  <si>
    <t>90499;</t>
  </si>
  <si>
    <t>8831;</t>
  </si>
  <si>
    <t>32015;</t>
  </si>
  <si>
    <t>1012;</t>
  </si>
  <si>
    <t>39604;</t>
  </si>
  <si>
    <t>16975;</t>
  </si>
  <si>
    <t>21007;</t>
  </si>
  <si>
    <t>127136;</t>
  </si>
  <si>
    <t>82460;</t>
  </si>
  <si>
    <t>81032;</t>
  </si>
  <si>
    <t>136237;</t>
  </si>
  <si>
    <t>89401;</t>
  </si>
  <si>
    <t>1635;</t>
  </si>
  <si>
    <t>137910;</t>
  </si>
  <si>
    <t>118496;</t>
  </si>
  <si>
    <t>59114;</t>
  </si>
  <si>
    <t>1440;</t>
  </si>
  <si>
    <t>143801;</t>
  </si>
  <si>
    <t>9993;</t>
  </si>
  <si>
    <t>111446;</t>
  </si>
  <si>
    <t>1539;</t>
  </si>
  <si>
    <t>156029;</t>
  </si>
  <si>
    <t>137556;</t>
  </si>
  <si>
    <t>139049;</t>
  </si>
  <si>
    <t>31251;</t>
  </si>
  <si>
    <t>116018;</t>
  </si>
  <si>
    <t>104533;</t>
  </si>
  <si>
    <t>66700;</t>
  </si>
  <si>
    <t>137612;</t>
  </si>
  <si>
    <t>100120;</t>
  </si>
  <si>
    <t>139158;</t>
  </si>
  <si>
    <t>115659;</t>
  </si>
  <si>
    <t>84018;</t>
  </si>
  <si>
    <t>100654;</t>
  </si>
  <si>
    <t>138819;</t>
  </si>
  <si>
    <t>82772;</t>
  </si>
  <si>
    <t>138410;</t>
  </si>
  <si>
    <t>133856;</t>
  </si>
  <si>
    <t>101422;</t>
  </si>
  <si>
    <t>134060;</t>
  </si>
  <si>
    <t>114262;</t>
  </si>
  <si>
    <t>156912;</t>
  </si>
  <si>
    <t>91365;</t>
  </si>
  <si>
    <t>134062;</t>
  </si>
  <si>
    <t>134069;</t>
  </si>
  <si>
    <t>134061;</t>
  </si>
  <si>
    <t>17406;</t>
  </si>
  <si>
    <t>113302;</t>
  </si>
  <si>
    <t>35140;</t>
  </si>
  <si>
    <t>7231;</t>
  </si>
  <si>
    <t>137661;</t>
  </si>
  <si>
    <t>136467;</t>
  </si>
  <si>
    <t>321;</t>
  </si>
  <si>
    <t>91285;</t>
  </si>
  <si>
    <t>79021;</t>
  </si>
  <si>
    <t>160067;</t>
  </si>
  <si>
    <t>91359;</t>
  </si>
  <si>
    <t>156809;</t>
  </si>
  <si>
    <t>17407;</t>
  </si>
  <si>
    <t>156331;</t>
  </si>
  <si>
    <t>112471;</t>
  </si>
  <si>
    <t>17408;</t>
  </si>
  <si>
    <t>63853;</t>
  </si>
  <si>
    <t>138364;</t>
  </si>
  <si>
    <t>92938;</t>
  </si>
  <si>
    <t>13541;</t>
  </si>
  <si>
    <t>1725;</t>
  </si>
  <si>
    <t>66739;</t>
  </si>
  <si>
    <t>134213;</t>
  </si>
  <si>
    <t>1962;</t>
  </si>
  <si>
    <t>157613;</t>
  </si>
  <si>
    <t>114380;</t>
  </si>
  <si>
    <t>786;</t>
  </si>
  <si>
    <t>336;</t>
  </si>
  <si>
    <t>96856;</t>
  </si>
  <si>
    <t>133851;</t>
  </si>
  <si>
    <t>133847;</t>
  </si>
  <si>
    <t>159070;</t>
  </si>
  <si>
    <t>63167;</t>
  </si>
  <si>
    <t>124950;</t>
  </si>
  <si>
    <t>152;</t>
  </si>
  <si>
    <t>51895;</t>
  </si>
  <si>
    <t>78496;</t>
  </si>
  <si>
    <t>8345;</t>
  </si>
  <si>
    <t>96316;</t>
  </si>
  <si>
    <t>11689;</t>
  </si>
  <si>
    <t>144223;</t>
  </si>
  <si>
    <t>12233;</t>
  </si>
  <si>
    <t>158188;</t>
  </si>
  <si>
    <t>13828;</t>
  </si>
  <si>
    <t>114613;</t>
  </si>
  <si>
    <t>37687;</t>
  </si>
  <si>
    <t>117145;</t>
  </si>
  <si>
    <t>134031;</t>
  </si>
  <si>
    <t>96958;</t>
  </si>
  <si>
    <t>82527;</t>
  </si>
  <si>
    <t>121419;</t>
  </si>
  <si>
    <t>96317;</t>
  </si>
  <si>
    <t>25067;</t>
  </si>
  <si>
    <t>60082;</t>
  </si>
  <si>
    <t>65803;</t>
  </si>
  <si>
    <t>28492;</t>
  </si>
  <si>
    <t>19550;</t>
  </si>
  <si>
    <t>365;</t>
  </si>
  <si>
    <t>79501;</t>
  </si>
  <si>
    <t>963;</t>
  </si>
  <si>
    <t>35251;</t>
  </si>
  <si>
    <t>7897;</t>
  </si>
  <si>
    <t>139098;</t>
  </si>
  <si>
    <t>110251;</t>
  </si>
  <si>
    <t>74068;</t>
  </si>
  <si>
    <t>73351;</t>
  </si>
  <si>
    <t>87064;</t>
  </si>
  <si>
    <t>66810;</t>
  </si>
  <si>
    <t>137029;</t>
  </si>
  <si>
    <t>5499;</t>
  </si>
  <si>
    <t>135400;</t>
  </si>
  <si>
    <t>112686;</t>
  </si>
  <si>
    <t>86221;</t>
  </si>
  <si>
    <t>14034;</t>
  </si>
  <si>
    <t>29510;</t>
  </si>
  <si>
    <t>100213;</t>
  </si>
  <si>
    <t>123944;</t>
  </si>
  <si>
    <t>1944;</t>
  </si>
  <si>
    <t>157617;</t>
  </si>
  <si>
    <t>113983;</t>
  </si>
  <si>
    <t>63153;</t>
  </si>
  <si>
    <t>124931;</t>
  </si>
  <si>
    <t>93438;</t>
  </si>
  <si>
    <t>128189;</t>
  </si>
  <si>
    <t>113519;</t>
  </si>
  <si>
    <t>114045;</t>
  </si>
  <si>
    <t>3156;</t>
  </si>
  <si>
    <t>104816;</t>
  </si>
  <si>
    <t>125688;</t>
  </si>
  <si>
    <t>108143;</t>
  </si>
  <si>
    <t>627;</t>
  </si>
  <si>
    <t>131686;</t>
  </si>
  <si>
    <t>110118;</t>
  </si>
  <si>
    <t>155881;</t>
  </si>
  <si>
    <t>100832;</t>
  </si>
  <si>
    <t>142830;</t>
  </si>
  <si>
    <t>155945;</t>
  </si>
  <si>
    <t>142587;</t>
  </si>
  <si>
    <t>61373;</t>
  </si>
  <si>
    <t>138744;</t>
  </si>
  <si>
    <t>108748;</t>
  </si>
  <si>
    <t>156246;</t>
  </si>
  <si>
    <t>134386;</t>
  </si>
  <si>
    <t>37804;</t>
  </si>
  <si>
    <t>2515;</t>
  </si>
  <si>
    <t>132336;</t>
  </si>
  <si>
    <t>134900;</t>
  </si>
  <si>
    <t>83397;</t>
  </si>
  <si>
    <t>1831;</t>
  </si>
  <si>
    <t>137969;</t>
  </si>
  <si>
    <t>137475;</t>
  </si>
  <si>
    <t>759;</t>
  </si>
  <si>
    <t>108604;</t>
  </si>
  <si>
    <t>129779;</t>
  </si>
  <si>
    <t>131930;</t>
  </si>
  <si>
    <t>2516;</t>
  </si>
  <si>
    <t>156080;</t>
  </si>
  <si>
    <t>128270;</t>
  </si>
  <si>
    <t>126523;</t>
  </si>
  <si>
    <t>129778;</t>
  </si>
  <si>
    <t>156128;</t>
  </si>
  <si>
    <t>129780;</t>
  </si>
  <si>
    <t>130184;</t>
  </si>
  <si>
    <t>157031;</t>
  </si>
  <si>
    <t>140227;</t>
  </si>
  <si>
    <t>134289;</t>
  </si>
  <si>
    <t>39737;</t>
  </si>
  <si>
    <t>99988;</t>
  </si>
  <si>
    <t>138812;</t>
  </si>
  <si>
    <t>126214;</t>
  </si>
  <si>
    <t>1494;</t>
  </si>
  <si>
    <t>141171;</t>
  </si>
  <si>
    <t>155727;</t>
  </si>
  <si>
    <t>155724;</t>
  </si>
  <si>
    <t>7800;</t>
  </si>
  <si>
    <t>138853;</t>
  </si>
  <si>
    <t>35372;</t>
  </si>
  <si>
    <t>35123;</t>
  </si>
  <si>
    <t>141170;</t>
  </si>
  <si>
    <t>58563;</t>
  </si>
  <si>
    <t>141169;</t>
  </si>
  <si>
    <t>116633;</t>
  </si>
  <si>
    <t>31518;</t>
  </si>
  <si>
    <t>77272;</t>
  </si>
  <si>
    <t>129777;</t>
  </si>
  <si>
    <t>93376;</t>
  </si>
  <si>
    <t>110053;</t>
  </si>
  <si>
    <t>17128;</t>
  </si>
  <si>
    <t>131791;</t>
  </si>
  <si>
    <t>67409;</t>
  </si>
  <si>
    <t>67410;</t>
  </si>
  <si>
    <t>123389;</t>
  </si>
  <si>
    <t>32440;</t>
  </si>
  <si>
    <t>138953;</t>
  </si>
  <si>
    <t>108436;</t>
  </si>
  <si>
    <t>108191;</t>
  </si>
  <si>
    <t>138810;</t>
  </si>
  <si>
    <t>105914;</t>
  </si>
  <si>
    <t>1112;</t>
  </si>
  <si>
    <t>142657;</t>
  </si>
  <si>
    <t>132828;</t>
  </si>
  <si>
    <t>118326;</t>
  </si>
  <si>
    <t>132825;</t>
  </si>
  <si>
    <t>100660;</t>
  </si>
  <si>
    <t>132829;</t>
  </si>
  <si>
    <t>96718;</t>
  </si>
  <si>
    <t>112804;</t>
  </si>
  <si>
    <t>143546;</t>
  </si>
  <si>
    <t>89242;</t>
  </si>
  <si>
    <t>5589;</t>
  </si>
  <si>
    <t>94128;</t>
  </si>
  <si>
    <t>86224;</t>
  </si>
  <si>
    <t>119975;</t>
  </si>
  <si>
    <t>143990;</t>
  </si>
  <si>
    <t>132802;</t>
  </si>
  <si>
    <t>33299;</t>
  </si>
  <si>
    <t>114950;</t>
  </si>
  <si>
    <t>74333;</t>
  </si>
  <si>
    <t>1931;</t>
  </si>
  <si>
    <t>113326;</t>
  </si>
  <si>
    <t>7759;</t>
  </si>
  <si>
    <t>1080;</t>
  </si>
  <si>
    <t>35162;</t>
  </si>
  <si>
    <t>35254;</t>
  </si>
  <si>
    <t>138289;</t>
  </si>
  <si>
    <t>14500;</t>
  </si>
  <si>
    <t>36992;</t>
  </si>
  <si>
    <t>35267;</t>
  </si>
  <si>
    <t>10881;</t>
  </si>
  <si>
    <t>73874;</t>
  </si>
  <si>
    <t>83661;</t>
  </si>
  <si>
    <t>60788;</t>
  </si>
  <si>
    <t>90501;</t>
  </si>
  <si>
    <t>130157;</t>
  </si>
  <si>
    <t>111197;</t>
  </si>
  <si>
    <t>8366;</t>
  </si>
  <si>
    <t>60168;</t>
  </si>
  <si>
    <t>13898;</t>
  </si>
  <si>
    <t>101109;</t>
  </si>
  <si>
    <t>100684;</t>
  </si>
  <si>
    <t>22138;</t>
  </si>
  <si>
    <t>156861;</t>
  </si>
  <si>
    <t>139736;</t>
  </si>
  <si>
    <t>96650;</t>
  </si>
  <si>
    <t>31456;</t>
  </si>
  <si>
    <t>118837;</t>
  </si>
  <si>
    <t>33449;</t>
  </si>
  <si>
    <t>2563;</t>
  </si>
  <si>
    <t>115499;</t>
  </si>
  <si>
    <t>47676;</t>
  </si>
  <si>
    <t>128281;</t>
  </si>
  <si>
    <t>31007;</t>
  </si>
  <si>
    <t>108958;</t>
  </si>
  <si>
    <t>141322;</t>
  </si>
  <si>
    <t>156271;</t>
  </si>
  <si>
    <t>60638;</t>
  </si>
  <si>
    <t>142255;</t>
  </si>
  <si>
    <t>140577;</t>
  </si>
  <si>
    <t>143143;</t>
  </si>
  <si>
    <t>9720;</t>
  </si>
  <si>
    <t>97344;</t>
  </si>
  <si>
    <t>118742;</t>
  </si>
  <si>
    <t>15570;</t>
  </si>
  <si>
    <t>630;</t>
  </si>
  <si>
    <t>60888;</t>
  </si>
  <si>
    <t>95357;</t>
  </si>
  <si>
    <t>9696;</t>
  </si>
  <si>
    <t>126138;</t>
  </si>
  <si>
    <t>481;</t>
  </si>
  <si>
    <t>1452;</t>
  </si>
  <si>
    <t>105327;</t>
  </si>
  <si>
    <t>89702;</t>
  </si>
  <si>
    <t>155832;</t>
  </si>
  <si>
    <t>138950;</t>
  </si>
  <si>
    <t>35294;</t>
  </si>
  <si>
    <t>112478;</t>
  </si>
  <si>
    <t>63401;</t>
  </si>
  <si>
    <t>5328;</t>
  </si>
  <si>
    <t>96468;</t>
  </si>
  <si>
    <t>36854;</t>
  </si>
  <si>
    <t>134099;</t>
  </si>
  <si>
    <t>3119;</t>
  </si>
  <si>
    <t>61047;</t>
  </si>
  <si>
    <t>77271;</t>
  </si>
  <si>
    <t>157242;</t>
  </si>
  <si>
    <t>15389;</t>
  </si>
  <si>
    <t>33699;</t>
  </si>
  <si>
    <t>87602;</t>
  </si>
  <si>
    <t>19649;</t>
  </si>
  <si>
    <t>139896;</t>
  </si>
  <si>
    <t>121260;</t>
  </si>
  <si>
    <t>93085;</t>
  </si>
  <si>
    <t>914;</t>
  </si>
  <si>
    <t>83233;</t>
  </si>
  <si>
    <t>132832;</t>
  </si>
  <si>
    <t>124574;</t>
  </si>
  <si>
    <t>127147;</t>
  </si>
  <si>
    <t>116597;</t>
  </si>
  <si>
    <t>114126;</t>
  </si>
  <si>
    <t>133889;</t>
  </si>
  <si>
    <t>117;</t>
  </si>
  <si>
    <t>133213;</t>
  </si>
  <si>
    <t>100216;</t>
  </si>
  <si>
    <t>100945;</t>
  </si>
  <si>
    <t>138958;</t>
  </si>
  <si>
    <t>114053;</t>
  </si>
  <si>
    <t>137712;</t>
  </si>
  <si>
    <t>115505;</t>
  </si>
  <si>
    <t>113990;</t>
  </si>
  <si>
    <t>112550;</t>
  </si>
  <si>
    <t>114054;</t>
  </si>
  <si>
    <t>141346;</t>
  </si>
  <si>
    <t>209;</t>
  </si>
  <si>
    <t>137505;</t>
  </si>
  <si>
    <t>138956;</t>
  </si>
  <si>
    <t>138959;</t>
  </si>
  <si>
    <t>773;</t>
  </si>
  <si>
    <t>138954;</t>
  </si>
  <si>
    <t>127748;</t>
  </si>
  <si>
    <t>115027;</t>
  </si>
  <si>
    <t>157662;</t>
  </si>
  <si>
    <t>157098;</t>
  </si>
  <si>
    <t>137553;</t>
  </si>
  <si>
    <t>155722;</t>
  </si>
  <si>
    <t>138817;</t>
  </si>
  <si>
    <t>1175;</t>
  </si>
  <si>
    <t>140672;</t>
  </si>
  <si>
    <t>139895;</t>
  </si>
  <si>
    <t>129275;</t>
  </si>
  <si>
    <t>138661;</t>
  </si>
  <si>
    <t>117127;</t>
  </si>
  <si>
    <t>110815;</t>
  </si>
  <si>
    <t>110814;</t>
  </si>
  <si>
    <t>132720;</t>
  </si>
  <si>
    <t>157415;</t>
  </si>
  <si>
    <t>155986;</t>
  </si>
  <si>
    <t>60671;</t>
  </si>
  <si>
    <t>104971;</t>
  </si>
  <si>
    <t>31692;</t>
  </si>
  <si>
    <t>6220;</t>
  </si>
  <si>
    <t>110946;</t>
  </si>
  <si>
    <t>127137;</t>
  </si>
  <si>
    <t>138934;</t>
  </si>
  <si>
    <t>132744;</t>
  </si>
  <si>
    <t>110809;</t>
  </si>
  <si>
    <t>83165;</t>
  </si>
  <si>
    <t>156334;</t>
  </si>
  <si>
    <t>156333;</t>
  </si>
  <si>
    <t>119965;</t>
  </si>
  <si>
    <t>60351;</t>
  </si>
  <si>
    <t>137889;</t>
  </si>
  <si>
    <t>95389;</t>
  </si>
  <si>
    <t>138809;</t>
  </si>
  <si>
    <t>24156;</t>
  </si>
  <si>
    <t>115524;</t>
  </si>
  <si>
    <t>138404;</t>
  </si>
  <si>
    <t>137636;</t>
  </si>
  <si>
    <t>139446;</t>
  </si>
  <si>
    <t>132999;</t>
  </si>
  <si>
    <t>22426;</t>
  </si>
  <si>
    <t>138617;</t>
  </si>
  <si>
    <t>1978;</t>
  </si>
  <si>
    <t>155723;</t>
  </si>
  <si>
    <t>101009;</t>
  </si>
  <si>
    <t>155721;</t>
  </si>
  <si>
    <t>137724;</t>
  </si>
  <si>
    <t>61368;</t>
  </si>
  <si>
    <t>370;</t>
  </si>
  <si>
    <t>106356;</t>
  </si>
  <si>
    <t>69237;</t>
  </si>
  <si>
    <t>137006;</t>
  </si>
  <si>
    <t>637;</t>
  </si>
  <si>
    <t>22502;</t>
  </si>
  <si>
    <t>156931;</t>
  </si>
  <si>
    <t>108747;</t>
  </si>
  <si>
    <t>137722;</t>
  </si>
  <si>
    <t>156633;</t>
  </si>
  <si>
    <t>137883;</t>
  </si>
  <si>
    <t>123012;</t>
  </si>
  <si>
    <t>101413;</t>
  </si>
  <si>
    <t>108626;</t>
  </si>
  <si>
    <t>28472;</t>
  </si>
  <si>
    <t>100748;</t>
  </si>
  <si>
    <t>114978;</t>
  </si>
  <si>
    <t>112805;</t>
  </si>
  <si>
    <t>114368;</t>
  </si>
  <si>
    <t>726;</t>
  </si>
  <si>
    <t>157099;</t>
  </si>
  <si>
    <t>94746;</t>
  </si>
  <si>
    <t>70442;</t>
  </si>
  <si>
    <t>142639;</t>
  </si>
  <si>
    <t>2634;</t>
  </si>
  <si>
    <t>99840;</t>
  </si>
  <si>
    <t>9124;</t>
  </si>
  <si>
    <t>138566;</t>
  </si>
  <si>
    <t>73227;</t>
  </si>
  <si>
    <t>157448;</t>
  </si>
  <si>
    <t>141230;</t>
  </si>
  <si>
    <t>114046;</t>
  </si>
  <si>
    <t>9280;</t>
  </si>
  <si>
    <t>130206;</t>
  </si>
  <si>
    <t>59;</t>
  </si>
  <si>
    <t>140670;</t>
  </si>
  <si>
    <t>83787;</t>
  </si>
  <si>
    <t>52;</t>
  </si>
  <si>
    <t>9458;</t>
  </si>
  <si>
    <t>135997;</t>
  </si>
  <si>
    <t>31426;</t>
  </si>
  <si>
    <t>118905;</t>
  </si>
  <si>
    <t>78468;</t>
  </si>
  <si>
    <t>80739;</t>
  </si>
  <si>
    <t>1115;</t>
  </si>
  <si>
    <t>117930;</t>
  </si>
  <si>
    <t>112427;</t>
  </si>
  <si>
    <t>88439;</t>
  </si>
  <si>
    <t>157797;</t>
  </si>
  <si>
    <t>33312;</t>
  </si>
  <si>
    <t>50165;</t>
  </si>
  <si>
    <t>120002;</t>
  </si>
  <si>
    <t>63745;</t>
  </si>
  <si>
    <t>120004;</t>
  </si>
  <si>
    <t>2456;</t>
  </si>
  <si>
    <t>100185;</t>
  </si>
  <si>
    <t>22722;</t>
  </si>
  <si>
    <t>112564;</t>
  </si>
  <si>
    <t>110566;</t>
  </si>
  <si>
    <t>107027;</t>
  </si>
  <si>
    <t>561;</t>
  </si>
  <si>
    <t>111146;</t>
  </si>
  <si>
    <t>13919;</t>
  </si>
  <si>
    <t>118779;</t>
  </si>
  <si>
    <t>108869;</t>
  </si>
  <si>
    <t>42860;</t>
  </si>
  <si>
    <t>17481;</t>
  </si>
  <si>
    <t>157068;</t>
  </si>
  <si>
    <t>14103;</t>
  </si>
  <si>
    <t>14111;</t>
  </si>
  <si>
    <t>695;</t>
  </si>
  <si>
    <t>100771;</t>
  </si>
  <si>
    <t>143747;</t>
  </si>
  <si>
    <t>39717;</t>
  </si>
  <si>
    <t>157096;</t>
  </si>
  <si>
    <t>199;</t>
  </si>
  <si>
    <t>143812;</t>
  </si>
  <si>
    <t>558;</t>
  </si>
  <si>
    <t>155970;</t>
  </si>
  <si>
    <t>2647;</t>
  </si>
  <si>
    <t>1534;</t>
  </si>
  <si>
    <t>400;</t>
  </si>
  <si>
    <t>118318;</t>
  </si>
  <si>
    <t>1964;</t>
  </si>
  <si>
    <t>31450;</t>
  </si>
  <si>
    <t>628;</t>
  </si>
  <si>
    <t>1724;</t>
  </si>
  <si>
    <t>135154;</t>
  </si>
  <si>
    <t>156911;</t>
  </si>
  <si>
    <t>106840;</t>
  </si>
  <si>
    <t>122320;</t>
  </si>
  <si>
    <t>105102;</t>
  </si>
  <si>
    <t>918;</t>
  </si>
  <si>
    <t>77267;</t>
  </si>
  <si>
    <t>763;</t>
  </si>
  <si>
    <t>626;</t>
  </si>
  <si>
    <t>80419;</t>
  </si>
  <si>
    <t>31459;</t>
  </si>
  <si>
    <t>113995;</t>
  </si>
  <si>
    <t>86625;</t>
  </si>
  <si>
    <t>20110;</t>
  </si>
  <si>
    <t>700;</t>
  </si>
  <si>
    <t>137506;</t>
  </si>
  <si>
    <t>156192;</t>
  </si>
  <si>
    <t>87;</t>
  </si>
  <si>
    <t>101018;</t>
  </si>
  <si>
    <t>124936;</t>
  </si>
  <si>
    <t>20309;</t>
  </si>
  <si>
    <t>65204;</t>
  </si>
  <si>
    <t>112655;</t>
  </si>
  <si>
    <t>20823;</t>
  </si>
  <si>
    <t>264;</t>
  </si>
  <si>
    <t>138945;</t>
  </si>
  <si>
    <t>258;</t>
  </si>
  <si>
    <t>429;</t>
  </si>
  <si>
    <t>7326;</t>
  </si>
  <si>
    <t>1372;</t>
  </si>
  <si>
    <t>12360;</t>
  </si>
  <si>
    <t>101027;</t>
  </si>
  <si>
    <t>2553;</t>
  </si>
  <si>
    <t>133696;</t>
  </si>
  <si>
    <t>110260;</t>
  </si>
  <si>
    <t>105512;</t>
  </si>
  <si>
    <t>138845;</t>
  </si>
  <si>
    <t>138844;</t>
  </si>
  <si>
    <t>114768;</t>
  </si>
  <si>
    <t>97477;</t>
  </si>
  <si>
    <t>11671;</t>
  </si>
  <si>
    <t>110810;</t>
  </si>
  <si>
    <t>77641;</t>
  </si>
  <si>
    <t>132597;</t>
  </si>
  <si>
    <t>97208;</t>
  </si>
  <si>
    <t>159002;</t>
  </si>
  <si>
    <t>156867;</t>
  </si>
  <si>
    <t>1360;</t>
  </si>
  <si>
    <t>157041;</t>
  </si>
  <si>
    <t>120175;</t>
  </si>
  <si>
    <t>14732;</t>
  </si>
  <si>
    <t>120173;</t>
  </si>
  <si>
    <t>275;</t>
  </si>
  <si>
    <t>82352;</t>
  </si>
  <si>
    <t>83917;</t>
  </si>
  <si>
    <t>3710;</t>
  </si>
  <si>
    <t>65580;</t>
  </si>
  <si>
    <t>7814;</t>
  </si>
  <si>
    <t>155718;</t>
  </si>
  <si>
    <t>110674;</t>
  </si>
  <si>
    <t>22681;</t>
  </si>
  <si>
    <t>100907;</t>
  </si>
  <si>
    <t>566;</t>
  </si>
  <si>
    <t>143835;</t>
  </si>
  <si>
    <t>136683;</t>
  </si>
  <si>
    <t>137591;</t>
  </si>
  <si>
    <t>25814;</t>
  </si>
  <si>
    <t>118955;</t>
  </si>
  <si>
    <t>128030;</t>
  </si>
  <si>
    <t>133777;</t>
  </si>
  <si>
    <t>129853;</t>
  </si>
  <si>
    <t>120;</t>
  </si>
  <si>
    <t>130152;</t>
  </si>
  <si>
    <t>101246;</t>
  </si>
  <si>
    <t>91601;</t>
  </si>
  <si>
    <t>156830;</t>
  </si>
  <si>
    <t>110681;</t>
  </si>
  <si>
    <t>65585;</t>
  </si>
  <si>
    <t>158212;</t>
  </si>
  <si>
    <t>60318;</t>
  </si>
  <si>
    <t>82521;</t>
  </si>
  <si>
    <t>96943;</t>
  </si>
  <si>
    <t>129750;</t>
  </si>
  <si>
    <t>60043;</t>
  </si>
  <si>
    <t>125900;</t>
  </si>
  <si>
    <t>159191;</t>
  </si>
  <si>
    <t>100498;</t>
  </si>
  <si>
    <t>132822;</t>
  </si>
  <si>
    <t>1999;</t>
  </si>
  <si>
    <t>47420;</t>
  </si>
  <si>
    <t>97116;</t>
  </si>
  <si>
    <t>138554;</t>
  </si>
  <si>
    <t>157623;</t>
  </si>
  <si>
    <t>42859;</t>
  </si>
  <si>
    <t>101321;</t>
  </si>
  <si>
    <t>123728;</t>
  </si>
  <si>
    <t>37944;</t>
  </si>
  <si>
    <t>67577;</t>
  </si>
  <si>
    <t>12158;</t>
  </si>
  <si>
    <t>204;</t>
  </si>
  <si>
    <t>110199;</t>
  </si>
  <si>
    <t>105355;</t>
  </si>
  <si>
    <t>100965;</t>
  </si>
  <si>
    <t>21523;</t>
  </si>
  <si>
    <t>135746;</t>
  </si>
  <si>
    <t>132595;</t>
  </si>
  <si>
    <t>134047;</t>
  </si>
  <si>
    <t>157514;</t>
  </si>
  <si>
    <t>58974;</t>
  </si>
  <si>
    <t>112289;</t>
  </si>
  <si>
    <t>17422;</t>
  </si>
  <si>
    <t>86031;</t>
  </si>
  <si>
    <t>132709;</t>
  </si>
  <si>
    <t>142311;</t>
  </si>
  <si>
    <t>85074;</t>
  </si>
  <si>
    <t>79428;</t>
  </si>
  <si>
    <t>39735;</t>
  </si>
  <si>
    <t>1449;</t>
  </si>
  <si>
    <t>131531;</t>
  </si>
  <si>
    <t>996;</t>
  </si>
  <si>
    <t>57665;</t>
  </si>
  <si>
    <t>129516;</t>
  </si>
  <si>
    <t>1966;</t>
  </si>
  <si>
    <t>2018;</t>
  </si>
  <si>
    <t>157464;</t>
  </si>
  <si>
    <t>156160;</t>
  </si>
  <si>
    <t>96046;</t>
  </si>
  <si>
    <t>136240;</t>
  </si>
  <si>
    <t>1915;</t>
  </si>
  <si>
    <t>56;</t>
  </si>
  <si>
    <t>35287;</t>
  </si>
  <si>
    <t>21591;</t>
  </si>
  <si>
    <t>142656;</t>
  </si>
  <si>
    <t>1435;</t>
  </si>
  <si>
    <t>110025;</t>
  </si>
  <si>
    <t>9723;</t>
  </si>
  <si>
    <t>96288;</t>
  </si>
  <si>
    <t>430;</t>
  </si>
  <si>
    <t>139710;</t>
  </si>
  <si>
    <t>156171;</t>
  </si>
  <si>
    <t>157708;</t>
  </si>
  <si>
    <t>86758;</t>
  </si>
  <si>
    <t>122687;</t>
  </si>
  <si>
    <t>136453;</t>
  </si>
  <si>
    <t>31494;</t>
  </si>
  <si>
    <t>157079;</t>
  </si>
  <si>
    <t>138846;</t>
  </si>
  <si>
    <t>96319;</t>
  </si>
  <si>
    <t>5300;</t>
  </si>
  <si>
    <t>142590;</t>
  </si>
  <si>
    <t>138516;</t>
  </si>
  <si>
    <t>141156;</t>
  </si>
  <si>
    <t>60744;</t>
  </si>
  <si>
    <t>132704;</t>
  </si>
  <si>
    <t>122690;</t>
  </si>
  <si>
    <t>99739;</t>
  </si>
  <si>
    <t>5081;</t>
  </si>
  <si>
    <t>111572;</t>
  </si>
  <si>
    <t>122622;</t>
  </si>
  <si>
    <t>135413;</t>
  </si>
  <si>
    <t>62220;</t>
  </si>
  <si>
    <t>136454;</t>
  </si>
  <si>
    <t>130114;</t>
  </si>
  <si>
    <t>2002;</t>
  </si>
  <si>
    <t>137618;</t>
  </si>
  <si>
    <t>97707;</t>
  </si>
  <si>
    <t>19956;</t>
  </si>
  <si>
    <t>139557;</t>
  </si>
  <si>
    <t>140671;</t>
  </si>
  <si>
    <t>128901;</t>
  </si>
  <si>
    <t>72705;</t>
  </si>
  <si>
    <t>27576;</t>
  </si>
  <si>
    <t>331;</t>
  </si>
  <si>
    <t>127509;</t>
  </si>
  <si>
    <t>38191;</t>
  </si>
  <si>
    <t>156659;</t>
  </si>
  <si>
    <t>35156;</t>
  </si>
  <si>
    <t>103106;</t>
  </si>
  <si>
    <t>11489;</t>
  </si>
  <si>
    <t>35582;</t>
  </si>
  <si>
    <t>51104;</t>
  </si>
  <si>
    <t>64024;</t>
  </si>
  <si>
    <t>96225;</t>
  </si>
  <si>
    <t>59363;</t>
  </si>
  <si>
    <t>116941;</t>
  </si>
  <si>
    <t>1158;</t>
  </si>
  <si>
    <t>112434;</t>
  </si>
  <si>
    <t>101187;</t>
  </si>
  <si>
    <t>91386;</t>
  </si>
  <si>
    <t>105010;</t>
  </si>
  <si>
    <t>100826;</t>
  </si>
  <si>
    <t>114346;</t>
  </si>
  <si>
    <t>131595;</t>
  </si>
  <si>
    <t>8328;</t>
  </si>
  <si>
    <t>104727;</t>
  </si>
  <si>
    <t>144252;</t>
  </si>
  <si>
    <t>110682;</t>
  </si>
  <si>
    <t>9555;</t>
  </si>
  <si>
    <t>439;</t>
  </si>
  <si>
    <t>111;</t>
  </si>
  <si>
    <t>388;</t>
  </si>
  <si>
    <t>428;</t>
  </si>
  <si>
    <t>574;</t>
  </si>
  <si>
    <t>107042;</t>
  </si>
  <si>
    <t>126332;</t>
  </si>
  <si>
    <t>2160;</t>
  </si>
  <si>
    <t>1413;</t>
  </si>
  <si>
    <t>71771;</t>
  </si>
  <si>
    <t>42861;</t>
  </si>
  <si>
    <t>31457;</t>
  </si>
  <si>
    <t>136580;</t>
  </si>
  <si>
    <t>129852;</t>
  </si>
  <si>
    <t>138922;</t>
  </si>
  <si>
    <t>118440;</t>
  </si>
  <si>
    <t>54;</t>
  </si>
  <si>
    <t>46;</t>
  </si>
  <si>
    <t>111865;</t>
  </si>
  <si>
    <t>84640;</t>
  </si>
  <si>
    <t>73228;</t>
  </si>
  <si>
    <t>157509;</t>
  </si>
  <si>
    <t>104554;</t>
  </si>
  <si>
    <t>110678;</t>
  </si>
  <si>
    <t>157880;</t>
  </si>
  <si>
    <t>124942;</t>
  </si>
  <si>
    <t>105079;</t>
  </si>
  <si>
    <t>110675;</t>
  </si>
  <si>
    <t>110484;</t>
  </si>
  <si>
    <t>100769;</t>
  </si>
  <si>
    <t>125002;</t>
  </si>
  <si>
    <t>126216;</t>
  </si>
  <si>
    <t>72893;</t>
  </si>
  <si>
    <t>132475;</t>
  </si>
  <si>
    <t>8780;</t>
  </si>
  <si>
    <t>137719;</t>
  </si>
  <si>
    <t>130583;</t>
  </si>
  <si>
    <t>47;</t>
  </si>
  <si>
    <t>49659;</t>
  </si>
  <si>
    <t>103115;</t>
  </si>
  <si>
    <t>32014;</t>
  </si>
  <si>
    <t>57068;</t>
  </si>
  <si>
    <t>83395;</t>
  </si>
  <si>
    <t>108195;</t>
  </si>
  <si>
    <t>59392;</t>
  </si>
  <si>
    <t>136457;</t>
  </si>
  <si>
    <t>96;</t>
  </si>
  <si>
    <t>135574;</t>
  </si>
  <si>
    <t>124757;</t>
  </si>
  <si>
    <t>136451;</t>
  </si>
  <si>
    <t>131626;</t>
  </si>
  <si>
    <t>113472;</t>
  </si>
  <si>
    <t>131401;</t>
  </si>
  <si>
    <t>125446;</t>
  </si>
  <si>
    <t>126041;</t>
  </si>
  <si>
    <t>110676;</t>
  </si>
  <si>
    <t>125445;</t>
  </si>
  <si>
    <t>15450;</t>
  </si>
  <si>
    <t>112656;</t>
  </si>
  <si>
    <t>1454;</t>
  </si>
  <si>
    <t>96363;</t>
  </si>
  <si>
    <t>62297;</t>
  </si>
  <si>
    <t>77;</t>
  </si>
  <si>
    <t>105374;</t>
  </si>
  <si>
    <t>521;</t>
  </si>
  <si>
    <t>22398;</t>
  </si>
  <si>
    <t>8319;</t>
  </si>
  <si>
    <t>18504;</t>
  </si>
  <si>
    <t>111480;</t>
  </si>
  <si>
    <t>138919;</t>
  </si>
  <si>
    <t>80941;</t>
  </si>
  <si>
    <t>78462;</t>
  </si>
  <si>
    <t>107057;</t>
  </si>
  <si>
    <t>111375;</t>
  </si>
  <si>
    <t>9386;</t>
  </si>
  <si>
    <t>67072;</t>
  </si>
  <si>
    <t>157720;</t>
  </si>
  <si>
    <t>49168;</t>
  </si>
  <si>
    <t>159278;</t>
  </si>
  <si>
    <t>138667;</t>
  </si>
  <si>
    <t>156335;</t>
  </si>
  <si>
    <t>99783;</t>
  </si>
  <si>
    <t>105033;</t>
  </si>
  <si>
    <t>132596;</t>
  </si>
  <si>
    <t>158217;</t>
  </si>
  <si>
    <t>35117;</t>
  </si>
  <si>
    <t>118301;</t>
  </si>
  <si>
    <t>132722;</t>
  </si>
  <si>
    <t>113456;</t>
  </si>
  <si>
    <t>132703;</t>
  </si>
  <si>
    <t>92160;</t>
  </si>
  <si>
    <t>101324;</t>
  </si>
  <si>
    <t>139716;</t>
  </si>
  <si>
    <t>115226;</t>
  </si>
  <si>
    <t>131494;</t>
  </si>
  <si>
    <t>107963;</t>
  </si>
  <si>
    <t>157618;</t>
  </si>
  <si>
    <t>12007;</t>
  </si>
  <si>
    <t>116955;</t>
  </si>
  <si>
    <t>158172;</t>
  </si>
  <si>
    <t>118437;</t>
  </si>
  <si>
    <t>113437;</t>
  </si>
  <si>
    <t>98212;</t>
  </si>
  <si>
    <t>18396;</t>
  </si>
  <si>
    <t>23533;</t>
  </si>
  <si>
    <t>157507;</t>
  </si>
  <si>
    <t>23505;</t>
  </si>
  <si>
    <t>9384;</t>
  </si>
  <si>
    <t>8541;</t>
  </si>
  <si>
    <t>109245;</t>
  </si>
  <si>
    <t>9718;</t>
  </si>
  <si>
    <t>9803;</t>
  </si>
  <si>
    <t>64559;</t>
  </si>
  <si>
    <t>4412;</t>
  </si>
  <si>
    <t>156306;</t>
  </si>
  <si>
    <t>157248;</t>
  </si>
  <si>
    <t>112421;</t>
  </si>
  <si>
    <t>74060;</t>
  </si>
  <si>
    <t>124557;</t>
  </si>
  <si>
    <t>114263;</t>
  </si>
  <si>
    <t>120174;</t>
  </si>
  <si>
    <t>20674;</t>
  </si>
  <si>
    <t>8592;</t>
  </si>
  <si>
    <t>100732;</t>
  </si>
  <si>
    <t>74241;</t>
  </si>
  <si>
    <t>2191;</t>
  </si>
  <si>
    <t>9733;</t>
  </si>
  <si>
    <t>117036;</t>
  </si>
  <si>
    <t>54930;</t>
  </si>
  <si>
    <t>90436;</t>
  </si>
  <si>
    <t>80750;</t>
  </si>
  <si>
    <t>60044;</t>
  </si>
  <si>
    <t>100751;</t>
  </si>
  <si>
    <t>108226;</t>
  </si>
  <si>
    <t>123719;</t>
  </si>
  <si>
    <t>1172;</t>
  </si>
  <si>
    <t>118894;</t>
  </si>
  <si>
    <t>156697;</t>
  </si>
  <si>
    <t>114325;</t>
  </si>
  <si>
    <t>73964;</t>
  </si>
  <si>
    <t>138405;</t>
  </si>
  <si>
    <t>124994;</t>
  </si>
  <si>
    <t>113615;</t>
  </si>
  <si>
    <t>105219;</t>
  </si>
  <si>
    <t>611;</t>
  </si>
  <si>
    <t>31505;</t>
  </si>
  <si>
    <t>156825;</t>
  </si>
  <si>
    <t>73967;</t>
  </si>
  <si>
    <t>39621;</t>
  </si>
  <si>
    <t>63423;</t>
  </si>
  <si>
    <t>15934;</t>
  </si>
  <si>
    <t>156759;</t>
  </si>
  <si>
    <t>130169;</t>
  </si>
  <si>
    <t>129751;</t>
  </si>
  <si>
    <t>121302;</t>
  </si>
  <si>
    <t>107816;</t>
  </si>
  <si>
    <t>113622;</t>
  </si>
  <si>
    <t>33336;</t>
  </si>
  <si>
    <t>90149;</t>
  </si>
  <si>
    <t>142655;</t>
  </si>
  <si>
    <t>110816;</t>
  </si>
  <si>
    <t>116628;</t>
  </si>
  <si>
    <t>62856;</t>
  </si>
  <si>
    <t>79;</t>
  </si>
  <si>
    <t>130172;</t>
  </si>
  <si>
    <t>155883;</t>
  </si>
  <si>
    <t>288;</t>
  </si>
  <si>
    <t>130151;</t>
  </si>
  <si>
    <t>130173;</t>
  </si>
  <si>
    <t>130120;</t>
  </si>
  <si>
    <t>35137;</t>
  </si>
  <si>
    <t>110086;</t>
  </si>
  <si>
    <t>128266;</t>
  </si>
  <si>
    <t>108449;</t>
  </si>
  <si>
    <t>143134;</t>
  </si>
  <si>
    <t>278;</t>
  </si>
  <si>
    <t>127255;</t>
  </si>
  <si>
    <t>141155;</t>
  </si>
  <si>
    <t>59417;</t>
  </si>
  <si>
    <t>97130;</t>
  </si>
  <si>
    <t>132599;</t>
  </si>
  <si>
    <t>100651;</t>
  </si>
  <si>
    <t>114101;</t>
  </si>
  <si>
    <t>107025;</t>
  </si>
  <si>
    <t>89551;</t>
  </si>
  <si>
    <t>113471;</t>
  </si>
  <si>
    <t>1406;</t>
  </si>
  <si>
    <t>100382;</t>
  </si>
  <si>
    <t>1381;</t>
  </si>
  <si>
    <t>100217;</t>
  </si>
  <si>
    <t>14485;</t>
  </si>
  <si>
    <t>132699;</t>
  </si>
  <si>
    <t>13542;</t>
  </si>
  <si>
    <t>84017;</t>
  </si>
  <si>
    <t>124932;</t>
  </si>
  <si>
    <t>110872;</t>
  </si>
  <si>
    <t>49200;</t>
  </si>
  <si>
    <t>58621;</t>
  </si>
  <si>
    <t>116844;</t>
  </si>
  <si>
    <t>82458;</t>
  </si>
  <si>
    <t>133874;</t>
  </si>
  <si>
    <t>7348;</t>
  </si>
  <si>
    <t>101441;</t>
  </si>
  <si>
    <t>7770;</t>
  </si>
  <si>
    <t>35274;</t>
  </si>
  <si>
    <t>117922;</t>
  </si>
  <si>
    <t>138759;</t>
  </si>
  <si>
    <t>35104;</t>
  </si>
  <si>
    <t>2698;</t>
  </si>
  <si>
    <t>138368;</t>
  </si>
  <si>
    <t>107899;</t>
  </si>
  <si>
    <t>472;</t>
  </si>
  <si>
    <t>83629;</t>
  </si>
  <si>
    <t>3693;</t>
  </si>
  <si>
    <t>47353;</t>
  </si>
  <si>
    <t>158218;</t>
  </si>
  <si>
    <t>124146;</t>
  </si>
  <si>
    <t>116908;</t>
  </si>
  <si>
    <t>132700;</t>
  </si>
  <si>
    <t>131489;</t>
  </si>
  <si>
    <t>127783;</t>
  </si>
  <si>
    <t>1839;</t>
  </si>
  <si>
    <t>132594;</t>
  </si>
  <si>
    <t>142671;</t>
  </si>
  <si>
    <t>132590;</t>
  </si>
  <si>
    <t>58569;</t>
  </si>
  <si>
    <t>121693;</t>
  </si>
  <si>
    <t>7634;</t>
  </si>
  <si>
    <t>119962;</t>
  </si>
  <si>
    <t>861;</t>
  </si>
  <si>
    <t>601;</t>
  </si>
  <si>
    <t>Item</t>
  </si>
  <si>
    <t>Carrier Service</t>
  </si>
  <si>
    <t>From Location</t>
  </si>
  <si>
    <t>Quantity Processed</t>
  </si>
  <si>
    <t>Count</t>
  </si>
  <si>
    <t>WGH-06</t>
  </si>
  <si>
    <t>30-124-A2</t>
  </si>
  <si>
    <t>LABO-01</t>
  </si>
  <si>
    <t>51-214-A1</t>
  </si>
  <si>
    <t>WHH-02</t>
  </si>
  <si>
    <t>43-233-A2</t>
  </si>
  <si>
    <t>SPH-07</t>
  </si>
  <si>
    <t>48-112-A1</t>
  </si>
  <si>
    <t>WGH-07</t>
  </si>
  <si>
    <t>54-137-C2</t>
  </si>
  <si>
    <t>CB2-08</t>
  </si>
  <si>
    <t>47-242-C2</t>
  </si>
  <si>
    <t>12-115-A2</t>
  </si>
  <si>
    <t>PDH-04</t>
  </si>
  <si>
    <t>90-D4-03</t>
  </si>
  <si>
    <t>PDH-07</t>
  </si>
  <si>
    <t>46-124-A8</t>
  </si>
  <si>
    <t>50-140-A2</t>
  </si>
  <si>
    <t>44-118-A2</t>
  </si>
  <si>
    <t>ECHP-01</t>
  </si>
  <si>
    <t>50-127-C1</t>
  </si>
  <si>
    <t>PDH-02</t>
  </si>
  <si>
    <t>50-156-B2</t>
  </si>
  <si>
    <t>WHH-01</t>
  </si>
  <si>
    <t>43-229-D1</t>
  </si>
  <si>
    <t>KH3-13</t>
  </si>
  <si>
    <t>41-260-A2</t>
  </si>
  <si>
    <t>PDH-01</t>
  </si>
  <si>
    <t>42-127-A2</t>
  </si>
  <si>
    <t>47-239-A1</t>
  </si>
  <si>
    <t>44-149-C2</t>
  </si>
  <si>
    <t>43-235-A2</t>
  </si>
  <si>
    <t>KH3-19</t>
  </si>
  <si>
    <t>52-151-A1</t>
  </si>
  <si>
    <t>PDH-08</t>
  </si>
  <si>
    <t>46-157-A8</t>
  </si>
  <si>
    <t>KH1-03</t>
  </si>
  <si>
    <t>46-139-A6</t>
  </si>
  <si>
    <t>KH3-11</t>
  </si>
  <si>
    <t>44-126-A1</t>
  </si>
  <si>
    <t>46-115-B1</t>
  </si>
  <si>
    <t>48-118-A1</t>
  </si>
  <si>
    <t>KH1-11</t>
  </si>
  <si>
    <t>49-259-A1</t>
  </si>
  <si>
    <t>50-156-A1</t>
  </si>
  <si>
    <t>41-250-A1</t>
  </si>
  <si>
    <t>NFH-08</t>
  </si>
  <si>
    <t>46-156-A1</t>
  </si>
  <si>
    <t>NFH-04</t>
  </si>
  <si>
    <t>42-139-C2</t>
  </si>
  <si>
    <t>KH2-16</t>
  </si>
  <si>
    <t>46-118-A10</t>
  </si>
  <si>
    <t>46-110-A4</t>
  </si>
  <si>
    <t>OPNH-02</t>
  </si>
  <si>
    <t>29-237-D3</t>
  </si>
  <si>
    <t>29-123-A2</t>
  </si>
  <si>
    <t>VIHP-01</t>
  </si>
  <si>
    <t>46-109-A2</t>
  </si>
  <si>
    <t>52-152-B2</t>
  </si>
  <si>
    <t>48-134-A2</t>
  </si>
  <si>
    <t>52-139-A1</t>
  </si>
  <si>
    <t>44-150-A2</t>
  </si>
  <si>
    <t>60-210-C2</t>
  </si>
  <si>
    <t>44-145-A1</t>
  </si>
  <si>
    <t>29-111-A1</t>
  </si>
  <si>
    <t>29-131-B3</t>
  </si>
  <si>
    <t>48-117-C1</t>
  </si>
  <si>
    <t>KH2-06</t>
  </si>
  <si>
    <t>48-134-A1</t>
  </si>
  <si>
    <t>KH2-14</t>
  </si>
  <si>
    <t>45-214-A1</t>
  </si>
  <si>
    <t>43-214-A1</t>
  </si>
  <si>
    <t>KH1-12</t>
  </si>
  <si>
    <t>48-144-D1</t>
  </si>
  <si>
    <t>WHH-03</t>
  </si>
  <si>
    <t>44-143-A2</t>
  </si>
  <si>
    <t>52-124-A1</t>
  </si>
  <si>
    <t>44-140-A1</t>
  </si>
  <si>
    <t>12-117-A2</t>
  </si>
  <si>
    <t>12-114-C6</t>
  </si>
  <si>
    <t>12-118-D3</t>
  </si>
  <si>
    <t>29-230-B1</t>
  </si>
  <si>
    <t>60-211-A1</t>
  </si>
  <si>
    <t>43-248-C2</t>
  </si>
  <si>
    <t>KHED-01</t>
  </si>
  <si>
    <t>50-143-A2</t>
  </si>
  <si>
    <t>44-145-A2</t>
  </si>
  <si>
    <t>45-239-A1</t>
  </si>
  <si>
    <t>51-258-A2</t>
  </si>
  <si>
    <t>41-263-D2</t>
  </si>
  <si>
    <t>46-159-A8</t>
  </si>
  <si>
    <t>12-114-C7</t>
  </si>
  <si>
    <t>43-219-A1</t>
  </si>
  <si>
    <t>60-211-A2</t>
  </si>
  <si>
    <t>60-205-A1</t>
  </si>
  <si>
    <t>60-205-B1</t>
  </si>
  <si>
    <t>DGH-07</t>
  </si>
  <si>
    <t>60-205-C1</t>
  </si>
  <si>
    <t>60-206-A1</t>
  </si>
  <si>
    <t>60-206-B1</t>
  </si>
  <si>
    <t>60-206-C1</t>
  </si>
  <si>
    <t>60-207-A1</t>
  </si>
  <si>
    <t>60-211-B1</t>
  </si>
  <si>
    <t>49-214-A1</t>
  </si>
  <si>
    <t>01C-GOLD-AM-60</t>
  </si>
  <si>
    <t>29-103-B3</t>
  </si>
  <si>
    <t>29-111-B2</t>
  </si>
  <si>
    <t>48-157-A1</t>
  </si>
  <si>
    <t>60-211-B2</t>
  </si>
  <si>
    <t>51-251-C1</t>
  </si>
  <si>
    <t>48-151-D2</t>
  </si>
  <si>
    <t>47-221-A2</t>
  </si>
  <si>
    <t>41-216-A2</t>
  </si>
  <si>
    <t>29-223-C3</t>
  </si>
  <si>
    <t>46-120-A10</t>
  </si>
  <si>
    <t>48-161-C2</t>
  </si>
  <si>
    <t>DGH-08</t>
  </si>
  <si>
    <t>44-109-A1</t>
  </si>
  <si>
    <t>51-249-A2</t>
  </si>
  <si>
    <t>43-215-A1</t>
  </si>
  <si>
    <t>KH3-05</t>
  </si>
  <si>
    <t>45-255-A2</t>
  </si>
  <si>
    <t>60-211-C1</t>
  </si>
  <si>
    <t>41-253-D1</t>
  </si>
  <si>
    <t>50-126-A1</t>
  </si>
  <si>
    <t>46-161-A11</t>
  </si>
  <si>
    <t>46-112-A10</t>
  </si>
  <si>
    <t>41-249-A1</t>
  </si>
  <si>
    <t>53-250-A2</t>
  </si>
  <si>
    <t>44-129-A2</t>
  </si>
  <si>
    <t>44-148-A1</t>
  </si>
  <si>
    <t>CB2-06</t>
  </si>
  <si>
    <t>41-252-C1</t>
  </si>
  <si>
    <t>50-160-B1</t>
  </si>
  <si>
    <t>41-226-A1</t>
  </si>
  <si>
    <t>49-242-A2</t>
  </si>
  <si>
    <t>49-234-C2</t>
  </si>
  <si>
    <t>41-255-A1</t>
  </si>
  <si>
    <t>SPH-05</t>
  </si>
  <si>
    <t>90-F4-02</t>
  </si>
  <si>
    <t>44-161-B2</t>
  </si>
  <si>
    <t>53-208-A8</t>
  </si>
  <si>
    <t>47-211-B2</t>
  </si>
  <si>
    <t>52-115-A1</t>
  </si>
  <si>
    <t>60-214-D3</t>
  </si>
  <si>
    <t>52-143-C1</t>
  </si>
  <si>
    <t>KH3-12</t>
  </si>
  <si>
    <t>41-224-A2</t>
  </si>
  <si>
    <t>46-120-A3</t>
  </si>
  <si>
    <t>SPH-04</t>
  </si>
  <si>
    <t>52-155-A2</t>
  </si>
  <si>
    <t>42-157-A1</t>
  </si>
  <si>
    <t>45-261-A2</t>
  </si>
  <si>
    <t>43-234-A2</t>
  </si>
  <si>
    <t>CB1-04</t>
  </si>
  <si>
    <t>45-234-B1</t>
  </si>
  <si>
    <t>CB2-13</t>
  </si>
  <si>
    <t>46-114-A1</t>
  </si>
  <si>
    <t>46-126-B1</t>
  </si>
  <si>
    <t>51-251-B1</t>
  </si>
  <si>
    <t>29-108-A4</t>
  </si>
  <si>
    <t>41-251-A1</t>
  </si>
  <si>
    <t>41-228-A1</t>
  </si>
  <si>
    <t>43-226-A1</t>
  </si>
  <si>
    <t>48-133-A1</t>
  </si>
  <si>
    <t>29-109-A1</t>
  </si>
  <si>
    <t>41-229-A1</t>
  </si>
  <si>
    <t>01F-PURPLE-25</t>
  </si>
  <si>
    <t>50-162-C2</t>
  </si>
  <si>
    <t>43-223-A2</t>
  </si>
  <si>
    <t>NFH-06</t>
  </si>
  <si>
    <t>46-153-A7</t>
  </si>
  <si>
    <t>01E-PINK-04</t>
  </si>
  <si>
    <t>29-238-A2</t>
  </si>
  <si>
    <t>40-134-C2</t>
  </si>
  <si>
    <t>46-111-A11</t>
  </si>
  <si>
    <t>43-244-A2</t>
  </si>
  <si>
    <t>KH1-01</t>
  </si>
  <si>
    <t>40-130-C2</t>
  </si>
  <si>
    <t>PDH-09</t>
  </si>
  <si>
    <t>60-214-C4</t>
  </si>
  <si>
    <t>52-149-A2</t>
  </si>
  <si>
    <t>PDH-06</t>
  </si>
  <si>
    <t>29-133-B1</t>
  </si>
  <si>
    <t>KH2-04</t>
  </si>
  <si>
    <t>41-253-A2</t>
  </si>
  <si>
    <t>CB2-10</t>
  </si>
  <si>
    <t>29-121-B1</t>
  </si>
  <si>
    <t>45-245-A2</t>
  </si>
  <si>
    <t>47-248-A2</t>
  </si>
  <si>
    <t>WGH-03</t>
  </si>
  <si>
    <t>12-110-E5</t>
  </si>
  <si>
    <t>44-117-A2</t>
  </si>
  <si>
    <t>PDH-03</t>
  </si>
  <si>
    <t>50-148-B1</t>
  </si>
  <si>
    <t>44-135-A1</t>
  </si>
  <si>
    <t>52-139-A2</t>
  </si>
  <si>
    <t>46-113-A6</t>
  </si>
  <si>
    <t>44-154-A2</t>
  </si>
  <si>
    <t>DGH-06</t>
  </si>
  <si>
    <t>44-113-A1</t>
  </si>
  <si>
    <t>KH1-06</t>
  </si>
  <si>
    <t>90-D1-03</t>
  </si>
  <si>
    <t>43-257-A1</t>
  </si>
  <si>
    <t>47-263-A2</t>
  </si>
  <si>
    <t>45-253-C2</t>
  </si>
  <si>
    <t>45-212-A1</t>
  </si>
  <si>
    <t>12-110-C5</t>
  </si>
  <si>
    <t>42-154-C2</t>
  </si>
  <si>
    <t>46-159-B2</t>
  </si>
  <si>
    <t>51-228-A2</t>
  </si>
  <si>
    <t>KH2-10</t>
  </si>
  <si>
    <t>50-147-D1</t>
  </si>
  <si>
    <t>46-129-A11</t>
  </si>
  <si>
    <t>12-114-E8</t>
  </si>
  <si>
    <t>46-130-A12</t>
  </si>
  <si>
    <t>54-121-D2</t>
  </si>
  <si>
    <t>41-233-A1</t>
  </si>
  <si>
    <t>51-256-A2</t>
  </si>
  <si>
    <t>47-243-A1</t>
  </si>
  <si>
    <t>41-233-A2</t>
  </si>
  <si>
    <t>44-162-A1</t>
  </si>
  <si>
    <t>41-234-A1</t>
  </si>
  <si>
    <t>41-257-A2</t>
  </si>
  <si>
    <t>46-122-A3</t>
  </si>
  <si>
    <t>41-259-A1</t>
  </si>
  <si>
    <t>48-109-A4</t>
  </si>
  <si>
    <t>KH2-09</t>
  </si>
  <si>
    <t>29-219-C4</t>
  </si>
  <si>
    <t>42-147-A2</t>
  </si>
  <si>
    <t>46-162-A1</t>
  </si>
  <si>
    <t>53-219-A2</t>
  </si>
  <si>
    <t>45-251-A2</t>
  </si>
  <si>
    <t>46-126-A1</t>
  </si>
  <si>
    <t>53-257-B1</t>
  </si>
  <si>
    <t>01G-RED-40</t>
  </si>
  <si>
    <t>29-247-C1</t>
  </si>
  <si>
    <t>43-208-A10</t>
  </si>
  <si>
    <t>46-123-A4</t>
  </si>
  <si>
    <t>41-259-A2</t>
  </si>
  <si>
    <t>47-215-C1</t>
  </si>
  <si>
    <t>52-147-A1</t>
  </si>
  <si>
    <t>41-260-A1</t>
  </si>
  <si>
    <t>70-118-A1</t>
  </si>
  <si>
    <t>45-248-A1</t>
  </si>
  <si>
    <t>44-145-C1</t>
  </si>
  <si>
    <t>51-231-B2</t>
  </si>
  <si>
    <t>51-218-A2</t>
  </si>
  <si>
    <t>51-212-A2</t>
  </si>
  <si>
    <t>42-158-A2</t>
  </si>
  <si>
    <t>CB2-03</t>
  </si>
  <si>
    <t>29-215-B1</t>
  </si>
  <si>
    <t>53-246-A2</t>
  </si>
  <si>
    <t>12-115-E2</t>
  </si>
  <si>
    <t>51-230-A2</t>
  </si>
  <si>
    <t>41-261-A1</t>
  </si>
  <si>
    <t>52-140-A1</t>
  </si>
  <si>
    <t>42-136-C2</t>
  </si>
  <si>
    <t>47-228-A2</t>
  </si>
  <si>
    <t>45-208-A12</t>
  </si>
  <si>
    <t>51-249-B2</t>
  </si>
  <si>
    <t>53-238-A1</t>
  </si>
  <si>
    <t>53-220-A2</t>
  </si>
  <si>
    <t>42-140-A1</t>
  </si>
  <si>
    <t>45-242-A1</t>
  </si>
  <si>
    <t>42-140-A2</t>
  </si>
  <si>
    <t>52-155-A1</t>
  </si>
  <si>
    <t>29-135-B3</t>
  </si>
  <si>
    <t>52-129-A2</t>
  </si>
  <si>
    <t>29-151-B3</t>
  </si>
  <si>
    <t>44-162-A2</t>
  </si>
  <si>
    <t>01C-GOLD-AM-40</t>
  </si>
  <si>
    <t>50-121-C2</t>
  </si>
  <si>
    <t>KH3-01</t>
  </si>
  <si>
    <t>29-217-B4</t>
  </si>
  <si>
    <t>29-110-C3</t>
  </si>
  <si>
    <t>41-263-A2</t>
  </si>
  <si>
    <t>46-132-D1</t>
  </si>
  <si>
    <t>42-141-A1</t>
  </si>
  <si>
    <t>90-F6-03</t>
  </si>
  <si>
    <t>44-115-B2</t>
  </si>
  <si>
    <t>29-225-B1</t>
  </si>
  <si>
    <t>29-107-C1</t>
  </si>
  <si>
    <t>CB1-01</t>
  </si>
  <si>
    <t>29-230-A2</t>
  </si>
  <si>
    <t>46-143-A13</t>
  </si>
  <si>
    <t>29-232-B2</t>
  </si>
  <si>
    <t>52-142-A2</t>
  </si>
  <si>
    <t>52-114-A1</t>
  </si>
  <si>
    <t>42-148-C1</t>
  </si>
  <si>
    <t>43-217-A2</t>
  </si>
  <si>
    <t>29-242-A2</t>
  </si>
  <si>
    <t>29-107-B1</t>
  </si>
  <si>
    <t>51-235-A1</t>
  </si>
  <si>
    <t>42-154-A2</t>
  </si>
  <si>
    <t>42-162-A1</t>
  </si>
  <si>
    <t>43-218-A2</t>
  </si>
  <si>
    <t>01E-PINK-95</t>
  </si>
  <si>
    <t>51-247-D2</t>
  </si>
  <si>
    <t>41-214-A2</t>
  </si>
  <si>
    <t>41-234-A2</t>
  </si>
  <si>
    <t>CB1-10</t>
  </si>
  <si>
    <t>50-109-C2</t>
  </si>
  <si>
    <t>41-245-A1</t>
  </si>
  <si>
    <t>51-229-A1</t>
  </si>
  <si>
    <t>52-115-A2</t>
  </si>
  <si>
    <t>48-138-A1</t>
  </si>
  <si>
    <t>PDH-05</t>
  </si>
  <si>
    <t>53-208-C2</t>
  </si>
  <si>
    <t>47-247-A2</t>
  </si>
  <si>
    <t>29-231-D1</t>
  </si>
  <si>
    <t>DGH-01</t>
  </si>
  <si>
    <t>29-245-B3</t>
  </si>
  <si>
    <t>42-111-A1</t>
  </si>
  <si>
    <t>42-132-C2</t>
  </si>
  <si>
    <t>42-112-A1</t>
  </si>
  <si>
    <t>29-227-D2</t>
  </si>
  <si>
    <t>42-163-A1</t>
  </si>
  <si>
    <t>42-142-A2</t>
  </si>
  <si>
    <t>48-145-C2</t>
  </si>
  <si>
    <t>46-129-A3</t>
  </si>
  <si>
    <t>41-239-A2</t>
  </si>
  <si>
    <t>42-112-A2</t>
  </si>
  <si>
    <t>47-245-A1</t>
  </si>
  <si>
    <t>45-216-C2</t>
  </si>
  <si>
    <t>42-144-A1</t>
  </si>
  <si>
    <t>KH3-10</t>
  </si>
  <si>
    <t>47-262-A2</t>
  </si>
  <si>
    <t>51-250-A2</t>
  </si>
  <si>
    <t>52-123-A2</t>
  </si>
  <si>
    <t>46-128-A11</t>
  </si>
  <si>
    <t>51-212-A1</t>
  </si>
  <si>
    <t>52-124-B1</t>
  </si>
  <si>
    <t>51-252-A2</t>
  </si>
  <si>
    <t>42-146-A1</t>
  </si>
  <si>
    <t>51-251-A2</t>
  </si>
  <si>
    <t>52-148-A1</t>
  </si>
  <si>
    <t>42-143-A1</t>
  </si>
  <si>
    <t>48-115-C1</t>
  </si>
  <si>
    <t>52-151-A2</t>
  </si>
  <si>
    <t>52-158-A2</t>
  </si>
  <si>
    <t>50-148-C1</t>
  </si>
  <si>
    <t>41-211-A2</t>
  </si>
  <si>
    <t>43-221-A1</t>
  </si>
  <si>
    <t>51-241-A2</t>
  </si>
  <si>
    <t>51-262-A2</t>
  </si>
  <si>
    <t>47-238-A2</t>
  </si>
  <si>
    <t>48-151-B1</t>
  </si>
  <si>
    <t>42-146-A2</t>
  </si>
  <si>
    <t>DGH-05</t>
  </si>
  <si>
    <t>43-258-A1</t>
  </si>
  <si>
    <t>01G-RED-110</t>
  </si>
  <si>
    <t>48-131-A1</t>
  </si>
  <si>
    <t>41-257-D2</t>
  </si>
  <si>
    <t>43-248-A2</t>
  </si>
  <si>
    <t>51-249-A1</t>
  </si>
  <si>
    <t>47-248-D1</t>
  </si>
  <si>
    <t>47-260-A1</t>
  </si>
  <si>
    <t>41-215-A1</t>
  </si>
  <si>
    <t>42-147-A1</t>
  </si>
  <si>
    <t>44-151-A2</t>
  </si>
  <si>
    <t>52-109-A16</t>
  </si>
  <si>
    <t>53-262-A2</t>
  </si>
  <si>
    <t>48-120-A1</t>
  </si>
  <si>
    <t>42-126-B2</t>
  </si>
  <si>
    <t>44-127-A1</t>
  </si>
  <si>
    <t>42-124-D1</t>
  </si>
  <si>
    <t>44-152-A2</t>
  </si>
  <si>
    <t>12-116-D5</t>
  </si>
  <si>
    <t>29-105-C3</t>
  </si>
  <si>
    <t>46-135-A12</t>
  </si>
  <si>
    <t>45-208-A8</t>
  </si>
  <si>
    <t>46-119-A9</t>
  </si>
  <si>
    <t>54-141-C1</t>
  </si>
  <si>
    <t>29-227-D1</t>
  </si>
  <si>
    <t>29-137-B1</t>
  </si>
  <si>
    <t>43-258-A2</t>
  </si>
  <si>
    <t>SPH-08</t>
  </si>
  <si>
    <t>51-257-A1</t>
  </si>
  <si>
    <t>43-259-A1</t>
  </si>
  <si>
    <t>KH2-08</t>
  </si>
  <si>
    <t>53-244-A1</t>
  </si>
  <si>
    <t>41-236-D1</t>
  </si>
  <si>
    <t>29-235-C3</t>
  </si>
  <si>
    <t>41-228-C2</t>
  </si>
  <si>
    <t>43-234-C2</t>
  </si>
  <si>
    <t>44-157-C1</t>
  </si>
  <si>
    <t>45-263-A1</t>
  </si>
  <si>
    <t>DGH-09</t>
  </si>
  <si>
    <t>49-214-C2</t>
  </si>
  <si>
    <t>42-149-A2</t>
  </si>
  <si>
    <t>43-211-A1</t>
  </si>
  <si>
    <t>44-114-D2</t>
  </si>
  <si>
    <t>45-255-B1</t>
  </si>
  <si>
    <t>41-226-A2</t>
  </si>
  <si>
    <t>51-226-A1</t>
  </si>
  <si>
    <t>50-134-A2</t>
  </si>
  <si>
    <t>46-134-A5</t>
  </si>
  <si>
    <t>29-239-A1</t>
  </si>
  <si>
    <t>29-099-A5</t>
  </si>
  <si>
    <t>46-131-A3</t>
  </si>
  <si>
    <t>46-121-A2</t>
  </si>
  <si>
    <t>46-133-A2</t>
  </si>
  <si>
    <t>51-234-A2</t>
  </si>
  <si>
    <t>42-150-A2</t>
  </si>
  <si>
    <t>KH3-04</t>
  </si>
  <si>
    <t>46-118-A1</t>
  </si>
  <si>
    <t>29-235-D1</t>
  </si>
  <si>
    <t>44-133-C1</t>
  </si>
  <si>
    <t>43-260-A2</t>
  </si>
  <si>
    <t>46-114-A2</t>
  </si>
  <si>
    <t>54-163-B1</t>
  </si>
  <si>
    <t>29-221-D3</t>
  </si>
  <si>
    <t>12-116-D3</t>
  </si>
  <si>
    <t>52-119-A1</t>
  </si>
  <si>
    <t>12-117-E1</t>
  </si>
  <si>
    <t>42-151-A2</t>
  </si>
  <si>
    <t>29-236-C1</t>
  </si>
  <si>
    <t>51-261-B1</t>
  </si>
  <si>
    <t>42-121-A1</t>
  </si>
  <si>
    <t>47-241-A2</t>
  </si>
  <si>
    <t>44-114-A1</t>
  </si>
  <si>
    <t>41-241-C1</t>
  </si>
  <si>
    <t>29-247-D4</t>
  </si>
  <si>
    <t>52-111-C1</t>
  </si>
  <si>
    <t>52-116-A1</t>
  </si>
  <si>
    <t>29-121-B2</t>
  </si>
  <si>
    <t>KH1-09</t>
  </si>
  <si>
    <t>29-127-A1</t>
  </si>
  <si>
    <t>53-252-B2</t>
  </si>
  <si>
    <t>41-218-B1</t>
  </si>
  <si>
    <t>48-136-C3</t>
  </si>
  <si>
    <t>43-211-A2</t>
  </si>
  <si>
    <t>29-111-B3</t>
  </si>
  <si>
    <t>45-240-A1</t>
  </si>
  <si>
    <t>41-208-A9</t>
  </si>
  <si>
    <t>51-261-A1</t>
  </si>
  <si>
    <t>46-119-D2</t>
  </si>
  <si>
    <t>46-125-A1</t>
  </si>
  <si>
    <t>51-246-B2</t>
  </si>
  <si>
    <t>29-155-B1</t>
  </si>
  <si>
    <t>46-126-A7</t>
  </si>
  <si>
    <t>52-161-C1</t>
  </si>
  <si>
    <t>45-249-C2</t>
  </si>
  <si>
    <t>42-114-A1</t>
  </si>
  <si>
    <t>50-152-A2</t>
  </si>
  <si>
    <t>45-244-A1</t>
  </si>
  <si>
    <t>50-116-A1</t>
  </si>
  <si>
    <t>50-150-A1</t>
  </si>
  <si>
    <t>53-210-B2</t>
  </si>
  <si>
    <t>50-144-A2</t>
  </si>
  <si>
    <t>29-108-B4</t>
  </si>
  <si>
    <t>46-156-C1</t>
  </si>
  <si>
    <t>50-114-A1</t>
  </si>
  <si>
    <t>42-153-A1</t>
  </si>
  <si>
    <t>42-158-B2</t>
  </si>
  <si>
    <t>47-213-A2</t>
  </si>
  <si>
    <t>43-210-A2</t>
  </si>
  <si>
    <t>43-217-A1</t>
  </si>
  <si>
    <t>47-212-A2</t>
  </si>
  <si>
    <t>45-252-A1</t>
  </si>
  <si>
    <t>41-218-A2</t>
  </si>
  <si>
    <t>30-125-A1</t>
  </si>
  <si>
    <t>50-142-D1</t>
  </si>
  <si>
    <t>49-229-D2</t>
  </si>
  <si>
    <t>29-157-A3</t>
  </si>
  <si>
    <t>DGH-10</t>
  </si>
  <si>
    <t>47-227-D2</t>
  </si>
  <si>
    <t>46-119-B1</t>
  </si>
  <si>
    <t>51-259-A2</t>
  </si>
  <si>
    <t>48-158-D1</t>
  </si>
  <si>
    <t>01F-PURPLE-30</t>
  </si>
  <si>
    <t>29-249-C4</t>
  </si>
  <si>
    <t>52-130-A2</t>
  </si>
  <si>
    <t>43-208-B1</t>
  </si>
  <si>
    <t>52-129-A1</t>
  </si>
  <si>
    <t>60-214-D1</t>
  </si>
  <si>
    <t>60-214-C5</t>
  </si>
  <si>
    <t>44-155-A1</t>
  </si>
  <si>
    <t>42-153-A2</t>
  </si>
  <si>
    <t>51-208-A13</t>
  </si>
  <si>
    <t>43-212-A1</t>
  </si>
  <si>
    <t>42-154-A1</t>
  </si>
  <si>
    <t>46-111-B1</t>
  </si>
  <si>
    <t>53-252-A1</t>
  </si>
  <si>
    <t>42-141-A2</t>
  </si>
  <si>
    <t>43-261-C1</t>
  </si>
  <si>
    <t>51-244-A1</t>
  </si>
  <si>
    <t>53-258-A1</t>
  </si>
  <si>
    <t>42-138-D1</t>
  </si>
  <si>
    <t>50-141-C1</t>
  </si>
  <si>
    <t>01C-GOLD-PM-40</t>
  </si>
  <si>
    <t>29-239-D4</t>
  </si>
  <si>
    <t>42-115-A2</t>
  </si>
  <si>
    <t>41-210-C2</t>
  </si>
  <si>
    <t>45-250-C2</t>
  </si>
  <si>
    <t>29-103-A1</t>
  </si>
  <si>
    <t>29-153-B3</t>
  </si>
  <si>
    <t>41-227-B2</t>
  </si>
  <si>
    <t>41-208-A16</t>
  </si>
  <si>
    <t>49-248-A2</t>
  </si>
  <si>
    <t>41-235-A2</t>
  </si>
  <si>
    <t>49-225-A2</t>
  </si>
  <si>
    <t>29-115-A3</t>
  </si>
  <si>
    <t>CB2-01</t>
  </si>
  <si>
    <t>29-129-B2</t>
  </si>
  <si>
    <t>46-129-B2</t>
  </si>
  <si>
    <t>29-231-B1</t>
  </si>
  <si>
    <t>42-151-C2</t>
  </si>
  <si>
    <t>43-261-A2</t>
  </si>
  <si>
    <t>47-251-A2</t>
  </si>
  <si>
    <t>45-226-A1</t>
  </si>
  <si>
    <t>47-208-A4</t>
  </si>
  <si>
    <t>54-133-C2</t>
  </si>
  <si>
    <t>29-223-B2</t>
  </si>
  <si>
    <t>29-230-B2</t>
  </si>
  <si>
    <t>43-261-A1</t>
  </si>
  <si>
    <t>29-102-C1</t>
  </si>
  <si>
    <t>29-215-B3</t>
  </si>
  <si>
    <t>41-249-A2</t>
  </si>
  <si>
    <t>29-230-A1</t>
  </si>
  <si>
    <t>41-208-A15</t>
  </si>
  <si>
    <t>41-240-B1</t>
  </si>
  <si>
    <t>46-126-A8</t>
  </si>
  <si>
    <t>NFH-07</t>
  </si>
  <si>
    <t>50-141-A1</t>
  </si>
  <si>
    <t>47-261-A1</t>
  </si>
  <si>
    <t>12-116-D6</t>
  </si>
  <si>
    <t>29-145-A3</t>
  </si>
  <si>
    <t>41-221-B2</t>
  </si>
  <si>
    <t>29-247-D2</t>
  </si>
  <si>
    <t>29-099-C1</t>
  </si>
  <si>
    <t>46-110-A2</t>
  </si>
  <si>
    <t>44-121-A1</t>
  </si>
  <si>
    <t>46-125-A2</t>
  </si>
  <si>
    <t>44-116-A2</t>
  </si>
  <si>
    <t>29-227-B1</t>
  </si>
  <si>
    <t>44-144-C1</t>
  </si>
  <si>
    <t>50-133-C2</t>
  </si>
  <si>
    <t>29-215-A2</t>
  </si>
  <si>
    <t>49-208-C1</t>
  </si>
  <si>
    <t>53-260-B1</t>
  </si>
  <si>
    <t>29-100-B4</t>
  </si>
  <si>
    <t>45-208-A11</t>
  </si>
  <si>
    <t>49-250-C1</t>
  </si>
  <si>
    <t>01A-ORANGE-AM-50</t>
  </si>
  <si>
    <t>44-134-C1</t>
  </si>
  <si>
    <t>SPH-06</t>
  </si>
  <si>
    <t>29-224-C2</t>
  </si>
  <si>
    <t>52-146-B1</t>
  </si>
  <si>
    <t>29-099-C3</t>
  </si>
  <si>
    <t>48-157-A2</t>
  </si>
  <si>
    <t>42-116-A1</t>
  </si>
  <si>
    <t>48-163-C1</t>
  </si>
  <si>
    <t>41-236-C3</t>
  </si>
  <si>
    <t>54-117-B2</t>
  </si>
  <si>
    <t>43-247-A1</t>
  </si>
  <si>
    <t>52-120-A1</t>
  </si>
  <si>
    <t>54-123-B1</t>
  </si>
  <si>
    <t>41-219-C1</t>
  </si>
  <si>
    <t>01H-SILVER-AM-240</t>
  </si>
  <si>
    <t>46-116-A10</t>
  </si>
  <si>
    <t>42-130-A2</t>
  </si>
  <si>
    <t>50-162-A2</t>
  </si>
  <si>
    <t>48-123-C2</t>
  </si>
  <si>
    <t>42-148-A2</t>
  </si>
  <si>
    <t>44-128-D1</t>
  </si>
  <si>
    <t>44-133-B1</t>
  </si>
  <si>
    <t>41-254-C1</t>
  </si>
  <si>
    <t>46-131-A11</t>
  </si>
  <si>
    <t>48-159-A2</t>
  </si>
  <si>
    <t>41-244-A2</t>
  </si>
  <si>
    <t>46-120-A5</t>
  </si>
  <si>
    <t>54-133-A2</t>
  </si>
  <si>
    <t>50-153-D1</t>
  </si>
  <si>
    <t>46-149-A8</t>
  </si>
  <si>
    <t>29-240-C1</t>
  </si>
  <si>
    <t>46-110-A7</t>
  </si>
  <si>
    <t>29-143-A2</t>
  </si>
  <si>
    <t>29-213-C1</t>
  </si>
  <si>
    <t>29-215-A3</t>
  </si>
  <si>
    <t>44-159-A2</t>
  </si>
  <si>
    <t>KH2-05</t>
  </si>
  <si>
    <t>50-141-A2</t>
  </si>
  <si>
    <t>46-162-D2</t>
  </si>
  <si>
    <t>29-100-C1</t>
  </si>
  <si>
    <t>41-208-A4</t>
  </si>
  <si>
    <t>29-247-A3</t>
  </si>
  <si>
    <t>29-110-B4</t>
  </si>
  <si>
    <t>50-133-A1</t>
  </si>
  <si>
    <t>29-109-C1</t>
  </si>
  <si>
    <t>29-233-C3</t>
  </si>
  <si>
    <t>90-A3-03</t>
  </si>
  <si>
    <t>12-112-D6</t>
  </si>
  <si>
    <t>47-222-A1</t>
  </si>
  <si>
    <t>29-225-D3</t>
  </si>
  <si>
    <t>44-109-A4</t>
  </si>
  <si>
    <t>45-247-A2</t>
  </si>
  <si>
    <t>SPH-01</t>
  </si>
  <si>
    <t>49-244-A1</t>
  </si>
  <si>
    <t>52-123-A1</t>
  </si>
  <si>
    <t>41-235-B1</t>
  </si>
  <si>
    <t>41-212-B2</t>
  </si>
  <si>
    <t>48-138-B2</t>
  </si>
  <si>
    <t>KH3-18</t>
  </si>
  <si>
    <t>49-208-A14</t>
  </si>
  <si>
    <t>44-114-A2</t>
  </si>
  <si>
    <t>29-099-A2</t>
  </si>
  <si>
    <t>46-114-A3</t>
  </si>
  <si>
    <t>52-146-C2</t>
  </si>
  <si>
    <t>48-118-A2</t>
  </si>
  <si>
    <t>12-116-D2</t>
  </si>
  <si>
    <t>41-227-A1</t>
  </si>
  <si>
    <t>48-128-A1</t>
  </si>
  <si>
    <t>29-131-A1</t>
  </si>
  <si>
    <t>44-109-A10</t>
  </si>
  <si>
    <t>47-208-A12</t>
  </si>
  <si>
    <t>50-157-A1</t>
  </si>
  <si>
    <t>29-247-A1</t>
  </si>
  <si>
    <t>12-111-E2</t>
  </si>
  <si>
    <t>41-262-A2</t>
  </si>
  <si>
    <t>47-208-B1</t>
  </si>
  <si>
    <t>46-115-A10</t>
  </si>
  <si>
    <t>29-121-A1</t>
  </si>
  <si>
    <t>49-236-C3</t>
  </si>
  <si>
    <t>45-216-A1</t>
  </si>
  <si>
    <t>12-119-E2</t>
  </si>
  <si>
    <t>41-262-B2</t>
  </si>
  <si>
    <t>46-161-A6</t>
  </si>
  <si>
    <t>46-126-A2</t>
  </si>
  <si>
    <t>47-214-B2</t>
  </si>
  <si>
    <t>12-116-C4</t>
  </si>
  <si>
    <t>52-124-A2</t>
  </si>
  <si>
    <t>51-218-A1</t>
  </si>
  <si>
    <t>KH2-17</t>
  </si>
  <si>
    <t>29-108-A3</t>
  </si>
  <si>
    <t>53-218-A1</t>
  </si>
  <si>
    <t>43-214-A2</t>
  </si>
  <si>
    <t>29-104-C3</t>
  </si>
  <si>
    <t>KH1-08</t>
  </si>
  <si>
    <t>51-216-C2</t>
  </si>
  <si>
    <t>29-125-A3</t>
  </si>
  <si>
    <t>29-105-C4</t>
  </si>
  <si>
    <t>51-239-A1</t>
  </si>
  <si>
    <t>BEST</t>
  </si>
  <si>
    <t>46-141-A14</t>
  </si>
  <si>
    <t>48-160-C1</t>
  </si>
  <si>
    <t>46-122-B2</t>
  </si>
  <si>
    <t>50-113-C2</t>
  </si>
  <si>
    <t>52-132-A2</t>
  </si>
  <si>
    <t>42-116-A2</t>
  </si>
  <si>
    <t>49-208-A3</t>
  </si>
  <si>
    <t>12-110-D6</t>
  </si>
  <si>
    <t>12-112-E4</t>
  </si>
  <si>
    <t>41-221-A1</t>
  </si>
  <si>
    <t>42-156-A2</t>
  </si>
  <si>
    <t>48-129-A1</t>
  </si>
  <si>
    <t>46-126-A3</t>
  </si>
  <si>
    <t>42-113-A2</t>
  </si>
  <si>
    <t>41-217-A2</t>
  </si>
  <si>
    <t>CB1-07</t>
  </si>
  <si>
    <t>29-247-A4</t>
  </si>
  <si>
    <t>29-213-B3</t>
  </si>
  <si>
    <t>47-208-A1</t>
  </si>
  <si>
    <t>46-131-A8</t>
  </si>
  <si>
    <t>50-160-C1</t>
  </si>
  <si>
    <t>29-227-C3</t>
  </si>
  <si>
    <t>44-148-A2</t>
  </si>
  <si>
    <t>29-135-B1</t>
  </si>
  <si>
    <t>29-213-D2</t>
  </si>
  <si>
    <t>41-224-D1</t>
  </si>
  <si>
    <t>46-125-A10</t>
  </si>
  <si>
    <t>46-117-A2</t>
  </si>
  <si>
    <t>50-140-C1</t>
  </si>
  <si>
    <t>43-210-A1</t>
  </si>
  <si>
    <t>DGH-13</t>
  </si>
  <si>
    <t>50-157-D2</t>
  </si>
  <si>
    <t>29-243-A1</t>
  </si>
  <si>
    <t>12-116-D8</t>
  </si>
  <si>
    <t>01B-BLUE-AM-60</t>
  </si>
  <si>
    <t>50-146-C2</t>
  </si>
  <si>
    <t>50-129-A2</t>
  </si>
  <si>
    <t>43-215-A2</t>
  </si>
  <si>
    <t>DGH-04</t>
  </si>
  <si>
    <t>50-151-B2</t>
  </si>
  <si>
    <t>43-208-A13</t>
  </si>
  <si>
    <t>KH2-01</t>
  </si>
  <si>
    <t>48-141-C2</t>
  </si>
  <si>
    <t>48-156-C1</t>
  </si>
  <si>
    <t>43-239-B2</t>
  </si>
  <si>
    <t>41-222-A1</t>
  </si>
  <si>
    <t>42-119-A1</t>
  </si>
  <si>
    <t>29-241-B2</t>
  </si>
  <si>
    <t>51-259-A1</t>
  </si>
  <si>
    <t>48-139-A1</t>
  </si>
  <si>
    <t>41-261-A2</t>
  </si>
  <si>
    <t>52-110-A1</t>
  </si>
  <si>
    <t>49-222-C1</t>
  </si>
  <si>
    <t>47-258-C2</t>
  </si>
  <si>
    <t>43-259-A2</t>
  </si>
  <si>
    <t>KH2-03</t>
  </si>
  <si>
    <t>42-162-A2</t>
  </si>
  <si>
    <t>90-I7-01</t>
  </si>
  <si>
    <t>53-235-A1</t>
  </si>
  <si>
    <t>51-211-A2</t>
  </si>
  <si>
    <t>40-158-D1</t>
  </si>
  <si>
    <t>41-244-A1</t>
  </si>
  <si>
    <t>29-249-A1</t>
  </si>
  <si>
    <t>44-109-D1</t>
  </si>
  <si>
    <t>29-216-C2</t>
  </si>
  <si>
    <t>46-143-A6</t>
  </si>
  <si>
    <t>KH2-07</t>
  </si>
  <si>
    <t>46-128-A1</t>
  </si>
  <si>
    <t>45-208-A1</t>
  </si>
  <si>
    <t>40-136-D2</t>
  </si>
  <si>
    <t>80-112-A1</t>
  </si>
  <si>
    <t>29-104-A2</t>
  </si>
  <si>
    <t>29-099-A3</t>
  </si>
  <si>
    <t>45-253-A2</t>
  </si>
  <si>
    <t>29-234-C1</t>
  </si>
  <si>
    <t>53-208-B2</t>
  </si>
  <si>
    <t>48-154-A2</t>
  </si>
  <si>
    <t>30-127-A1</t>
  </si>
  <si>
    <t>44-156-A2</t>
  </si>
  <si>
    <t>CB1-02</t>
  </si>
  <si>
    <t>29-109-C3</t>
  </si>
  <si>
    <t>50-123-A2</t>
  </si>
  <si>
    <t>46-118-B1</t>
  </si>
  <si>
    <t>47-246-A1</t>
  </si>
  <si>
    <t>29-139-B3</t>
  </si>
  <si>
    <t>51-252-A1</t>
  </si>
  <si>
    <t>29-145-A2</t>
  </si>
  <si>
    <t>29-242-B2</t>
  </si>
  <si>
    <t>CB2-05</t>
  </si>
  <si>
    <t>51-245-C2</t>
  </si>
  <si>
    <t>50-117-A1</t>
  </si>
  <si>
    <t>45-262-A1</t>
  </si>
  <si>
    <t>44-157-A1</t>
  </si>
  <si>
    <t>42-159-A1</t>
  </si>
  <si>
    <t>12-118-C3</t>
  </si>
  <si>
    <t>50-123-A1</t>
  </si>
  <si>
    <t>12-110-D5</t>
  </si>
  <si>
    <t>50-153-C2</t>
  </si>
  <si>
    <t>41-238-B2</t>
  </si>
  <si>
    <t>12-114-D1</t>
  </si>
  <si>
    <t>29-155-B2</t>
  </si>
  <si>
    <t>44-150-A1</t>
  </si>
  <si>
    <t>43-230-A2</t>
  </si>
  <si>
    <t>44-115-A1</t>
  </si>
  <si>
    <t>46-118-A12</t>
  </si>
  <si>
    <t>29-238-C2</t>
  </si>
  <si>
    <t>42-160-A1</t>
  </si>
  <si>
    <t>42-156-A1</t>
  </si>
  <si>
    <t>44-159-A1</t>
  </si>
  <si>
    <t>41-219-C2</t>
  </si>
  <si>
    <t>50-116-A2</t>
  </si>
  <si>
    <t>50-117-A2</t>
  </si>
  <si>
    <t>50-119-A1</t>
  </si>
  <si>
    <t>45-254-A2</t>
  </si>
  <si>
    <t>53-240-A1</t>
  </si>
  <si>
    <t>50-111-B2</t>
  </si>
  <si>
    <t>50-119-A2</t>
  </si>
  <si>
    <t>46-122-A12</t>
  </si>
  <si>
    <t>50-139-B1</t>
  </si>
  <si>
    <t>49-221-A1</t>
  </si>
  <si>
    <t>50-121-A1</t>
  </si>
  <si>
    <t>49-224-A2</t>
  </si>
  <si>
    <t>54-163-C1</t>
  </si>
  <si>
    <t>42-112-C2</t>
  </si>
  <si>
    <t>46-134-A2</t>
  </si>
  <si>
    <t>44-128-C2</t>
  </si>
  <si>
    <t>44-154-A1</t>
  </si>
  <si>
    <t>47-254-C2</t>
  </si>
  <si>
    <t>50-149-D1</t>
  </si>
  <si>
    <t>51-261-A2</t>
  </si>
  <si>
    <t>49-213-C1</t>
  </si>
  <si>
    <t>52-121-B1</t>
  </si>
  <si>
    <t>52-122-A1</t>
  </si>
  <si>
    <t>51-236-C3</t>
  </si>
  <si>
    <t>47-241-A1</t>
  </si>
  <si>
    <t>47-224-A2</t>
  </si>
  <si>
    <t>48-143-C2</t>
  </si>
  <si>
    <t>52-120-B2</t>
  </si>
  <si>
    <t>51-212-B1</t>
  </si>
  <si>
    <t>42-158-D2</t>
  </si>
  <si>
    <t>46-112-A9</t>
  </si>
  <si>
    <t>53-221-A2</t>
  </si>
  <si>
    <t>52-128-A1</t>
  </si>
  <si>
    <t>41-228-B2</t>
  </si>
  <si>
    <t>12-113-A1</t>
  </si>
  <si>
    <t>48-153-B1</t>
  </si>
  <si>
    <t>45-237-C1</t>
  </si>
  <si>
    <t>50-152-C1</t>
  </si>
  <si>
    <t>46-141-A11</t>
  </si>
  <si>
    <t>29-106-B4</t>
  </si>
  <si>
    <t>46-121-B1</t>
  </si>
  <si>
    <t>48-152-C2</t>
  </si>
  <si>
    <t>29-245-A2</t>
  </si>
  <si>
    <t>44-119-C1</t>
  </si>
  <si>
    <t>60-214-B1</t>
  </si>
  <si>
    <t>48-162-A1</t>
  </si>
  <si>
    <t>60-214-D5</t>
  </si>
  <si>
    <t>48-121-A2</t>
  </si>
  <si>
    <t>90-D3-01</t>
  </si>
  <si>
    <t>90-E4-01</t>
  </si>
  <si>
    <t>90-G6-01</t>
  </si>
  <si>
    <t>29-220-C1</t>
  </si>
  <si>
    <t>12-114-D5</t>
  </si>
  <si>
    <t>46-152-A1</t>
  </si>
  <si>
    <t>12-116-C3</t>
  </si>
  <si>
    <t>29-143-B3</t>
  </si>
  <si>
    <t>29-228-A2</t>
  </si>
  <si>
    <t>41-211-B1</t>
  </si>
  <si>
    <t>50-124-A1</t>
  </si>
  <si>
    <t>53-260-A2</t>
  </si>
  <si>
    <t>30-113-A1</t>
  </si>
  <si>
    <t>49-219-A2</t>
  </si>
  <si>
    <t>51-245-A1</t>
  </si>
  <si>
    <t>29-249-A2</t>
  </si>
  <si>
    <t>29-217-C4</t>
  </si>
  <si>
    <t>53-208-A4</t>
  </si>
  <si>
    <t>46-141-A2</t>
  </si>
  <si>
    <t>12-110-C7</t>
  </si>
  <si>
    <t>KH3-09</t>
  </si>
  <si>
    <t>41-232-A2</t>
  </si>
  <si>
    <t>53-252-A2</t>
  </si>
  <si>
    <t>52-131-A2</t>
  </si>
  <si>
    <t>CBOP-01</t>
  </si>
  <si>
    <t>45-217-A1</t>
  </si>
  <si>
    <t>29-235-A1</t>
  </si>
  <si>
    <t>52-130-D1</t>
  </si>
  <si>
    <t>52-148-A2</t>
  </si>
  <si>
    <t>51-226-B2</t>
  </si>
  <si>
    <t>29-235-D3</t>
  </si>
  <si>
    <t>41-218-A1</t>
  </si>
  <si>
    <t>41-225-A1</t>
  </si>
  <si>
    <t>43-238-A2</t>
  </si>
  <si>
    <t>44-140-A2</t>
  </si>
  <si>
    <t>01E-PINK-02</t>
  </si>
  <si>
    <t>49-228-C2</t>
  </si>
  <si>
    <t>52-162-A1</t>
  </si>
  <si>
    <t>01B-BLUE-AM-210</t>
  </si>
  <si>
    <t>45-241-A2</t>
  </si>
  <si>
    <t>53-220-C2</t>
  </si>
  <si>
    <t>41-220-A1</t>
  </si>
  <si>
    <t>40-136-C1</t>
  </si>
  <si>
    <t>43-230-C1</t>
  </si>
  <si>
    <t>46-124-A1</t>
  </si>
  <si>
    <t>29-227-A4</t>
  </si>
  <si>
    <t>48-160-A2</t>
  </si>
  <si>
    <t>41-254-A2</t>
  </si>
  <si>
    <t>41-230-A2</t>
  </si>
  <si>
    <t>53-229-A2</t>
  </si>
  <si>
    <t>49-239-A1</t>
  </si>
  <si>
    <t>45-208-C1</t>
  </si>
  <si>
    <t>46-159-A1</t>
  </si>
  <si>
    <t>29-232-A2</t>
  </si>
  <si>
    <t>46-128-A3</t>
  </si>
  <si>
    <t>45-220-A1</t>
  </si>
  <si>
    <t>41-260-B1</t>
  </si>
  <si>
    <t>43-241-A1</t>
  </si>
  <si>
    <t>46-136-C3</t>
  </si>
  <si>
    <t>01B-BLUE-AM-70</t>
  </si>
  <si>
    <t>47-232-D1</t>
  </si>
  <si>
    <t>50-109-A4</t>
  </si>
  <si>
    <t>29-105-B1</t>
  </si>
  <si>
    <t>46-161-A7</t>
  </si>
  <si>
    <t>12-112-C6</t>
  </si>
  <si>
    <t>46-154-A2</t>
  </si>
  <si>
    <t>50-149-B1</t>
  </si>
  <si>
    <t>41-217-A1</t>
  </si>
  <si>
    <t>42-149-A1</t>
  </si>
  <si>
    <t>41-229-A2</t>
  </si>
  <si>
    <t>49-216-A1</t>
  </si>
  <si>
    <t>KH1-05</t>
  </si>
  <si>
    <t>51-260-A1</t>
  </si>
  <si>
    <t>51-226-A2</t>
  </si>
  <si>
    <t>51-238-A1</t>
  </si>
  <si>
    <t>42-123-B1</t>
  </si>
  <si>
    <t>NFH-01</t>
  </si>
  <si>
    <t>51-250-B1</t>
  </si>
  <si>
    <t>45-210-A2</t>
  </si>
  <si>
    <t>48-153-C1</t>
  </si>
  <si>
    <t>53-208-A12</t>
  </si>
  <si>
    <t>29-245-C3</t>
  </si>
  <si>
    <t>42-146-C2</t>
  </si>
  <si>
    <t>42-129-A1</t>
  </si>
  <si>
    <t>41-213-A2</t>
  </si>
  <si>
    <t>44-163-A2</t>
  </si>
  <si>
    <t>47-227-C2</t>
  </si>
  <si>
    <t>49-235-B2</t>
  </si>
  <si>
    <t>41-241-B2</t>
  </si>
  <si>
    <t>43-251-B1</t>
  </si>
  <si>
    <t>12-110-E6</t>
  </si>
  <si>
    <t>46-119-C2</t>
  </si>
  <si>
    <t>41-224-A1</t>
  </si>
  <si>
    <t>45-208-A7</t>
  </si>
  <si>
    <t>49-259-A2</t>
  </si>
  <si>
    <t>53-212-A2</t>
  </si>
  <si>
    <t>01A-ORANGE-AM-130</t>
  </si>
  <si>
    <t>50-148-D2</t>
  </si>
  <si>
    <t>42-135-A2</t>
  </si>
  <si>
    <t>53-242-A1</t>
  </si>
  <si>
    <t>43-222-A1</t>
  </si>
  <si>
    <t>50-158-A2</t>
  </si>
  <si>
    <t>41-248-A2</t>
  </si>
  <si>
    <t>44-158-A1</t>
  </si>
  <si>
    <t>49-252-A2</t>
  </si>
  <si>
    <t>48-111-C2</t>
  </si>
  <si>
    <t>CB2-07</t>
  </si>
  <si>
    <t>41-239-B1</t>
  </si>
  <si>
    <t>29-111-A3</t>
  </si>
  <si>
    <t>47-231-D1</t>
  </si>
  <si>
    <t>48-149-B1</t>
  </si>
  <si>
    <t>49-229-B1</t>
  </si>
  <si>
    <t>51-225-A1</t>
  </si>
  <si>
    <t>46-116-A4</t>
  </si>
  <si>
    <t>52-156-A2</t>
  </si>
  <si>
    <t>50-113-A2</t>
  </si>
  <si>
    <t>49-239-A2</t>
  </si>
  <si>
    <t>48-144-A1</t>
  </si>
  <si>
    <t>29-230-C1</t>
  </si>
  <si>
    <t>50-112-A2</t>
  </si>
  <si>
    <t>29-225-C1</t>
  </si>
  <si>
    <t>51-233-A2</t>
  </si>
  <si>
    <t>46-136-C1</t>
  </si>
  <si>
    <t>29-137-B2</t>
  </si>
  <si>
    <t>50-162-D2</t>
  </si>
  <si>
    <t>50-146-C1</t>
  </si>
  <si>
    <t>48-151-B2</t>
  </si>
  <si>
    <t>29-127-B2</t>
  </si>
  <si>
    <t>29-101-B2</t>
  </si>
  <si>
    <t>44-109-A6</t>
  </si>
  <si>
    <t>52-121-C1</t>
  </si>
  <si>
    <t>49-212-B1</t>
  </si>
  <si>
    <t>29-107-A4</t>
  </si>
  <si>
    <t>51-235-A2</t>
  </si>
  <si>
    <t>41-232-B1</t>
  </si>
  <si>
    <t>43-208-C2</t>
  </si>
  <si>
    <t>45-248-C1</t>
  </si>
  <si>
    <t>47-208-A5</t>
  </si>
  <si>
    <t>41-258-A2</t>
  </si>
  <si>
    <t>41-245-C2</t>
  </si>
  <si>
    <t>44-122-A2</t>
  </si>
  <si>
    <t>WGH-01</t>
  </si>
  <si>
    <t>46-131-A12</t>
  </si>
  <si>
    <t>49-244-A2</t>
  </si>
  <si>
    <t>46-139-D2</t>
  </si>
  <si>
    <t>46-130-A5</t>
  </si>
  <si>
    <t>45-258-A1</t>
  </si>
  <si>
    <t>45-211-A1</t>
  </si>
  <si>
    <t>46-138-C1</t>
  </si>
  <si>
    <t>48-144-A2</t>
  </si>
  <si>
    <t>49-221-A2</t>
  </si>
  <si>
    <t>48-126-A2</t>
  </si>
  <si>
    <t>41-212-A2</t>
  </si>
  <si>
    <t>47-251-A1</t>
  </si>
  <si>
    <t>51-254-A1</t>
  </si>
  <si>
    <t>45-230-A2</t>
  </si>
  <si>
    <t>47-251-B1</t>
  </si>
  <si>
    <t>43-219-C2</t>
  </si>
  <si>
    <t>49-223-A1</t>
  </si>
  <si>
    <t>40-151-C1</t>
  </si>
  <si>
    <t>41-252-C2</t>
  </si>
  <si>
    <t>42-125-A1</t>
  </si>
  <si>
    <t>50-121-A2</t>
  </si>
  <si>
    <t>41-230-C2</t>
  </si>
  <si>
    <t>43-238-A1</t>
  </si>
  <si>
    <t>48-110-A1</t>
  </si>
  <si>
    <t>50-142-A2</t>
  </si>
  <si>
    <t>42-110-C2</t>
  </si>
  <si>
    <t>53-216-A1</t>
  </si>
  <si>
    <t>42-120-A1</t>
  </si>
  <si>
    <t>41-263-A1</t>
  </si>
  <si>
    <t>49-247-A2</t>
  </si>
  <si>
    <t>43-239-A2</t>
  </si>
  <si>
    <t>42-117-A1</t>
  </si>
  <si>
    <t>48-131-A2</t>
  </si>
  <si>
    <t>50-146-A2</t>
  </si>
  <si>
    <t>52-150-A2</t>
  </si>
  <si>
    <t>41-208-A10</t>
  </si>
  <si>
    <t>49-243-A1</t>
  </si>
  <si>
    <t>48-135-A1</t>
  </si>
  <si>
    <t>52-126-A1</t>
  </si>
  <si>
    <t>49-208-A9</t>
  </si>
  <si>
    <t>52-163-C2</t>
  </si>
  <si>
    <t>44-126-C2</t>
  </si>
  <si>
    <t>KHED-04</t>
  </si>
  <si>
    <t>51-235-C1</t>
  </si>
  <si>
    <t>44-157-B1</t>
  </si>
  <si>
    <t>52-152-B1</t>
  </si>
  <si>
    <t>47-252-B1</t>
  </si>
  <si>
    <t>44-138-A2</t>
  </si>
  <si>
    <t>29-123-B1</t>
  </si>
  <si>
    <t>53-252-D1</t>
  </si>
  <si>
    <t>46-135-A8</t>
  </si>
  <si>
    <t>46-155-A14</t>
  </si>
  <si>
    <t>48-111-A1</t>
  </si>
  <si>
    <t>29-157-B2</t>
  </si>
  <si>
    <t>40-151-B1</t>
  </si>
  <si>
    <t>50-156-A2</t>
  </si>
  <si>
    <t>50-135-A2</t>
  </si>
  <si>
    <t>50-160-D1</t>
  </si>
  <si>
    <t>12-110-C8</t>
  </si>
  <si>
    <t>29-213-C3</t>
  </si>
  <si>
    <t>45-208-D1</t>
  </si>
  <si>
    <t>40-146-B1</t>
  </si>
  <si>
    <t>49-214-D1</t>
  </si>
  <si>
    <t>51-255-A1</t>
  </si>
  <si>
    <t>43-224-A1</t>
  </si>
  <si>
    <t>41-214-D1</t>
  </si>
  <si>
    <t>ACHP-02</t>
  </si>
  <si>
    <t>44-161-A1</t>
  </si>
  <si>
    <t>29-110-B3</t>
  </si>
  <si>
    <t>43-212-A2</t>
  </si>
  <si>
    <t>48-141-C1</t>
  </si>
  <si>
    <t>41-221-A2</t>
  </si>
  <si>
    <t>DGH-02</t>
  </si>
  <si>
    <t>42-126-C2</t>
  </si>
  <si>
    <t>50-148-A2</t>
  </si>
  <si>
    <t>44-124-A1</t>
  </si>
  <si>
    <t>44-130-C2</t>
  </si>
  <si>
    <t>52-141-A1</t>
  </si>
  <si>
    <t>29-110-C2</t>
  </si>
  <si>
    <t>46-141-A7</t>
  </si>
  <si>
    <t>43-227-A2</t>
  </si>
  <si>
    <t>49-222-D2</t>
  </si>
  <si>
    <t>49-238-A2</t>
  </si>
  <si>
    <t>43-227-A1</t>
  </si>
  <si>
    <t>41-231-A2</t>
  </si>
  <si>
    <t>43-218-C2</t>
  </si>
  <si>
    <t>29-242-B1</t>
  </si>
  <si>
    <t>48-115-A2</t>
  </si>
  <si>
    <t>43-254-A1</t>
  </si>
  <si>
    <t>43-247-A2</t>
  </si>
  <si>
    <t>50-160-A2</t>
  </si>
  <si>
    <t>46-115-A2</t>
  </si>
  <si>
    <t>90-A1-02</t>
  </si>
  <si>
    <t>30-127-C1</t>
  </si>
  <si>
    <t>43-245-B1</t>
  </si>
  <si>
    <t>46-141-A6</t>
  </si>
  <si>
    <t>41-240-A1</t>
  </si>
  <si>
    <t>51-238-C1</t>
  </si>
  <si>
    <t>29-223-A4</t>
  </si>
  <si>
    <t>46-149-A2</t>
  </si>
  <si>
    <t>50-153-B2</t>
  </si>
  <si>
    <t>48-124-D1</t>
  </si>
  <si>
    <t>51-257-B2</t>
  </si>
  <si>
    <t>45-252-A2</t>
  </si>
  <si>
    <t>51-230-B1</t>
  </si>
  <si>
    <t>44-132-C1</t>
  </si>
  <si>
    <t>48-127-A2</t>
  </si>
  <si>
    <t>42-120-C2</t>
  </si>
  <si>
    <t>29-105-A2</t>
  </si>
  <si>
    <t>29-149-A3</t>
  </si>
  <si>
    <t>41-251-A2</t>
  </si>
  <si>
    <t>51-247-A2</t>
  </si>
  <si>
    <t>30-127-A2</t>
  </si>
  <si>
    <t>51-248-A2</t>
  </si>
  <si>
    <t>47-256-A2</t>
  </si>
  <si>
    <t>45-254-A1</t>
  </si>
  <si>
    <t>90-A5-02</t>
  </si>
  <si>
    <t>46-121-A4</t>
  </si>
  <si>
    <t>44-119-A2</t>
  </si>
  <si>
    <t>51-215-A1</t>
  </si>
  <si>
    <t>52-113-A2</t>
  </si>
  <si>
    <t>29-247-D1</t>
  </si>
  <si>
    <t>29-223-A2</t>
  </si>
  <si>
    <t>44-163-A1</t>
  </si>
  <si>
    <t>49-220-A1</t>
  </si>
  <si>
    <t>50-134-A1</t>
  </si>
  <si>
    <t>46-124-A6</t>
  </si>
  <si>
    <t>45-218-A1</t>
  </si>
  <si>
    <t>43-241-A2</t>
  </si>
  <si>
    <t>47-208-A16</t>
  </si>
  <si>
    <t>41-246-C1</t>
  </si>
  <si>
    <t>50-127-A2</t>
  </si>
  <si>
    <t>44-158-A2</t>
  </si>
  <si>
    <t>44-150-C2</t>
  </si>
  <si>
    <t>46-155-A6</t>
  </si>
  <si>
    <t>29-106-C4</t>
  </si>
  <si>
    <t>90-C2-01</t>
  </si>
  <si>
    <t>53-228-A1</t>
  </si>
  <si>
    <t>42-126-A2</t>
  </si>
  <si>
    <t>47-213-D2</t>
  </si>
  <si>
    <t>51-238-B1</t>
  </si>
  <si>
    <t>44-130-A1</t>
  </si>
  <si>
    <t>51-208-A4</t>
  </si>
  <si>
    <t>29-113-A2</t>
  </si>
  <si>
    <t>46-123-A6</t>
  </si>
  <si>
    <t>42-123-B2</t>
  </si>
  <si>
    <t>53-213-B2</t>
  </si>
  <si>
    <t>53-232-A1</t>
  </si>
  <si>
    <t>47-242-A1</t>
  </si>
  <si>
    <t>49-251-A2</t>
  </si>
  <si>
    <t>43-257-A2</t>
  </si>
  <si>
    <t>47-223-A1</t>
  </si>
  <si>
    <t>41-256-A2</t>
  </si>
  <si>
    <t>47-263-B1</t>
  </si>
  <si>
    <t>42-135-A1</t>
  </si>
  <si>
    <t>44-157-A2</t>
  </si>
  <si>
    <t>51-222-A1</t>
  </si>
  <si>
    <t>42-148-A1</t>
  </si>
  <si>
    <t>51-217-A2</t>
  </si>
  <si>
    <t>43-244-A1</t>
  </si>
  <si>
    <t>OPNH-03</t>
  </si>
  <si>
    <t>40-146-B2</t>
  </si>
  <si>
    <t>44-123-A2</t>
  </si>
  <si>
    <t>51-228-A1</t>
  </si>
  <si>
    <t>53-211-B2</t>
  </si>
  <si>
    <t>44-110-C1</t>
  </si>
  <si>
    <t>44-135-B1</t>
  </si>
  <si>
    <t>LDRY-01</t>
  </si>
  <si>
    <t>51-239-C2</t>
  </si>
  <si>
    <t>CB2-02</t>
  </si>
  <si>
    <t>46-138-B2</t>
  </si>
  <si>
    <t>51-220-A2</t>
  </si>
  <si>
    <t>52-118-A2</t>
  </si>
  <si>
    <t>51-254-A2</t>
  </si>
  <si>
    <t>WGH-02</t>
  </si>
  <si>
    <t>29-246-C1</t>
  </si>
  <si>
    <t>29-243-A4</t>
  </si>
  <si>
    <t>12-118-E4</t>
  </si>
  <si>
    <t>41-231-A1</t>
  </si>
  <si>
    <t>52-126-B1</t>
  </si>
  <si>
    <t>51-245-A2</t>
  </si>
  <si>
    <t>49-235-A1</t>
  </si>
  <si>
    <t>45-250-A2</t>
  </si>
  <si>
    <t>43-213-A2</t>
  </si>
  <si>
    <t>43-239-D2</t>
  </si>
  <si>
    <t>51-216-A2</t>
  </si>
  <si>
    <t>51-260-A2</t>
  </si>
  <si>
    <t>51-211-C2</t>
  </si>
  <si>
    <t>44-152-B2</t>
  </si>
  <si>
    <t>51-210-A2</t>
  </si>
  <si>
    <t>51-246-A2</t>
  </si>
  <si>
    <t>49-237-C2</t>
  </si>
  <si>
    <t>43-225-A2</t>
  </si>
  <si>
    <t>50-163-A2</t>
  </si>
  <si>
    <t>48-159-A1</t>
  </si>
  <si>
    <t>29-232-B1</t>
  </si>
  <si>
    <t>43-233-A1</t>
  </si>
  <si>
    <t>43-215-B2</t>
  </si>
  <si>
    <t>49-232-C2</t>
  </si>
  <si>
    <t>12-116-E2</t>
  </si>
  <si>
    <t>44-129-A1</t>
  </si>
  <si>
    <t>52-150-A1</t>
  </si>
  <si>
    <t>53-261-A2</t>
  </si>
  <si>
    <t>29-245-B2</t>
  </si>
  <si>
    <t>44-125-A2</t>
  </si>
  <si>
    <t>44-146-A1</t>
  </si>
  <si>
    <t>43-224-C1</t>
  </si>
  <si>
    <t>29-103-B1</t>
  </si>
  <si>
    <t>49-251-A1</t>
  </si>
  <si>
    <t>44-139-B2</t>
  </si>
  <si>
    <t>50-153-A2</t>
  </si>
  <si>
    <t>44-134-A2</t>
  </si>
  <si>
    <t>44-123-B1</t>
  </si>
  <si>
    <t>42-131-A1</t>
  </si>
  <si>
    <t>52-154-D1</t>
  </si>
  <si>
    <t>29-221-D4</t>
  </si>
  <si>
    <t>46-142-A1</t>
  </si>
  <si>
    <t>29-241-B4</t>
  </si>
  <si>
    <t>46-133-A3</t>
  </si>
  <si>
    <t>43-208-A3</t>
  </si>
  <si>
    <t>44-128-C1</t>
  </si>
  <si>
    <t>40-124-C1</t>
  </si>
  <si>
    <t>42-131-A2</t>
  </si>
  <si>
    <t>52-117-A2</t>
  </si>
  <si>
    <t>52-162-A2</t>
  </si>
  <si>
    <t>47-212-A1</t>
  </si>
  <si>
    <t>41-226-C1</t>
  </si>
  <si>
    <t>29-245-C4</t>
  </si>
  <si>
    <t>30-126-A2</t>
  </si>
  <si>
    <t>47-260-A2</t>
  </si>
  <si>
    <t>01H-SILVER-AM-60</t>
  </si>
  <si>
    <t>44-124-A2</t>
  </si>
  <si>
    <t>48-129-A2</t>
  </si>
  <si>
    <t>51-215-A2</t>
  </si>
  <si>
    <t>50-141-D1</t>
  </si>
  <si>
    <t>44-117-B1</t>
  </si>
  <si>
    <t>42-163-A2</t>
  </si>
  <si>
    <t>47-218-A1</t>
  </si>
  <si>
    <t>52-144-A1</t>
  </si>
  <si>
    <t>52-146-A2</t>
  </si>
  <si>
    <t>52-154-A1</t>
  </si>
  <si>
    <t>52-158-A1</t>
  </si>
  <si>
    <t>41-238-A1</t>
  </si>
  <si>
    <t>46-134-A11</t>
  </si>
  <si>
    <t>46-120-A6</t>
  </si>
  <si>
    <t>52-133-A1</t>
  </si>
  <si>
    <t>29-246-A2</t>
  </si>
  <si>
    <t>42-127-A1</t>
  </si>
  <si>
    <t>53-230-A2</t>
  </si>
  <si>
    <t>52-147-A2</t>
  </si>
  <si>
    <t>52-159-A2</t>
  </si>
  <si>
    <t>90-E5-02</t>
  </si>
  <si>
    <t>40-154-C1</t>
  </si>
  <si>
    <t>ACHP-01</t>
  </si>
  <si>
    <t>45-260-A1</t>
  </si>
  <si>
    <t>43-262-A1</t>
  </si>
  <si>
    <t>29-213-C4</t>
  </si>
  <si>
    <t>42-115-A1</t>
  </si>
  <si>
    <t>50-123-C1</t>
  </si>
  <si>
    <t>51-225-A2</t>
  </si>
  <si>
    <t>45-262-A2</t>
  </si>
  <si>
    <t>53-214-A1</t>
  </si>
  <si>
    <t>53-222-A2</t>
  </si>
  <si>
    <t>46-139-D1</t>
  </si>
  <si>
    <t>47-232-A2</t>
  </si>
  <si>
    <t>53-218-A2</t>
  </si>
  <si>
    <t>53-228-A2</t>
  </si>
  <si>
    <t>48-116-A2</t>
  </si>
  <si>
    <t>47-254-A1</t>
  </si>
  <si>
    <t>49-234-A2</t>
  </si>
  <si>
    <t>53-216-A2</t>
  </si>
  <si>
    <t>53-226-A1</t>
  </si>
  <si>
    <t>53-244-A2</t>
  </si>
  <si>
    <t>01A-ORANGE-AM-40</t>
  </si>
  <si>
    <t>44-122-D1</t>
  </si>
  <si>
    <t>49-249-A1</t>
  </si>
  <si>
    <t>29-237-D4</t>
  </si>
  <si>
    <t>42-159-A2</t>
  </si>
  <si>
    <t>46-115-A5</t>
  </si>
  <si>
    <t>50-109-A10</t>
  </si>
  <si>
    <t>45-222-A1</t>
  </si>
  <si>
    <t>AVHP-01</t>
  </si>
  <si>
    <t>42-151-A1</t>
  </si>
  <si>
    <t>51-221-A1</t>
  </si>
  <si>
    <t>KH3-17</t>
  </si>
  <si>
    <t>51-221-A2</t>
  </si>
  <si>
    <t>51-243-A2</t>
  </si>
  <si>
    <t>46-110-A10</t>
  </si>
  <si>
    <t>29-232-C2</t>
  </si>
  <si>
    <t>53-221-C1</t>
  </si>
  <si>
    <t>53-216-B2</t>
  </si>
  <si>
    <t>47-234-D2</t>
  </si>
  <si>
    <t>42-162-C1</t>
  </si>
  <si>
    <t>49-213-B2</t>
  </si>
  <si>
    <t>42-128-C1</t>
  </si>
  <si>
    <t>46-109-A14</t>
  </si>
  <si>
    <t>46-134-A8</t>
  </si>
  <si>
    <t>41-246-B2</t>
  </si>
  <si>
    <t>50-158-D2</t>
  </si>
  <si>
    <t>30-121-A2</t>
  </si>
  <si>
    <t>48-150-A2</t>
  </si>
  <si>
    <t>29-245-B1</t>
  </si>
  <si>
    <t>29-129-A2</t>
  </si>
  <si>
    <t>41-233-D2</t>
  </si>
  <si>
    <t>53-254-A2</t>
  </si>
  <si>
    <t>12-112-E8</t>
  </si>
  <si>
    <t>43-234-A1</t>
  </si>
  <si>
    <t>46-129-A6</t>
  </si>
  <si>
    <t>53-243-D2</t>
  </si>
  <si>
    <t>52-156-A1</t>
  </si>
  <si>
    <t>45-218-C2</t>
  </si>
  <si>
    <t>43-249-A2</t>
  </si>
  <si>
    <t>29-211-D3</t>
  </si>
  <si>
    <t>51-219-A2</t>
  </si>
  <si>
    <t>54-147-B2</t>
  </si>
  <si>
    <t>51-253-A2</t>
  </si>
  <si>
    <t>47-239-B2</t>
  </si>
  <si>
    <t>52-118-C2</t>
  </si>
  <si>
    <t>50-150-A2</t>
  </si>
  <si>
    <t>47-213-A1</t>
  </si>
  <si>
    <t>46-119-A7</t>
  </si>
  <si>
    <t>47-235-A2</t>
  </si>
  <si>
    <t>46-111-A3</t>
  </si>
  <si>
    <t>47-230-B1</t>
  </si>
  <si>
    <t>41-225-B2</t>
  </si>
  <si>
    <t>42-133-B2</t>
  </si>
  <si>
    <t>44-161-A2</t>
  </si>
  <si>
    <t>42-148-C2</t>
  </si>
  <si>
    <t>46-117-A12</t>
  </si>
  <si>
    <t>46-139-A12</t>
  </si>
  <si>
    <t>42-109-A14</t>
  </si>
  <si>
    <t>46-139-A1</t>
  </si>
  <si>
    <t>01C-GOLD-AM-110</t>
  </si>
  <si>
    <t>49-235-C2</t>
  </si>
  <si>
    <t>53-233-A2</t>
  </si>
  <si>
    <t>30-126-A1</t>
  </si>
  <si>
    <t>29-117-A3</t>
  </si>
  <si>
    <t>47-237-C3</t>
  </si>
  <si>
    <t>29-248-A2</t>
  </si>
  <si>
    <t>41-210-B1</t>
  </si>
  <si>
    <t>41-261-C1</t>
  </si>
  <si>
    <t>41-245-A2</t>
  </si>
  <si>
    <t>43-225-C2</t>
  </si>
  <si>
    <t>42-144-C2</t>
  </si>
  <si>
    <t>40-150-B1</t>
  </si>
  <si>
    <t>50-154-A2</t>
  </si>
  <si>
    <t>46-149-A11</t>
  </si>
  <si>
    <t>46-149-A6</t>
  </si>
  <si>
    <t>41-213-D1</t>
  </si>
  <si>
    <t>51-255-A2</t>
  </si>
  <si>
    <t>42-137-C1</t>
  </si>
  <si>
    <t>90-I1-01</t>
  </si>
  <si>
    <t>90-D1-02</t>
  </si>
  <si>
    <t>90-I4-01</t>
  </si>
  <si>
    <t>90-D3-03</t>
  </si>
  <si>
    <t>90-D4-02</t>
  </si>
  <si>
    <t>90-G2-01</t>
  </si>
  <si>
    <t>90-B4-03</t>
  </si>
  <si>
    <t>90-A7-02</t>
  </si>
  <si>
    <t>90-C7-01</t>
  </si>
  <si>
    <t>90-E2-02</t>
  </si>
  <si>
    <t>90-B2-01</t>
  </si>
  <si>
    <t>90-F6-01</t>
  </si>
  <si>
    <t>90-H6-02</t>
  </si>
  <si>
    <t>90-I6-02</t>
  </si>
  <si>
    <t>90-I5-02</t>
  </si>
  <si>
    <t>90-A2-01</t>
  </si>
  <si>
    <t>90-A5-03</t>
  </si>
  <si>
    <t>90-G2-03</t>
  </si>
  <si>
    <t>90-D2-01</t>
  </si>
  <si>
    <t>90-A2-02</t>
  </si>
  <si>
    <t>90-A6-03</t>
  </si>
  <si>
    <t>01B-BLUE-AM-230</t>
  </si>
  <si>
    <t>90-B3-01</t>
  </si>
  <si>
    <t>90-A4-03</t>
  </si>
  <si>
    <t>90-B3-03</t>
  </si>
  <si>
    <t>90-A3-01</t>
  </si>
  <si>
    <t>90-J3-01</t>
  </si>
  <si>
    <t>90-E6-02</t>
  </si>
  <si>
    <t>90-D2-02</t>
  </si>
  <si>
    <t>90-D5-02</t>
  </si>
  <si>
    <t>90-D5-01</t>
  </si>
  <si>
    <t>90-D6-02</t>
  </si>
  <si>
    <t>90-E6-03</t>
  </si>
  <si>
    <t>90-J2-03</t>
  </si>
  <si>
    <t>90-I3-01</t>
  </si>
  <si>
    <t>90-B5-02</t>
  </si>
  <si>
    <t>45-211-A2</t>
  </si>
  <si>
    <t>90-E7-01</t>
  </si>
  <si>
    <t>90-J4-03</t>
  </si>
  <si>
    <t>90-E1-01</t>
  </si>
  <si>
    <t>90-D6-03</t>
  </si>
  <si>
    <t>90-J2-01</t>
  </si>
  <si>
    <t>90-B6-02</t>
  </si>
  <si>
    <t>90-B6-01</t>
  </si>
  <si>
    <t>90-D3-02</t>
  </si>
  <si>
    <t>90-F2-01</t>
  </si>
  <si>
    <t>90-D7-01</t>
  </si>
  <si>
    <t>90-E1-02</t>
  </si>
  <si>
    <t>90-F7-03</t>
  </si>
  <si>
    <t>90-E4-03</t>
  </si>
  <si>
    <t>90-A6-01</t>
  </si>
  <si>
    <t>90-C6-02</t>
  </si>
  <si>
    <t>90-C7-02</t>
  </si>
  <si>
    <t>90-F6-02</t>
  </si>
  <si>
    <t>90-A4-01</t>
  </si>
  <si>
    <t>90-H7-01</t>
  </si>
  <si>
    <t>90-I3-03</t>
  </si>
  <si>
    <t>90-E2-03</t>
  </si>
  <si>
    <t>90-F3-03</t>
  </si>
  <si>
    <t>90-F1-01</t>
  </si>
  <si>
    <t>90-H2-03</t>
  </si>
  <si>
    <t>90-B4-02</t>
  </si>
  <si>
    <t>90-E6-01</t>
  </si>
  <si>
    <t>90-D2-03</t>
  </si>
  <si>
    <t>90-F2-03</t>
  </si>
  <si>
    <t>90-C3-01</t>
  </si>
  <si>
    <t>90-G4-01</t>
  </si>
  <si>
    <t>90-B4-01</t>
  </si>
  <si>
    <t>90-I5-01</t>
  </si>
  <si>
    <t>90-C2-03</t>
  </si>
  <si>
    <t>90-G4-03</t>
  </si>
  <si>
    <t>90-B2-02</t>
  </si>
  <si>
    <t>90-C5-03</t>
  </si>
  <si>
    <t>90-H4-02</t>
  </si>
  <si>
    <t>44-155-B2</t>
  </si>
  <si>
    <t>90-A1-03</t>
  </si>
  <si>
    <t>90-A6-02</t>
  </si>
  <si>
    <t>90-B7-01</t>
  </si>
  <si>
    <t>90-C1-02</t>
  </si>
  <si>
    <t>40-148-D1</t>
  </si>
  <si>
    <t>45-223-A1</t>
  </si>
  <si>
    <t>50-138-A1</t>
  </si>
  <si>
    <t>49-263-A1</t>
  </si>
  <si>
    <t>CHHP-01</t>
  </si>
  <si>
    <t>42-124-B2</t>
  </si>
  <si>
    <t>49-227-C1</t>
  </si>
  <si>
    <t>49-246-A1</t>
  </si>
  <si>
    <t>53-254-A1</t>
  </si>
  <si>
    <t>41-215-B1</t>
  </si>
  <si>
    <t>12-117-D2</t>
  </si>
  <si>
    <t>SPH-03</t>
  </si>
  <si>
    <t>43-229-C2</t>
  </si>
  <si>
    <t>46-146-B2</t>
  </si>
  <si>
    <t>41-221-B1</t>
  </si>
  <si>
    <t>44-130-A2</t>
  </si>
  <si>
    <t>49-261-A1</t>
  </si>
  <si>
    <t>46-117-A8</t>
  </si>
  <si>
    <t>46-110-A3</t>
  </si>
  <si>
    <t>29-233-A3</t>
  </si>
  <si>
    <t>60-214-C3</t>
  </si>
  <si>
    <t>29-250-C2</t>
  </si>
  <si>
    <t>53-256-A2</t>
  </si>
  <si>
    <t>49-241-A2</t>
  </si>
  <si>
    <t>29-219-C3</t>
  </si>
  <si>
    <t>46-127-A12</t>
  </si>
  <si>
    <t>52-121-A2</t>
  </si>
  <si>
    <t>41-241-A2</t>
  </si>
  <si>
    <t>42-155-A1</t>
  </si>
  <si>
    <t>53-234-A2</t>
  </si>
  <si>
    <t>45-210-A1</t>
  </si>
  <si>
    <t>48-162-A2</t>
  </si>
  <si>
    <t>41-241-C2</t>
  </si>
  <si>
    <t>01H-SILVER-AM-110</t>
  </si>
  <si>
    <t>47-250-B2</t>
  </si>
  <si>
    <t>43-261-B2</t>
  </si>
  <si>
    <t>44-120-A2</t>
  </si>
  <si>
    <t>42-111-B2</t>
  </si>
  <si>
    <t>50-162-A1</t>
  </si>
  <si>
    <t>46-151-A6</t>
  </si>
  <si>
    <t>45-220-B1</t>
  </si>
  <si>
    <t>42-114-C2</t>
  </si>
  <si>
    <t>45-260-B2</t>
  </si>
  <si>
    <t>51-216-A1</t>
  </si>
  <si>
    <t>51-223-A1</t>
  </si>
  <si>
    <t>52-133-A2</t>
  </si>
  <si>
    <t>53-256-A1</t>
  </si>
  <si>
    <t>51-224-A1</t>
  </si>
  <si>
    <t>53-260-A1</t>
  </si>
  <si>
    <t>29-211-A4</t>
  </si>
  <si>
    <t>48-137-C2</t>
  </si>
  <si>
    <t>48-163-C2</t>
  </si>
  <si>
    <t>41-214-A1</t>
  </si>
  <si>
    <t>48-130-A1</t>
  </si>
  <si>
    <t>50-154-A1</t>
  </si>
  <si>
    <t>49-225-A1</t>
  </si>
  <si>
    <t>46-146-C1</t>
  </si>
  <si>
    <t>29-237-D2</t>
  </si>
  <si>
    <t>50-155-A2</t>
  </si>
  <si>
    <t>40-156-C2</t>
  </si>
  <si>
    <t>12-116-E3</t>
  </si>
  <si>
    <t>43-213-C1</t>
  </si>
  <si>
    <t>43-236-C2</t>
  </si>
  <si>
    <t>49-243-A2</t>
  </si>
  <si>
    <t>43-231-D2</t>
  </si>
  <si>
    <t>49-260-A1</t>
  </si>
  <si>
    <t>50-157-A2</t>
  </si>
  <si>
    <t>48-119-A1</t>
  </si>
  <si>
    <t>43-226-C2</t>
  </si>
  <si>
    <t>46-118-A8</t>
  </si>
  <si>
    <t>44-143-A1</t>
  </si>
  <si>
    <t>52-163-A1</t>
  </si>
  <si>
    <t>46-160-A1</t>
  </si>
  <si>
    <t>47-251-C2</t>
  </si>
  <si>
    <t>46-142-D2</t>
  </si>
  <si>
    <t>45-219-A1</t>
  </si>
  <si>
    <t>41-219-A2</t>
  </si>
  <si>
    <t>29-250-C1</t>
  </si>
  <si>
    <t>49-212-D2</t>
  </si>
  <si>
    <t>43-222-C2</t>
  </si>
  <si>
    <t>51-234-C2</t>
  </si>
  <si>
    <t>29-113-C4</t>
  </si>
  <si>
    <t>29-241-A1</t>
  </si>
  <si>
    <t>51-228-C2</t>
  </si>
  <si>
    <t>46-112-B2</t>
  </si>
  <si>
    <t>29-113-C1</t>
  </si>
  <si>
    <t>44-152-A1</t>
  </si>
  <si>
    <t>43-256-A2</t>
  </si>
  <si>
    <t>45-216-A2</t>
  </si>
  <si>
    <t>49-224-B2</t>
  </si>
  <si>
    <t>29-139-A1</t>
  </si>
  <si>
    <t>46-153-A8</t>
  </si>
  <si>
    <t>29-147-B1</t>
  </si>
  <si>
    <t>49-258-A1</t>
  </si>
  <si>
    <t>51-248-A1</t>
  </si>
  <si>
    <t>53-210-A2</t>
  </si>
  <si>
    <t>47-239-A2</t>
  </si>
  <si>
    <t>52-152-A1</t>
  </si>
  <si>
    <t>43-208-A5</t>
  </si>
  <si>
    <t>46-113-A3</t>
  </si>
  <si>
    <t>46-159-A11</t>
  </si>
  <si>
    <t>52-113-A1</t>
  </si>
  <si>
    <t>12-113-C1</t>
  </si>
  <si>
    <t>52-157-C1</t>
  </si>
  <si>
    <t>53-208-A3</t>
  </si>
  <si>
    <t>48-109-B2</t>
  </si>
  <si>
    <t>46-143-A8</t>
  </si>
  <si>
    <t>46-112-A1</t>
  </si>
  <si>
    <t>29-137-A3</t>
  </si>
  <si>
    <t>46-129-A4</t>
  </si>
  <si>
    <t>KH1-07</t>
  </si>
  <si>
    <t>47-226-B2</t>
  </si>
  <si>
    <t>53-239-A2</t>
  </si>
  <si>
    <t>53-262-A1</t>
  </si>
  <si>
    <t>46-124-A4</t>
  </si>
  <si>
    <t>53-234-A1</t>
  </si>
  <si>
    <t>49-210-C2</t>
  </si>
  <si>
    <t>DGH-03</t>
  </si>
  <si>
    <t>90-E3-02</t>
  </si>
  <si>
    <t>50-133-A2</t>
  </si>
  <si>
    <t>90-I6-03</t>
  </si>
  <si>
    <t>90-F2-02</t>
  </si>
  <si>
    <t>48-119-A2</t>
  </si>
  <si>
    <t>90-B7-02</t>
  </si>
  <si>
    <t>41-258-A1</t>
  </si>
  <si>
    <t>90-D7-03</t>
  </si>
  <si>
    <t>90-J1-03</t>
  </si>
  <si>
    <t>46-148-A2</t>
  </si>
  <si>
    <t>29-239-A4</t>
  </si>
  <si>
    <t>47-253-A1</t>
  </si>
  <si>
    <t>12-116-C6</t>
  </si>
  <si>
    <t>43-262-A2</t>
  </si>
  <si>
    <t>46-116-A6</t>
  </si>
  <si>
    <t>50-125-A2</t>
  </si>
  <si>
    <t>29-225-B4</t>
  </si>
  <si>
    <t>44-118-A1</t>
  </si>
  <si>
    <t>42-118-A2</t>
  </si>
  <si>
    <t>43-221-A2</t>
  </si>
  <si>
    <t>44-117-A1</t>
  </si>
  <si>
    <t>44-140-D2</t>
  </si>
  <si>
    <t>45-257-C2</t>
  </si>
  <si>
    <t>50-158-A1</t>
  </si>
  <si>
    <t>43-232-A1</t>
  </si>
  <si>
    <t>52-159-A1</t>
  </si>
  <si>
    <t>42-117-C1</t>
  </si>
  <si>
    <t>42-152-A1</t>
  </si>
  <si>
    <t>47-231-A1</t>
  </si>
  <si>
    <t>41-233-B2</t>
  </si>
  <si>
    <t>49-226-B1</t>
  </si>
  <si>
    <t>47-218-B2</t>
  </si>
  <si>
    <t>47-220-C2</t>
  </si>
  <si>
    <t>46-113-A9</t>
  </si>
  <si>
    <t>29-221-B1</t>
  </si>
  <si>
    <t>47-240-A2</t>
  </si>
  <si>
    <t>48-121-A1</t>
  </si>
  <si>
    <t>44-134-A1</t>
  </si>
  <si>
    <t>41-243-A2</t>
  </si>
  <si>
    <t>41-245-D2</t>
  </si>
  <si>
    <t>42-122-B1</t>
  </si>
  <si>
    <t>41-259-C2</t>
  </si>
  <si>
    <t>29-241-A3</t>
  </si>
  <si>
    <t>46-131-A7</t>
  </si>
  <si>
    <t>46-140-B1</t>
  </si>
  <si>
    <t>42-110-C1</t>
  </si>
  <si>
    <t>48-114-A2</t>
  </si>
  <si>
    <t>46-142-A2</t>
  </si>
  <si>
    <t>41-259-D2</t>
  </si>
  <si>
    <t>45-235-A2</t>
  </si>
  <si>
    <t>01E-PINK-90</t>
  </si>
  <si>
    <t>41-212-D1</t>
  </si>
  <si>
    <t>45-263-A2</t>
  </si>
  <si>
    <t>50-128-A1</t>
  </si>
  <si>
    <t>47-210-A2</t>
  </si>
  <si>
    <t>42-113-C2</t>
  </si>
  <si>
    <t>41-253-A1</t>
  </si>
  <si>
    <t>49-215-C1</t>
  </si>
  <si>
    <t>43-220-A1</t>
  </si>
  <si>
    <t>40-112-B1</t>
  </si>
  <si>
    <t>50-153-B1</t>
  </si>
  <si>
    <t>48-152-A1</t>
  </si>
  <si>
    <t>48-148-A2</t>
  </si>
  <si>
    <t>49-253-A2</t>
  </si>
  <si>
    <t>29-100-B1</t>
  </si>
  <si>
    <t>41-242-A1</t>
  </si>
  <si>
    <t>41-213-C2</t>
  </si>
  <si>
    <t>29-223-D3</t>
  </si>
  <si>
    <t>46-127-A9</t>
  </si>
  <si>
    <t>29-099-B5</t>
  </si>
  <si>
    <t>49-233-C2</t>
  </si>
  <si>
    <t>50-160-B2</t>
  </si>
  <si>
    <t>29-109-A3</t>
  </si>
  <si>
    <t>40-123-B1</t>
  </si>
  <si>
    <t>40-155-C2</t>
  </si>
  <si>
    <t>44-126-D1</t>
  </si>
  <si>
    <t>42-123-D1</t>
  </si>
  <si>
    <t>01H-SILVER-AM-20</t>
  </si>
  <si>
    <t>40-138-B2</t>
  </si>
  <si>
    <t>43-252-A2</t>
  </si>
  <si>
    <t>46-139-A14</t>
  </si>
  <si>
    <t>44-122-A1</t>
  </si>
  <si>
    <t>44-127-B1</t>
  </si>
  <si>
    <t>47-257-C1</t>
  </si>
  <si>
    <t>45-228-A1</t>
  </si>
  <si>
    <t>44-120-A1</t>
  </si>
  <si>
    <t>45-238-C2</t>
  </si>
  <si>
    <t>29-217-C1</t>
  </si>
  <si>
    <t>48-109-A13</t>
  </si>
  <si>
    <t>43-218-A1</t>
  </si>
  <si>
    <t>30-128-A1</t>
  </si>
  <si>
    <t>52-134-A1</t>
  </si>
  <si>
    <t>54-155-A1</t>
  </si>
  <si>
    <t>49-241-A1</t>
  </si>
  <si>
    <t>41-256-A1</t>
  </si>
  <si>
    <t>47-254-D1</t>
  </si>
  <si>
    <t>42-124-A2</t>
  </si>
  <si>
    <t>45-248-D2</t>
  </si>
  <si>
    <t>47-240-A1</t>
  </si>
  <si>
    <t>44-152-B1</t>
  </si>
  <si>
    <t>50-161-A2</t>
  </si>
  <si>
    <t>29-231-B3</t>
  </si>
  <si>
    <t>47-229-C2</t>
  </si>
  <si>
    <t>41-230-C1</t>
  </si>
  <si>
    <t>45-241-B2</t>
  </si>
  <si>
    <t>42-140-C2</t>
  </si>
  <si>
    <t>43-223-A1</t>
  </si>
  <si>
    <t>47-258-A1</t>
  </si>
  <si>
    <t>46-118-A3</t>
  </si>
  <si>
    <t>49-263-A2</t>
  </si>
  <si>
    <t>49-234-A1</t>
  </si>
  <si>
    <t>42-122-A2</t>
  </si>
  <si>
    <t>46-132-A3</t>
  </si>
  <si>
    <t>46-114-A8</t>
  </si>
  <si>
    <t>50-157-D1</t>
  </si>
  <si>
    <t>46-112-A11</t>
  </si>
  <si>
    <t>01D-GREEN-AM-10</t>
  </si>
  <si>
    <t>29-108-B3</t>
  </si>
  <si>
    <t>52-112-A1</t>
  </si>
  <si>
    <t>41-227-C1</t>
  </si>
  <si>
    <t>44-113-C1</t>
  </si>
  <si>
    <t>46-155-A12</t>
  </si>
  <si>
    <t>48-149-B2</t>
  </si>
  <si>
    <t>48-117-A2</t>
  </si>
  <si>
    <t>30-111-A2</t>
  </si>
  <si>
    <t>51-256-A1</t>
  </si>
  <si>
    <t>49-248-A1</t>
  </si>
  <si>
    <t>44-153-A1</t>
  </si>
  <si>
    <t>42-142-D1</t>
  </si>
  <si>
    <t>46-151-D1</t>
  </si>
  <si>
    <t>53-258-A2</t>
  </si>
  <si>
    <t>53-211-D1</t>
  </si>
  <si>
    <t>52-157-A1</t>
  </si>
  <si>
    <t>43-232-A2</t>
  </si>
  <si>
    <t>KH2-15</t>
  </si>
  <si>
    <t>44-111-A1</t>
  </si>
  <si>
    <t>01H-SILVER-AM-130</t>
  </si>
  <si>
    <t>40-138-C2</t>
  </si>
  <si>
    <t>42-146-B2</t>
  </si>
  <si>
    <t>42-141-D1</t>
  </si>
  <si>
    <t>48-157-D2</t>
  </si>
  <si>
    <t>54-163-D1</t>
  </si>
  <si>
    <t>46-132-A11</t>
  </si>
  <si>
    <t>46-151-A8</t>
  </si>
  <si>
    <t>41-213-A1</t>
  </si>
  <si>
    <t>52-138-A1</t>
  </si>
  <si>
    <t>46-123-B1</t>
  </si>
  <si>
    <t>53-228-D2</t>
  </si>
  <si>
    <t>40-152-B1</t>
  </si>
  <si>
    <t>01H-SILVER-AM-80</t>
  </si>
  <si>
    <t>45-230-A1</t>
  </si>
  <si>
    <t>42-109-A10</t>
  </si>
  <si>
    <t>29-244-C1</t>
  </si>
  <si>
    <t>46-151-A1</t>
  </si>
  <si>
    <t>53-250-A1</t>
  </si>
  <si>
    <t>52-152-A2</t>
  </si>
  <si>
    <t>29-108-A2</t>
  </si>
  <si>
    <t>45-229-A1</t>
  </si>
  <si>
    <t>40-135-D2</t>
  </si>
  <si>
    <t>45-234-A1</t>
  </si>
  <si>
    <t>43-227-B1</t>
  </si>
  <si>
    <t>46-116-A3</t>
  </si>
  <si>
    <t>46-126-C1</t>
  </si>
  <si>
    <t>01E-PINK-70</t>
  </si>
  <si>
    <t>48-153-A2</t>
  </si>
  <si>
    <t>46-145-A2</t>
  </si>
  <si>
    <t>29-099-A6</t>
  </si>
  <si>
    <t>54-123-D2</t>
  </si>
  <si>
    <t>45-232-A2</t>
  </si>
  <si>
    <t>48-111-C1</t>
  </si>
  <si>
    <t>42-114-D1</t>
  </si>
  <si>
    <t>52-152-C2</t>
  </si>
  <si>
    <t>49-247-D1</t>
  </si>
  <si>
    <t>42-139-A2</t>
  </si>
  <si>
    <t>47-254-B2</t>
  </si>
  <si>
    <t>46-133-B1</t>
  </si>
  <si>
    <t>46-114-A9</t>
  </si>
  <si>
    <t>46-120-B2</t>
  </si>
  <si>
    <t>49-215-A2</t>
  </si>
  <si>
    <t>29-215-D3</t>
  </si>
  <si>
    <t>41-244-B2</t>
  </si>
  <si>
    <t>46-161-A8</t>
  </si>
  <si>
    <t>29-157-A1</t>
  </si>
  <si>
    <t>29-129-B1</t>
  </si>
  <si>
    <t>50-131-A1</t>
  </si>
  <si>
    <t>01D-GREEN-AM-13</t>
  </si>
  <si>
    <t>43-208-A11</t>
  </si>
  <si>
    <t>53-223-A2</t>
  </si>
  <si>
    <t>46-147-A7</t>
  </si>
  <si>
    <t>29-249-B3</t>
  </si>
  <si>
    <t>29-247-B3</t>
  </si>
  <si>
    <t>48-138-C1</t>
  </si>
  <si>
    <t>45-215-A1</t>
  </si>
  <si>
    <t>44-144-A1</t>
  </si>
  <si>
    <t>50-134-D2</t>
  </si>
  <si>
    <t>41-245-B1</t>
  </si>
  <si>
    <t>41-229-D2</t>
  </si>
  <si>
    <t>42-161-A1</t>
  </si>
  <si>
    <t>49-222-A1</t>
  </si>
  <si>
    <t>52-140-A2</t>
  </si>
  <si>
    <t>43-239-A1</t>
  </si>
  <si>
    <t>CB1-08</t>
  </si>
  <si>
    <t>29-221-B4</t>
  </si>
  <si>
    <t>41-250-A2</t>
  </si>
  <si>
    <t>42-157-A2</t>
  </si>
  <si>
    <t>42-128-D1</t>
  </si>
  <si>
    <t>51-231-A1</t>
  </si>
  <si>
    <t>53-211-D2</t>
  </si>
  <si>
    <t>43-242-A1</t>
  </si>
  <si>
    <t>49-246-A2</t>
  </si>
  <si>
    <t>53-213-A2</t>
  </si>
  <si>
    <t>50-110-D1</t>
  </si>
  <si>
    <t>53-246-D1</t>
  </si>
  <si>
    <t>49-226-A2</t>
  </si>
  <si>
    <t>47-227-A1</t>
  </si>
  <si>
    <t>52-144-D1</t>
  </si>
  <si>
    <t>42-117-A2</t>
  </si>
  <si>
    <t>49-261-A2</t>
  </si>
  <si>
    <t>52-125-D1</t>
  </si>
  <si>
    <t>29-237-A1</t>
  </si>
  <si>
    <t>46-153-A1</t>
  </si>
  <si>
    <t>CB2-04</t>
  </si>
  <si>
    <t>41-223-C1</t>
  </si>
  <si>
    <t>44-116-C2</t>
  </si>
  <si>
    <t>46-138-A1</t>
  </si>
  <si>
    <t>49-220-A2</t>
  </si>
  <si>
    <t>29-113-A1</t>
  </si>
  <si>
    <t>29-250-B1</t>
  </si>
  <si>
    <t>29-217-B1</t>
  </si>
  <si>
    <t>29-213-A1</t>
  </si>
  <si>
    <t>46-145-A1</t>
  </si>
  <si>
    <t>60-207-B1</t>
  </si>
  <si>
    <t>60-207-C1</t>
  </si>
  <si>
    <t>60-208-A1</t>
  </si>
  <si>
    <t>60-208-B1</t>
  </si>
  <si>
    <t>60-208-C1</t>
  </si>
  <si>
    <t>60-209-A1</t>
  </si>
  <si>
    <t>60-209-B1</t>
  </si>
  <si>
    <t>60-209-C1</t>
  </si>
  <si>
    <t>01H-SILVER-AM-100</t>
  </si>
  <si>
    <t>41-263-C2</t>
  </si>
  <si>
    <t>50-149-B2</t>
  </si>
  <si>
    <t>46-143-C1</t>
  </si>
  <si>
    <t>51-235-D1</t>
  </si>
  <si>
    <t>29-109-C4</t>
  </si>
  <si>
    <t>29-247-A2</t>
  </si>
  <si>
    <t>53-259-B1</t>
  </si>
  <si>
    <t>43-251-D1</t>
  </si>
  <si>
    <t>29-241-B3</t>
  </si>
  <si>
    <t>45-239-C2</t>
  </si>
  <si>
    <t>42-138-A2</t>
  </si>
  <si>
    <t>49-223-B2</t>
  </si>
  <si>
    <t>52-122-A2</t>
  </si>
  <si>
    <t>43-217-B1</t>
  </si>
  <si>
    <t>48-138-A2</t>
  </si>
  <si>
    <t>44-111-C1</t>
  </si>
  <si>
    <t>53-234-D1</t>
  </si>
  <si>
    <t>01G-RED-60</t>
  </si>
  <si>
    <t>42-142-A1</t>
  </si>
  <si>
    <t>52-161-B2</t>
  </si>
  <si>
    <t>49-210-A2</t>
  </si>
  <si>
    <t>42-132-A1</t>
  </si>
  <si>
    <t>46-147-A1</t>
  </si>
  <si>
    <t>01D-GREEN-PM-50</t>
  </si>
  <si>
    <t>47-261-C2</t>
  </si>
  <si>
    <t>29-100-C4</t>
  </si>
  <si>
    <t>29-108-C4</t>
  </si>
  <si>
    <t>50-109-D1</t>
  </si>
  <si>
    <t>46-121-A6</t>
  </si>
  <si>
    <t>46-155-A11</t>
  </si>
  <si>
    <t>29-213-D3</t>
  </si>
  <si>
    <t>46-110-A5</t>
  </si>
  <si>
    <t>46-111-A10</t>
  </si>
  <si>
    <t>29-227-A2</t>
  </si>
  <si>
    <t>46-127-A7</t>
  </si>
  <si>
    <t>41-229-D1</t>
  </si>
  <si>
    <t>29-247-B4</t>
  </si>
  <si>
    <t>48-156-B1</t>
  </si>
  <si>
    <t>48-135-C1</t>
  </si>
  <si>
    <t>48-146-B1</t>
  </si>
  <si>
    <t>46-134-A9</t>
  </si>
  <si>
    <t>45-212-D1</t>
  </si>
  <si>
    <t>29-235-C4</t>
  </si>
  <si>
    <t>46-111-A9</t>
  </si>
  <si>
    <t>29-113-B3</t>
  </si>
  <si>
    <t>29-225-B2</t>
  </si>
  <si>
    <t>29-111-B4</t>
  </si>
  <si>
    <t>48-109-A8</t>
  </si>
  <si>
    <t>50-109-A15</t>
  </si>
  <si>
    <t>46-151-A11</t>
  </si>
  <si>
    <t>29-157-A2</t>
  </si>
  <si>
    <t>51-208-A8</t>
  </si>
  <si>
    <t>46-159-A7</t>
  </si>
  <si>
    <t>50-109-A6</t>
  </si>
  <si>
    <t>29-238-B1</t>
  </si>
  <si>
    <t>29-113-B4</t>
  </si>
  <si>
    <t>29-119-A3</t>
  </si>
  <si>
    <t>50-115-C2</t>
  </si>
  <si>
    <t>29-131-B1</t>
  </si>
  <si>
    <t>48-135-B2</t>
  </si>
  <si>
    <t>01B-BLUE-AM-20</t>
  </si>
  <si>
    <t>53-237-D3</t>
  </si>
  <si>
    <t>48-160-A1</t>
  </si>
  <si>
    <t>49-253-A1</t>
  </si>
  <si>
    <t>53-213-A1</t>
  </si>
  <si>
    <t>49-252-B1</t>
  </si>
  <si>
    <t>42-135-C1</t>
  </si>
  <si>
    <t>48-119-C2</t>
  </si>
  <si>
    <t>47-263-C2</t>
  </si>
  <si>
    <t>44-130-C1</t>
  </si>
  <si>
    <t>52-125-A1</t>
  </si>
  <si>
    <t>52-133-C1</t>
  </si>
  <si>
    <t>53-242-C2</t>
  </si>
  <si>
    <t>49-242-B1</t>
  </si>
  <si>
    <t>49-222-A2</t>
  </si>
  <si>
    <t>51-260-D2</t>
  </si>
  <si>
    <t>48-149-C2</t>
  </si>
  <si>
    <t>50-129-A1</t>
  </si>
  <si>
    <t>49-261-C1</t>
  </si>
  <si>
    <t>45-227-C1</t>
  </si>
  <si>
    <t>40-118-C2</t>
  </si>
  <si>
    <t>49-219-B2</t>
  </si>
  <si>
    <t>51-215-B1</t>
  </si>
  <si>
    <t>43-255-A1</t>
  </si>
  <si>
    <t>46-134-B2</t>
  </si>
  <si>
    <t>70-114-A1</t>
  </si>
  <si>
    <t>70-119-A1</t>
  </si>
  <si>
    <t>40-149-C1</t>
  </si>
  <si>
    <t>46-137-C1</t>
  </si>
  <si>
    <t>KHED-02</t>
  </si>
  <si>
    <t>43-262-C1</t>
  </si>
  <si>
    <t>42-152-C2</t>
  </si>
  <si>
    <t>41-230-B2</t>
  </si>
  <si>
    <t>46-146-B1</t>
  </si>
  <si>
    <t>46-117-A7</t>
  </si>
  <si>
    <t>50-145-B1</t>
  </si>
  <si>
    <t>29-234-A1</t>
  </si>
  <si>
    <t>50-109-A2</t>
  </si>
  <si>
    <t>47-232-B1</t>
  </si>
  <si>
    <t>42-130-B2</t>
  </si>
  <si>
    <t>53-208-A13</t>
  </si>
  <si>
    <t>29-249-C3</t>
  </si>
  <si>
    <t>46-153-A12</t>
  </si>
  <si>
    <t>42-125-B1</t>
  </si>
  <si>
    <t>46-141-C2</t>
  </si>
  <si>
    <t>41-262-D1</t>
  </si>
  <si>
    <t>52-130-A1</t>
  </si>
  <si>
    <t>47-230-B2</t>
  </si>
  <si>
    <t>42-145-C1</t>
  </si>
  <si>
    <t>01B-BLUE-AM-240</t>
  </si>
  <si>
    <t>48-140-B2</t>
  </si>
  <si>
    <t>43-253-C1</t>
  </si>
  <si>
    <t>43-214-D2</t>
  </si>
  <si>
    <t>46-124-B2</t>
  </si>
  <si>
    <t>51-237-C2</t>
  </si>
  <si>
    <t>51-208-A12</t>
  </si>
  <si>
    <t>49-208-A11</t>
  </si>
  <si>
    <t>49-233-B2</t>
  </si>
  <si>
    <t>53-246-A1</t>
  </si>
  <si>
    <t>29-101-A2</t>
  </si>
  <si>
    <t>29-239-C1</t>
  </si>
  <si>
    <t>52-111-A1</t>
  </si>
  <si>
    <t>50-109-A1</t>
  </si>
  <si>
    <t>50-120-C2</t>
  </si>
  <si>
    <t>45-261-A1</t>
  </si>
  <si>
    <t>42-127-B2</t>
  </si>
  <si>
    <t>46-132-A6</t>
  </si>
  <si>
    <t>43-263-A1</t>
  </si>
  <si>
    <t>45-213-C1</t>
  </si>
  <si>
    <t>50-131-A2</t>
  </si>
  <si>
    <t>51-214-A2</t>
  </si>
  <si>
    <t>53-233-B1</t>
  </si>
  <si>
    <t>46-131-A10</t>
  </si>
  <si>
    <t>29-123-B2</t>
  </si>
  <si>
    <t>12-112-E7</t>
  </si>
  <si>
    <t>44-119-A1</t>
  </si>
  <si>
    <t>46-131-A9</t>
  </si>
  <si>
    <t>45-237-C2</t>
  </si>
  <si>
    <t>47-208-B2</t>
  </si>
  <si>
    <t>53-223-A1</t>
  </si>
  <si>
    <t>41-218-C2</t>
  </si>
  <si>
    <t>47-254-A2</t>
  </si>
  <si>
    <t>50-111-A1</t>
  </si>
  <si>
    <t>51-211-C1</t>
  </si>
  <si>
    <t>51-247-A1</t>
  </si>
  <si>
    <t>47-219-A1</t>
  </si>
  <si>
    <t>29-105-A4</t>
  </si>
  <si>
    <t>48-109-B1</t>
  </si>
  <si>
    <t>29-245-D4</t>
  </si>
  <si>
    <t>47-234-A1</t>
  </si>
  <si>
    <t>46-132-A9</t>
  </si>
  <si>
    <t>51-208-B1</t>
  </si>
  <si>
    <t>44-144-A2</t>
  </si>
  <si>
    <t>52-114-A2</t>
  </si>
  <si>
    <t>43-240-A2</t>
  </si>
  <si>
    <t>47-261-A2</t>
  </si>
  <si>
    <t>47-253-C1</t>
  </si>
  <si>
    <t>29-135-B2</t>
  </si>
  <si>
    <t>47-242-A2</t>
  </si>
  <si>
    <t>29-216-B1</t>
  </si>
  <si>
    <t>50-113-B2</t>
  </si>
  <si>
    <t>42-141-B1</t>
  </si>
  <si>
    <t>48-134-B1</t>
  </si>
  <si>
    <t>44-125-A1</t>
  </si>
  <si>
    <t>50-125-A1</t>
  </si>
  <si>
    <t>29-104-B3</t>
  </si>
  <si>
    <t>50-146-D1</t>
  </si>
  <si>
    <t>46-123-A7</t>
  </si>
  <si>
    <t>29-102-C3</t>
  </si>
  <si>
    <t>52-109-A11</t>
  </si>
  <si>
    <t>29-221-C4</t>
  </si>
  <si>
    <t>29-223-D4</t>
  </si>
  <si>
    <t>48-151-A1</t>
  </si>
  <si>
    <t>29-231-A3</t>
  </si>
  <si>
    <t>12-112-C8</t>
  </si>
  <si>
    <t>51-211-A1</t>
  </si>
  <si>
    <t>41-252-B1</t>
  </si>
  <si>
    <t>51-231-C2</t>
  </si>
  <si>
    <t>45-247-B1</t>
  </si>
  <si>
    <t>41-235-A1</t>
  </si>
  <si>
    <t>47-243-A2</t>
  </si>
  <si>
    <t>29-117-B2</t>
  </si>
  <si>
    <t>01G-RED-107</t>
  </si>
  <si>
    <t>46-116-A9</t>
  </si>
  <si>
    <t>01D-GREEN-AM-130</t>
  </si>
  <si>
    <t>42-109-A16</t>
  </si>
  <si>
    <t>40-114-C1</t>
  </si>
  <si>
    <t>29-121-A2</t>
  </si>
  <si>
    <t>29-103-B4</t>
  </si>
  <si>
    <t>47-235-C1</t>
  </si>
  <si>
    <t>41-208-A5</t>
  </si>
  <si>
    <t>29-217-A4</t>
  </si>
  <si>
    <t>47-220-C1</t>
  </si>
  <si>
    <t>48-154-B1</t>
  </si>
  <si>
    <t>46-129-A7</t>
  </si>
  <si>
    <t>50-138-B2</t>
  </si>
  <si>
    <t>52-117-B1</t>
  </si>
  <si>
    <t>48-109-A16</t>
  </si>
  <si>
    <t>41-231-C1</t>
  </si>
  <si>
    <t>44-109-D2</t>
  </si>
  <si>
    <t>42-125-A2</t>
  </si>
  <si>
    <t>46-117-A11</t>
  </si>
  <si>
    <t>51-213-A1</t>
  </si>
  <si>
    <t>29-104-C4</t>
  </si>
  <si>
    <t>12-119-D2</t>
  </si>
  <si>
    <t>29-151-B2</t>
  </si>
  <si>
    <t>46-126-A11</t>
  </si>
  <si>
    <t>43-217-C2</t>
  </si>
  <si>
    <t>12-115-D2</t>
  </si>
  <si>
    <t>50-125-D1</t>
  </si>
  <si>
    <t>51-213-A2</t>
  </si>
  <si>
    <t>45-257-A2</t>
  </si>
  <si>
    <t>90-H3-01</t>
  </si>
  <si>
    <t>46-134-A6</t>
  </si>
  <si>
    <t>43-262-C2</t>
  </si>
  <si>
    <t>46-121-C1</t>
  </si>
  <si>
    <t>18-08-B4</t>
  </si>
  <si>
    <t>45-256-A2</t>
  </si>
  <si>
    <t>29-110-C1</t>
  </si>
  <si>
    <t>50-122-A1</t>
  </si>
  <si>
    <t>52-160-A1</t>
  </si>
  <si>
    <t>45-242-A2</t>
  </si>
  <si>
    <t>43-243-A1</t>
  </si>
  <si>
    <t>50-156-D2</t>
  </si>
  <si>
    <t>52-160-A2</t>
  </si>
  <si>
    <t>43-243-A2</t>
  </si>
  <si>
    <t>52-161-A1</t>
  </si>
  <si>
    <t>52-161-A2</t>
  </si>
  <si>
    <t>46-113-A1</t>
  </si>
  <si>
    <t>46-139-A11</t>
  </si>
  <si>
    <t>29-125-A1</t>
  </si>
  <si>
    <t>47-236-C3</t>
  </si>
  <si>
    <t>29-233-A4</t>
  </si>
  <si>
    <t>41-208-B2</t>
  </si>
  <si>
    <t>90-B5-01</t>
  </si>
  <si>
    <t>49-231-A2</t>
  </si>
  <si>
    <t>41-253-B2</t>
  </si>
  <si>
    <t>46-119-A1</t>
  </si>
  <si>
    <t>52-134-A2</t>
  </si>
  <si>
    <t>12-113-D2</t>
  </si>
  <si>
    <t>29-245-D1</t>
  </si>
  <si>
    <t>46-115-A1</t>
  </si>
  <si>
    <t>53-210-A1</t>
  </si>
  <si>
    <t>45-248-A2</t>
  </si>
  <si>
    <t>43-222-A2</t>
  </si>
  <si>
    <t>29-153-B1</t>
  </si>
  <si>
    <t>12-114-E5</t>
  </si>
  <si>
    <t>12-112-D2</t>
  </si>
  <si>
    <t>46-110-A11</t>
  </si>
  <si>
    <t>46-110-A9</t>
  </si>
  <si>
    <t>90-F7-01</t>
  </si>
  <si>
    <t>47-208-A14</t>
  </si>
  <si>
    <t>49-208-A7</t>
  </si>
  <si>
    <t>52-126-A2</t>
  </si>
  <si>
    <t>42-133-A2</t>
  </si>
  <si>
    <t>29-239-A2</t>
  </si>
  <si>
    <t>42-119-B1</t>
  </si>
  <si>
    <t>42-111-C1</t>
  </si>
  <si>
    <t>50-139-C1</t>
  </si>
  <si>
    <t>47-214-A1</t>
  </si>
  <si>
    <t>46-139-A13</t>
  </si>
  <si>
    <t>46-125-A8</t>
  </si>
  <si>
    <t>41-210-A2</t>
  </si>
  <si>
    <t>29-119-B2</t>
  </si>
  <si>
    <t>90-I2-02</t>
  </si>
  <si>
    <t>12-116-E1</t>
  </si>
  <si>
    <t>29-213-A3</t>
  </si>
  <si>
    <t>47-210-A1</t>
  </si>
  <si>
    <t>48-109-A3</t>
  </si>
  <si>
    <t>29-215-C4</t>
  </si>
  <si>
    <t>29-215-D4</t>
  </si>
  <si>
    <t>49-251-D2</t>
  </si>
  <si>
    <t>53-208-A16</t>
  </si>
  <si>
    <t>42-130-A1</t>
  </si>
  <si>
    <t>46-129-A1</t>
  </si>
  <si>
    <t>43-262-B1</t>
  </si>
  <si>
    <t>46-118-A9</t>
  </si>
  <si>
    <t>46-134-A3</t>
  </si>
  <si>
    <t>46-122-A6</t>
  </si>
  <si>
    <t>29-246-B2</t>
  </si>
  <si>
    <t>48-148-D2</t>
  </si>
  <si>
    <t>42-124-A1</t>
  </si>
  <si>
    <t>29-231-A1</t>
  </si>
  <si>
    <t>90-A1-01</t>
  </si>
  <si>
    <t>50-136-C1</t>
  </si>
  <si>
    <t>47-223-C1</t>
  </si>
  <si>
    <t>43-239-C1</t>
  </si>
  <si>
    <t>29-243-B1</t>
  </si>
  <si>
    <t>50-112-A1</t>
  </si>
  <si>
    <t>41-246-A1</t>
  </si>
  <si>
    <t>42-133-A1</t>
  </si>
  <si>
    <t>49-250-A1</t>
  </si>
  <si>
    <t>29-102-C4</t>
  </si>
  <si>
    <t>47-255-A1</t>
  </si>
  <si>
    <t>51-208-A7</t>
  </si>
  <si>
    <t>42-119-A2</t>
  </si>
  <si>
    <t>51-208-A9</t>
  </si>
  <si>
    <t>46-112-A4</t>
  </si>
  <si>
    <t>44-139-A2</t>
  </si>
  <si>
    <t>60-214-C1</t>
  </si>
  <si>
    <t>44-113-C2</t>
  </si>
  <si>
    <t>44-132-A2</t>
  </si>
  <si>
    <t>46-135-A6</t>
  </si>
  <si>
    <t>47-211-A1</t>
  </si>
  <si>
    <t>43-245-A1</t>
  </si>
  <si>
    <t>51-263-A1</t>
  </si>
  <si>
    <t>51-251-A1</t>
  </si>
  <si>
    <t>47-211-A2</t>
  </si>
  <si>
    <t>50-124-A2</t>
  </si>
  <si>
    <t>43-245-A2</t>
  </si>
  <si>
    <t>46-135-A3</t>
  </si>
  <si>
    <t>12-114-D8</t>
  </si>
  <si>
    <t>43-246-A2</t>
  </si>
  <si>
    <t>29-135-A1</t>
  </si>
  <si>
    <t>12-118-C2</t>
  </si>
  <si>
    <t>30-127-B2</t>
  </si>
  <si>
    <t>47-225-D2</t>
  </si>
  <si>
    <t>50-109-A7</t>
  </si>
  <si>
    <t>50-111-A2</t>
  </si>
  <si>
    <t>49-245-A1</t>
  </si>
  <si>
    <t>46-141-A13</t>
  </si>
  <si>
    <t>29-218-A1</t>
  </si>
  <si>
    <t>52-125-A2</t>
  </si>
  <si>
    <t>52-154-A2</t>
  </si>
  <si>
    <t>90-H5-02</t>
  </si>
  <si>
    <t>43-224-A2</t>
  </si>
  <si>
    <t>29-237-B1</t>
  </si>
  <si>
    <t>50-117-B1</t>
  </si>
  <si>
    <t>NFH-05</t>
  </si>
  <si>
    <t>47-255-A2</t>
  </si>
  <si>
    <t>29-243-D2</t>
  </si>
  <si>
    <t>12-114-C8</t>
  </si>
  <si>
    <t>29-109-B3</t>
  </si>
  <si>
    <t>46-117-A5</t>
  </si>
  <si>
    <t>46-133-A4</t>
  </si>
  <si>
    <t>43-225-A1</t>
  </si>
  <si>
    <t>46-127-A6</t>
  </si>
  <si>
    <t>45-220-C2</t>
  </si>
  <si>
    <t>50-144-B1</t>
  </si>
  <si>
    <t>41-225-A2</t>
  </si>
  <si>
    <t>50-158-C2</t>
  </si>
  <si>
    <t>46-119-A10</t>
  </si>
  <si>
    <t>29-248-B1</t>
  </si>
  <si>
    <t>49-260-B1</t>
  </si>
  <si>
    <t>90-G1-01</t>
  </si>
  <si>
    <t>47-215-A1</t>
  </si>
  <si>
    <t>47-215-A2</t>
  </si>
  <si>
    <t>44-146-C1</t>
  </si>
  <si>
    <t>41-219-A1</t>
  </si>
  <si>
    <t>41-208-A11</t>
  </si>
  <si>
    <t>29-157-B3</t>
  </si>
  <si>
    <t>45-250-C1</t>
  </si>
  <si>
    <t>46-135-A7</t>
  </si>
  <si>
    <t>29-213-D4</t>
  </si>
  <si>
    <t>51-208-A2</t>
  </si>
  <si>
    <t>29-226-B1</t>
  </si>
  <si>
    <t>41-208-A8</t>
  </si>
  <si>
    <t>29-233-D2</t>
  </si>
  <si>
    <t>29-233-A2</t>
  </si>
  <si>
    <t>46-118-A11</t>
  </si>
  <si>
    <t>29-237-C3</t>
  </si>
  <si>
    <t>48-158-C2</t>
  </si>
  <si>
    <t>50-151-C2</t>
  </si>
  <si>
    <t>47-217-A1</t>
  </si>
  <si>
    <t>51-215-C2</t>
  </si>
  <si>
    <t>46-115-A3</t>
  </si>
  <si>
    <t>41-257-A1</t>
  </si>
  <si>
    <t>50-161-D1</t>
  </si>
  <si>
    <t>29-220-B1</t>
  </si>
  <si>
    <t>41-248-A1</t>
  </si>
  <si>
    <t>44-109-A9</t>
  </si>
  <si>
    <t>46-163-A13</t>
  </si>
  <si>
    <t>41-252-A1</t>
  </si>
  <si>
    <t>29-211-A3</t>
  </si>
  <si>
    <t>50-118-A2</t>
  </si>
  <si>
    <t>50-158-C1</t>
  </si>
  <si>
    <t>46-111-A5</t>
  </si>
  <si>
    <t>47-217-A2</t>
  </si>
  <si>
    <t>44-131-A2</t>
  </si>
  <si>
    <t>29-223-A1</t>
  </si>
  <si>
    <t>47-218-A2</t>
  </si>
  <si>
    <t>42-128-A1</t>
  </si>
  <si>
    <t>43-220-D1</t>
  </si>
  <si>
    <t>12-112-C7</t>
  </si>
  <si>
    <t>42-152-C1</t>
  </si>
  <si>
    <t>43-250-B2</t>
  </si>
  <si>
    <t>46-134-A1</t>
  </si>
  <si>
    <t>29-225-D2</t>
  </si>
  <si>
    <t>90-E7-02</t>
  </si>
  <si>
    <t>12-116-E5</t>
  </si>
  <si>
    <t>47-219-A2</t>
  </si>
  <si>
    <t>50-161-A1</t>
  </si>
  <si>
    <t>70-112-A1</t>
  </si>
  <si>
    <t>44-109-A2</t>
  </si>
  <si>
    <t>47-239-C1</t>
  </si>
  <si>
    <t>29-245-A1</t>
  </si>
  <si>
    <t>43-229-A1</t>
  </si>
  <si>
    <t>46-125-A6</t>
  </si>
  <si>
    <t>49-239-C1</t>
  </si>
  <si>
    <t>12-113-C2</t>
  </si>
  <si>
    <t>46-124-A9</t>
  </si>
  <si>
    <t>12-114-E7</t>
  </si>
  <si>
    <t>47-220-A1</t>
  </si>
  <si>
    <t>51-208-A11</t>
  </si>
  <si>
    <t>46-150-A2</t>
  </si>
  <si>
    <t>45-208-B1</t>
  </si>
  <si>
    <t>50-140-C2</t>
  </si>
  <si>
    <t>29-232-A1</t>
  </si>
  <si>
    <t>48-125-A1</t>
  </si>
  <si>
    <t>49-219-D1</t>
  </si>
  <si>
    <t>90-G5-02</t>
  </si>
  <si>
    <t>49-208-A8</t>
  </si>
  <si>
    <t>41-240-A2</t>
  </si>
  <si>
    <t>47-220-A2</t>
  </si>
  <si>
    <t>29-237-A4</t>
  </si>
  <si>
    <t>52-143-A2</t>
  </si>
  <si>
    <t>29-217-D3</t>
  </si>
  <si>
    <t>29-243-C1</t>
  </si>
  <si>
    <t>46-132-A5</t>
  </si>
  <si>
    <t>41-208-A14</t>
  </si>
  <si>
    <t>29-106-A3</t>
  </si>
  <si>
    <t>29-119-A2</t>
  </si>
  <si>
    <t>47-221-A1</t>
  </si>
  <si>
    <t>29-247-D3</t>
  </si>
  <si>
    <t>49-211-C1</t>
  </si>
  <si>
    <t>45-261-B1</t>
  </si>
  <si>
    <t>44-120-C2</t>
  </si>
  <si>
    <t>29-101-B3</t>
  </si>
  <si>
    <t>46-116-A7</t>
  </si>
  <si>
    <t>48-155-B2</t>
  </si>
  <si>
    <t>44-128-A2</t>
  </si>
  <si>
    <t>46-119-A8</t>
  </si>
  <si>
    <t>29-117-A1</t>
  </si>
  <si>
    <t>29-233-B2</t>
  </si>
  <si>
    <t>29-216-B2</t>
  </si>
  <si>
    <t>KHED-03</t>
  </si>
  <si>
    <t>42-109-C2</t>
  </si>
  <si>
    <t>29-243-D3</t>
  </si>
  <si>
    <t>29-220-B2</t>
  </si>
  <si>
    <t>90-I7-03</t>
  </si>
  <si>
    <t>44-109-A12</t>
  </si>
  <si>
    <t>42-114-B1</t>
  </si>
  <si>
    <t>47-222-A2</t>
  </si>
  <si>
    <t>52-153-A1</t>
  </si>
  <si>
    <t>40-132-C1</t>
  </si>
  <si>
    <t>47-223-A2</t>
  </si>
  <si>
    <t>12-114-C3</t>
  </si>
  <si>
    <t>43-236-C1</t>
  </si>
  <si>
    <t>29-228-B2</t>
  </si>
  <si>
    <t>29-228-C1</t>
  </si>
  <si>
    <t>44-156-A1</t>
  </si>
  <si>
    <t>44-139-C1</t>
  </si>
  <si>
    <t>29-227-D3</t>
  </si>
  <si>
    <t>29-143-A3</t>
  </si>
  <si>
    <t>52-135-A2</t>
  </si>
  <si>
    <t>41-232-C2</t>
  </si>
  <si>
    <t>45-245-A1</t>
  </si>
  <si>
    <t>41-248-C2</t>
  </si>
  <si>
    <t>46-150-C2</t>
  </si>
  <si>
    <t>47-225-A1</t>
  </si>
  <si>
    <t>46-127-A4</t>
  </si>
  <si>
    <t>46-132-A1</t>
  </si>
  <si>
    <t>43-208-A15</t>
  </si>
  <si>
    <t>50-154-B1</t>
  </si>
  <si>
    <t>48-162-B1</t>
  </si>
  <si>
    <t>46-156-A2</t>
  </si>
  <si>
    <t>47-221-C1</t>
  </si>
  <si>
    <t>48-144-D2</t>
  </si>
  <si>
    <t>DGH-11</t>
  </si>
  <si>
    <t>49-229-C1</t>
  </si>
  <si>
    <t>48-130-A2</t>
  </si>
  <si>
    <t>29-244-C2</t>
  </si>
  <si>
    <t>43-208-A2</t>
  </si>
  <si>
    <t>44-163-C1</t>
  </si>
  <si>
    <t>29-107-B4</t>
  </si>
  <si>
    <t>29-099-B1</t>
  </si>
  <si>
    <t>43-208-A9</t>
  </si>
  <si>
    <t>46-123-A1</t>
  </si>
  <si>
    <t>47-225-A2</t>
  </si>
  <si>
    <t>53-224-A1</t>
  </si>
  <si>
    <t>42-109-A8</t>
  </si>
  <si>
    <t>29-218-C2</t>
  </si>
  <si>
    <t>51-208-A1</t>
  </si>
  <si>
    <t>45-208-A9</t>
  </si>
  <si>
    <t>52-144-A2</t>
  </si>
  <si>
    <t>47-226-A1</t>
  </si>
  <si>
    <t>53-208-A7</t>
  </si>
  <si>
    <t>46-114-A12</t>
  </si>
  <si>
    <t>29-100-B3</t>
  </si>
  <si>
    <t>29-155-A1</t>
  </si>
  <si>
    <t>43-229-A2</t>
  </si>
  <si>
    <t>48-122-A1</t>
  </si>
  <si>
    <t>46-116-A1</t>
  </si>
  <si>
    <t>52-157-A2</t>
  </si>
  <si>
    <t>29-215-D2</t>
  </si>
  <si>
    <t>29-100-C2</t>
  </si>
  <si>
    <t>49-208-A4</t>
  </si>
  <si>
    <t>46-143-A12</t>
  </si>
  <si>
    <t>43-208-B2</t>
  </si>
  <si>
    <t>29-243-A2</t>
  </si>
  <si>
    <t>49-230-C2</t>
  </si>
  <si>
    <t>29-102-B2</t>
  </si>
  <si>
    <t>29-231-C3</t>
  </si>
  <si>
    <t>48-144-C1</t>
  </si>
  <si>
    <t>46-109-C1</t>
  </si>
  <si>
    <t>KHED-05</t>
  </si>
  <si>
    <t>46-141-A1</t>
  </si>
  <si>
    <t>48-161-B2</t>
  </si>
  <si>
    <t>29-244-A1</t>
  </si>
  <si>
    <t>47-262-A1</t>
  </si>
  <si>
    <t>29-104-A3</t>
  </si>
  <si>
    <t>46-161-A2</t>
  </si>
  <si>
    <t>46-114-A7</t>
  </si>
  <si>
    <t>50-115-A1</t>
  </si>
  <si>
    <t>43-208-A8</t>
  </si>
  <si>
    <t>51-222-A2</t>
  </si>
  <si>
    <t>41-247-B2</t>
  </si>
  <si>
    <t>29-143-B1</t>
  </si>
  <si>
    <t>44-113-A2</t>
  </si>
  <si>
    <t>41-223-A1</t>
  </si>
  <si>
    <t>43-208-C1</t>
  </si>
  <si>
    <t>29-211-B3</t>
  </si>
  <si>
    <t>46-127-A5</t>
  </si>
  <si>
    <t>44-159-D1</t>
  </si>
  <si>
    <t>47-226-A2</t>
  </si>
  <si>
    <t>KH1-04</t>
  </si>
  <si>
    <t>29-241-C4</t>
  </si>
  <si>
    <t>50-130-A2</t>
  </si>
  <si>
    <t>46-130-A10</t>
  </si>
  <si>
    <t>42-118-A1</t>
  </si>
  <si>
    <t>42-121-A2</t>
  </si>
  <si>
    <t>90-B5-03</t>
  </si>
  <si>
    <t>41-237-C2</t>
  </si>
  <si>
    <t>48-144-C2</t>
  </si>
  <si>
    <t>41-228-C1</t>
  </si>
  <si>
    <t>29-221-D1</t>
  </si>
  <si>
    <t>50-159-D2</t>
  </si>
  <si>
    <t>46-145-A14</t>
  </si>
  <si>
    <t>50-130-D1</t>
  </si>
  <si>
    <t>48-125-A2</t>
  </si>
  <si>
    <t>29-218-C1</t>
  </si>
  <si>
    <t>29-217-C2</t>
  </si>
  <si>
    <t>90-E2-01</t>
  </si>
  <si>
    <t>48-109-A2</t>
  </si>
  <si>
    <t>46-121-A3</t>
  </si>
  <si>
    <t>52-138-A2</t>
  </si>
  <si>
    <t>52-118-A1</t>
  </si>
  <si>
    <t>42-111-A2</t>
  </si>
  <si>
    <t>43-260-A1</t>
  </si>
  <si>
    <t>47-229-A1</t>
  </si>
  <si>
    <t>29-129-B3</t>
  </si>
  <si>
    <t>12-115-B1</t>
  </si>
  <si>
    <t>48-116-A1</t>
  </si>
  <si>
    <t>41-242-B2</t>
  </si>
  <si>
    <t>47-227-A2</t>
  </si>
  <si>
    <t>42-113-A1</t>
  </si>
  <si>
    <t>53-208-A15</t>
  </si>
  <si>
    <t>49-230-B1</t>
  </si>
  <si>
    <t>52-153-A2</t>
  </si>
  <si>
    <t>43-231-A1</t>
  </si>
  <si>
    <t>51-219-A1</t>
  </si>
  <si>
    <t>45-253-A1</t>
  </si>
  <si>
    <t>47-208-A2</t>
  </si>
  <si>
    <t>90-H6-01</t>
  </si>
  <si>
    <t>45-233-C1</t>
  </si>
  <si>
    <t>47-228-A1</t>
  </si>
  <si>
    <t>48-117-A1</t>
  </si>
  <si>
    <t>12-114-D3</t>
  </si>
  <si>
    <t>29-145-B1</t>
  </si>
  <si>
    <t>90-F1-02</t>
  </si>
  <si>
    <t>29-127-B3</t>
  </si>
  <si>
    <t>29-235-A2</t>
  </si>
  <si>
    <t>47-252-A1</t>
  </si>
  <si>
    <t>46-163-A8</t>
  </si>
  <si>
    <t>46-135-A4</t>
  </si>
  <si>
    <t>46-113-A10</t>
  </si>
  <si>
    <t>42-134-A1</t>
  </si>
  <si>
    <t>50-118-A1</t>
  </si>
  <si>
    <t>CB1-05</t>
  </si>
  <si>
    <t>50-159-C1</t>
  </si>
  <si>
    <t>29-243-C2</t>
  </si>
  <si>
    <t>46-141-A12</t>
  </si>
  <si>
    <t>12-113-A2</t>
  </si>
  <si>
    <t>60-140-A2</t>
  </si>
  <si>
    <t>47-230-A2</t>
  </si>
  <si>
    <t>43-217-C1</t>
  </si>
  <si>
    <t>43-208-A14</t>
  </si>
  <si>
    <t>12-114-C1</t>
  </si>
  <si>
    <t>29-223-C1</t>
  </si>
  <si>
    <t>12-112-D4</t>
  </si>
  <si>
    <t>51-208-C2</t>
  </si>
  <si>
    <t>42-150-C1</t>
  </si>
  <si>
    <t>29-149-B1</t>
  </si>
  <si>
    <t>47-234-A2</t>
  </si>
  <si>
    <t>29-235-B2</t>
  </si>
  <si>
    <t>52-109-A7</t>
  </si>
  <si>
    <t>29-099-C2</t>
  </si>
  <si>
    <t>50-126-A2</t>
  </si>
  <si>
    <t>29-121-A3</t>
  </si>
  <si>
    <t>47-249-A2</t>
  </si>
  <si>
    <t>46-122-A8</t>
  </si>
  <si>
    <t>42-109-D1</t>
  </si>
  <si>
    <t>42-139-A1</t>
  </si>
  <si>
    <t>29-249-A3</t>
  </si>
  <si>
    <t>12-112-D7</t>
  </si>
  <si>
    <t>48-150-C2</t>
  </si>
  <si>
    <t>46-122-A10</t>
  </si>
  <si>
    <t>49-211-A2</t>
  </si>
  <si>
    <t>47-244-A1</t>
  </si>
  <si>
    <t>41-228-B1</t>
  </si>
  <si>
    <t>52-116-A2</t>
  </si>
  <si>
    <t>43-248-A1</t>
  </si>
  <si>
    <t>47-210-C1</t>
  </si>
  <si>
    <t>12-110-C3</t>
  </si>
  <si>
    <t>49-252-A1</t>
  </si>
  <si>
    <t>51-244-A2</t>
  </si>
  <si>
    <t>12-118-E6</t>
  </si>
  <si>
    <t>46-135-A2</t>
  </si>
  <si>
    <t>46-129-A9</t>
  </si>
  <si>
    <t>29-107-A2</t>
  </si>
  <si>
    <t>42-109-A1</t>
  </si>
  <si>
    <t>90-I1-02</t>
  </si>
  <si>
    <t>49-208-A10</t>
  </si>
  <si>
    <t>46-113-A2</t>
  </si>
  <si>
    <t>12-118-D7</t>
  </si>
  <si>
    <t>90-F4-01</t>
  </si>
  <si>
    <t>46-115-A7</t>
  </si>
  <si>
    <t>41-240-B2</t>
  </si>
  <si>
    <t>49-230-A2</t>
  </si>
  <si>
    <t>51-238-A2</t>
  </si>
  <si>
    <t>29-115-A2</t>
  </si>
  <si>
    <t>50-143-D2</t>
  </si>
  <si>
    <t>48-151-A2</t>
  </si>
  <si>
    <t>29-143-A1</t>
  </si>
  <si>
    <t>45-213-A2</t>
  </si>
  <si>
    <t>48-123-A2</t>
  </si>
  <si>
    <t>43-242-A2</t>
  </si>
  <si>
    <t>46-160-B1</t>
  </si>
  <si>
    <t>49-231-A1</t>
  </si>
  <si>
    <t>49-208-A13</t>
  </si>
  <si>
    <t>46-113-A11</t>
  </si>
  <si>
    <t>49-208-B2</t>
  </si>
  <si>
    <t>12-112-E3</t>
  </si>
  <si>
    <t>CB1-09</t>
  </si>
  <si>
    <t>47-249-A1</t>
  </si>
  <si>
    <t>48-159-C1</t>
  </si>
  <si>
    <t>12-118-E7</t>
  </si>
  <si>
    <t>48-149-A1</t>
  </si>
  <si>
    <t>29-244-B1</t>
  </si>
  <si>
    <t>51-258-A1</t>
  </si>
  <si>
    <t>49-218-A2</t>
  </si>
  <si>
    <t>41-212-A1</t>
  </si>
  <si>
    <t>46-159-A2</t>
  </si>
  <si>
    <t>29-102-A4</t>
  </si>
  <si>
    <t>51-221-B1</t>
  </si>
  <si>
    <t>50-142-D2</t>
  </si>
  <si>
    <t>49-230-A1</t>
  </si>
  <si>
    <t>29-239-B2</t>
  </si>
  <si>
    <t>49-227-D2</t>
  </si>
  <si>
    <t>51-246-C2</t>
  </si>
  <si>
    <t>48-157-B1</t>
  </si>
  <si>
    <t>49-233-A1</t>
  </si>
  <si>
    <t>46-118-A7</t>
  </si>
  <si>
    <t>44-147-A2</t>
  </si>
  <si>
    <t>60-214-D2</t>
  </si>
  <si>
    <t>50-136-C3</t>
  </si>
  <si>
    <t>41-239-C2</t>
  </si>
  <si>
    <t>42-155-A2</t>
  </si>
  <si>
    <t>46-114-A5</t>
  </si>
  <si>
    <t>48-126-A1</t>
  </si>
  <si>
    <t>46-127-A11</t>
  </si>
  <si>
    <t>90-E3-03</t>
  </si>
  <si>
    <t>46-130-A9</t>
  </si>
  <si>
    <t>48-139-A2</t>
  </si>
  <si>
    <t>46-126-A5</t>
  </si>
  <si>
    <t>90-G5-01</t>
  </si>
  <si>
    <t>29-235-C1</t>
  </si>
  <si>
    <t>53-208-A2</t>
  </si>
  <si>
    <t>46-149-A1</t>
  </si>
  <si>
    <t>46-129-A8</t>
  </si>
  <si>
    <t>41-231-D2</t>
  </si>
  <si>
    <t>42-122-A1</t>
  </si>
  <si>
    <t>51-211-B2</t>
  </si>
  <si>
    <t>29-233-C1</t>
  </si>
  <si>
    <t>40-160-B2</t>
  </si>
  <si>
    <t>53-208-A6</t>
  </si>
  <si>
    <t>30-124-A1</t>
  </si>
  <si>
    <t>48-163-A1</t>
  </si>
  <si>
    <t>46-131-C1</t>
  </si>
  <si>
    <t>12-110-D8</t>
  </si>
  <si>
    <t>51-263-A2</t>
  </si>
  <si>
    <t>12-119-C1</t>
  </si>
  <si>
    <t>90-I5-03</t>
  </si>
  <si>
    <t>43-235-A1</t>
  </si>
  <si>
    <t>45-213-A1</t>
  </si>
  <si>
    <t>90-F1-03</t>
  </si>
  <si>
    <t>48-143-A1</t>
  </si>
  <si>
    <t>29-147-A2</t>
  </si>
  <si>
    <t>46-163-A6</t>
  </si>
  <si>
    <t>48-145-A1</t>
  </si>
  <si>
    <t>49-224-A1</t>
  </si>
  <si>
    <t>46-145-A6</t>
  </si>
  <si>
    <t>90-C1-03</t>
  </si>
  <si>
    <t>29-215-C3</t>
  </si>
  <si>
    <t>42-128-A2</t>
  </si>
  <si>
    <t>01F-PURPLE-90</t>
  </si>
  <si>
    <t>49-208-A16</t>
  </si>
  <si>
    <t>90-H5-01</t>
  </si>
  <si>
    <t>90-G3-03</t>
  </si>
  <si>
    <t>90-H3-02</t>
  </si>
  <si>
    <t>29-221-D2</t>
  </si>
  <si>
    <t>41-211-B2</t>
  </si>
  <si>
    <t>29-238-B2</t>
  </si>
  <si>
    <t>52-127-A1</t>
  </si>
  <si>
    <t>49-208-B1</t>
  </si>
  <si>
    <t>53-248-A1</t>
  </si>
  <si>
    <t>46-112-C1</t>
  </si>
  <si>
    <t>46-134-A7</t>
  </si>
  <si>
    <t>51-257-A2</t>
  </si>
  <si>
    <t>46-155-A7</t>
  </si>
  <si>
    <t>46-148-A1</t>
  </si>
  <si>
    <t>41-224-B1</t>
  </si>
  <si>
    <t>44-122-C1</t>
  </si>
  <si>
    <t>51-239-A2</t>
  </si>
  <si>
    <t>46-143-A1</t>
  </si>
  <si>
    <t>51-224-C1</t>
  </si>
  <si>
    <t>29-219-A1</t>
  </si>
  <si>
    <t>46-113-A12</t>
  </si>
  <si>
    <t>29-243-B2</t>
  </si>
  <si>
    <t>50-109-A8</t>
  </si>
  <si>
    <t>46-149-A14</t>
  </si>
  <si>
    <t>29-213-A4</t>
  </si>
  <si>
    <t>29-223-B1</t>
  </si>
  <si>
    <t>43-250-A2</t>
  </si>
  <si>
    <t>44-158-B1</t>
  </si>
  <si>
    <t>29-137-A2</t>
  </si>
  <si>
    <t>49-223-A2</t>
  </si>
  <si>
    <t>29-237-D1</t>
  </si>
  <si>
    <t>48-158-C1</t>
  </si>
  <si>
    <t>90-H1-02</t>
  </si>
  <si>
    <t>52-109-C2</t>
  </si>
  <si>
    <t>43-231-B2</t>
  </si>
  <si>
    <t>49-213-A1</t>
  </si>
  <si>
    <t>51-210-C1</t>
  </si>
  <si>
    <t>53-208-C1</t>
  </si>
  <si>
    <t>50-123-D2</t>
  </si>
  <si>
    <t>90-C6-01</t>
  </si>
  <si>
    <t>48-146-A2</t>
  </si>
  <si>
    <t>50-137-C1</t>
  </si>
  <si>
    <t>29-235-B1</t>
  </si>
  <si>
    <t>43-251-A2</t>
  </si>
  <si>
    <t>29-243-B3</t>
  </si>
  <si>
    <t>42-147-B2</t>
  </si>
  <si>
    <t>44-124-C1</t>
  </si>
  <si>
    <t>46-135-A10</t>
  </si>
  <si>
    <t>46-109-A10</t>
  </si>
  <si>
    <t>46-131-A4</t>
  </si>
  <si>
    <t>40-148-C1</t>
  </si>
  <si>
    <t>41-254-A1</t>
  </si>
  <si>
    <t>42-112-B2</t>
  </si>
  <si>
    <t>29-107-B2</t>
  </si>
  <si>
    <t>41-255-B1</t>
  </si>
  <si>
    <t>46-161-B2</t>
  </si>
  <si>
    <t>44-154-B1</t>
  </si>
  <si>
    <t>46-119-A3</t>
  </si>
  <si>
    <t>41-255-B2</t>
  </si>
  <si>
    <t>48-142-A2</t>
  </si>
  <si>
    <t>01D-GREEN-AM-100</t>
  </si>
  <si>
    <t>50-152-B2</t>
  </si>
  <si>
    <t>52-111-A2</t>
  </si>
  <si>
    <t>49-262-A2</t>
  </si>
  <si>
    <t>45-208-A4</t>
  </si>
  <si>
    <t>29-099-B3</t>
  </si>
  <si>
    <t>42-123-A2</t>
  </si>
  <si>
    <t>12-119-C2</t>
  </si>
  <si>
    <t>46-147-A6</t>
  </si>
  <si>
    <t>49-210-B1</t>
  </si>
  <si>
    <t>44-153-C1</t>
  </si>
  <si>
    <t>46-118-A4</t>
  </si>
  <si>
    <t>46-115-A4</t>
  </si>
  <si>
    <t>48-140-A2</t>
  </si>
  <si>
    <t>29-110-A3</t>
  </si>
  <si>
    <t>46-119-A11</t>
  </si>
  <si>
    <t>90-F5-02</t>
  </si>
  <si>
    <t>90-I4-02</t>
  </si>
  <si>
    <t>42-135-C2</t>
  </si>
  <si>
    <t>49-247-A1</t>
  </si>
  <si>
    <t>50-149-A2</t>
  </si>
  <si>
    <t>48-112-A2</t>
  </si>
  <si>
    <t>44-133-A2</t>
  </si>
  <si>
    <t>48-109-C2</t>
  </si>
  <si>
    <t>43-219-A2</t>
  </si>
  <si>
    <t>46-149-A7</t>
  </si>
  <si>
    <t>01D-GREEN-PM-60</t>
  </si>
  <si>
    <t>49-222-C2</t>
  </si>
  <si>
    <t>44-141-A2</t>
  </si>
  <si>
    <t>50-115-A2</t>
  </si>
  <si>
    <t>49-218-A1</t>
  </si>
  <si>
    <t>48-109-A11</t>
  </si>
  <si>
    <t>46-146-A2</t>
  </si>
  <si>
    <t>44-142-A1</t>
  </si>
  <si>
    <t>47-229-B1</t>
  </si>
  <si>
    <t>46-147-A13</t>
  </si>
  <si>
    <t>46-130-A11</t>
  </si>
  <si>
    <t>46-132-A8</t>
  </si>
  <si>
    <t>53-208-D1</t>
  </si>
  <si>
    <t>29-110-B2</t>
  </si>
  <si>
    <t>50-160-A1</t>
  </si>
  <si>
    <t>29-224-A2</t>
  </si>
  <si>
    <t>50-157-C2</t>
  </si>
  <si>
    <t>46-150-A1</t>
  </si>
  <si>
    <t>49-208-A2</t>
  </si>
  <si>
    <t>50-152-D2</t>
  </si>
  <si>
    <t>53-225-B2</t>
  </si>
  <si>
    <t>12-114-E4</t>
  </si>
  <si>
    <t>41-225-C2</t>
  </si>
  <si>
    <t>46-121-A1</t>
  </si>
  <si>
    <t>29-147-A1</t>
  </si>
  <si>
    <t>46-149-A12</t>
  </si>
  <si>
    <t>50-113-A1</t>
  </si>
  <si>
    <t>46-154-A1</t>
  </si>
  <si>
    <t>53-220-B1</t>
  </si>
  <si>
    <t>43-220-A2</t>
  </si>
  <si>
    <t>29-250-A1</t>
  </si>
  <si>
    <t>46-155-A2</t>
  </si>
  <si>
    <t>46-130-A1</t>
  </si>
  <si>
    <t>51-233-A1</t>
  </si>
  <si>
    <t>48-135-A2</t>
  </si>
  <si>
    <t>46-114-A4</t>
  </si>
  <si>
    <t>49-213-A2</t>
  </si>
  <si>
    <t>45-221-A2</t>
  </si>
  <si>
    <t>48-124-A2</t>
  </si>
  <si>
    <t>51-240-A1</t>
  </si>
  <si>
    <t>52-150-C2</t>
  </si>
  <si>
    <t>49-228-A2</t>
  </si>
  <si>
    <t>48-128-A2</t>
  </si>
  <si>
    <t>45-259-A1</t>
  </si>
  <si>
    <t>53-232-A2</t>
  </si>
  <si>
    <t>51-244-B2</t>
  </si>
  <si>
    <t>29-102-A2</t>
  </si>
  <si>
    <t>46-159-A6</t>
  </si>
  <si>
    <t>46-128-A12</t>
  </si>
  <si>
    <t>50-120-A1</t>
  </si>
  <si>
    <t>53-253-A1</t>
  </si>
  <si>
    <t>29-099-C4</t>
  </si>
  <si>
    <t>01B-BLUE-AM-40</t>
  </si>
  <si>
    <t>48-151-C1</t>
  </si>
  <si>
    <t>48-155-B1</t>
  </si>
  <si>
    <t>54-115-A1</t>
  </si>
  <si>
    <t>53-249-A2</t>
  </si>
  <si>
    <t>50-147-A2</t>
  </si>
  <si>
    <t>29-220-A1</t>
  </si>
  <si>
    <t>12-118-C8</t>
  </si>
  <si>
    <t>45-224-A1</t>
  </si>
  <si>
    <t>42-145-A1</t>
  </si>
  <si>
    <t>29-105-C2</t>
  </si>
  <si>
    <t>49-216-A2</t>
  </si>
  <si>
    <t>48-146-A1</t>
  </si>
  <si>
    <t>29-221-C2</t>
  </si>
  <si>
    <t>18-BULK-06</t>
  </si>
  <si>
    <t>51-232-A2</t>
  </si>
  <si>
    <t>52-135-A1</t>
  </si>
  <si>
    <t>29-243-C4</t>
  </si>
  <si>
    <t>53-247-C2</t>
  </si>
  <si>
    <t>30-117-A2</t>
  </si>
  <si>
    <t>54-163-A2</t>
  </si>
  <si>
    <t>46-140-A2</t>
  </si>
  <si>
    <t>01G-RED-120</t>
  </si>
  <si>
    <t>29-221-B3</t>
  </si>
  <si>
    <t>46-132-A4</t>
  </si>
  <si>
    <t>52-119-A2</t>
  </si>
  <si>
    <t>45-231-A1</t>
  </si>
  <si>
    <t>50-163-A1</t>
  </si>
  <si>
    <t>44-153-C2</t>
  </si>
  <si>
    <t>46-124-A3</t>
  </si>
  <si>
    <t>60-203-A1</t>
  </si>
  <si>
    <t>49-208-A5</t>
  </si>
  <si>
    <t>47-263-A1</t>
  </si>
  <si>
    <t>49-235-A2</t>
  </si>
  <si>
    <t>46-119-A5</t>
  </si>
  <si>
    <t>41-242-C2</t>
  </si>
  <si>
    <t>29-103-B2</t>
  </si>
  <si>
    <t>50-109-A11</t>
  </si>
  <si>
    <t>48-127-C2</t>
  </si>
  <si>
    <t>48-113-A2</t>
  </si>
  <si>
    <t>50-151-A1</t>
  </si>
  <si>
    <t>41-222-A2</t>
  </si>
  <si>
    <t>45-238-A1</t>
  </si>
  <si>
    <t>12-115-C2</t>
  </si>
  <si>
    <t>48-154-A1</t>
  </si>
  <si>
    <t>29-211-B2</t>
  </si>
  <si>
    <t>29-223-D2</t>
  </si>
  <si>
    <t>29-235-B4</t>
  </si>
  <si>
    <t>42-109-A3</t>
  </si>
  <si>
    <t>45-250-A1</t>
  </si>
  <si>
    <t>46-159-A14</t>
  </si>
  <si>
    <t>29-143-B2</t>
  </si>
  <si>
    <t>50-145-C1</t>
  </si>
  <si>
    <t>30-119-A2</t>
  </si>
  <si>
    <t>47-221-D2</t>
  </si>
  <si>
    <t>48-158-A2</t>
  </si>
  <si>
    <t>53-237-C1</t>
  </si>
  <si>
    <t>51-226-C1</t>
  </si>
  <si>
    <t>90-H2-02</t>
  </si>
  <si>
    <t>46-160-A2</t>
  </si>
  <si>
    <t>50-148-A1</t>
  </si>
  <si>
    <t>51-227-C2</t>
  </si>
  <si>
    <t>12-112-D5</t>
  </si>
  <si>
    <t>44-109-A13</t>
  </si>
  <si>
    <t>50-135-A1</t>
  </si>
  <si>
    <t>42-120-A2</t>
  </si>
  <si>
    <t>48-110-A2</t>
  </si>
  <si>
    <t>47-235-A1</t>
  </si>
  <si>
    <t>49-236-D1</t>
  </si>
  <si>
    <t>46-147-A2</t>
  </si>
  <si>
    <t>46-145-A7</t>
  </si>
  <si>
    <t>41-232-C1</t>
  </si>
  <si>
    <t>45-208-A10</t>
  </si>
  <si>
    <t>46-126-A9</t>
  </si>
  <si>
    <t>48-142-A1</t>
  </si>
  <si>
    <t>47-250-A1</t>
  </si>
  <si>
    <t>60-210-A1</t>
  </si>
  <si>
    <t>50-109-B1</t>
  </si>
  <si>
    <t>49-212-A2</t>
  </si>
  <si>
    <t>12-112-D3</t>
  </si>
  <si>
    <t>29-236-B1</t>
  </si>
  <si>
    <t>49-214-A2</t>
  </si>
  <si>
    <t>50-150-B1</t>
  </si>
  <si>
    <t>29-218-A2</t>
  </si>
  <si>
    <t>90-G1-02</t>
  </si>
  <si>
    <t>90-A7-01</t>
  </si>
  <si>
    <t>29-147-B3</t>
  </si>
  <si>
    <t>29-215-B4</t>
  </si>
  <si>
    <t>29-211-C1</t>
  </si>
  <si>
    <t>90-D6-01</t>
  </si>
  <si>
    <t>48-147-A2</t>
  </si>
  <si>
    <t>90-G6-03</t>
  </si>
  <si>
    <t>47-246-A2</t>
  </si>
  <si>
    <t>49-220-B2</t>
  </si>
  <si>
    <t>46-134-A12</t>
  </si>
  <si>
    <t>53-208-A1</t>
  </si>
  <si>
    <t>48-155-A2</t>
  </si>
  <si>
    <t>50-145-D2</t>
  </si>
  <si>
    <t>49-217-A1</t>
  </si>
  <si>
    <t>48-153-A1</t>
  </si>
  <si>
    <t>46-128-A5</t>
  </si>
  <si>
    <t>29-243-D4</t>
  </si>
  <si>
    <t>12-114-E6</t>
  </si>
  <si>
    <t>50-161-C2</t>
  </si>
  <si>
    <t>46-163-A2</t>
  </si>
  <si>
    <t>29-245-D2</t>
  </si>
  <si>
    <t>29-110-A2</t>
  </si>
  <si>
    <t>29-213-B4</t>
  </si>
  <si>
    <t>50-145-A2</t>
  </si>
  <si>
    <t>29-141-A1</t>
  </si>
  <si>
    <t>46-116-B2</t>
  </si>
  <si>
    <t>29-250-B2</t>
  </si>
  <si>
    <t>41-254-C2</t>
  </si>
  <si>
    <t>29-141-B1</t>
  </si>
  <si>
    <t>48-158-B2</t>
  </si>
  <si>
    <t>45-260-A2</t>
  </si>
  <si>
    <t>48-140-A1</t>
  </si>
  <si>
    <t>48-141-A1</t>
  </si>
  <si>
    <t>01C-GOLD-AM-70</t>
  </si>
  <si>
    <t>52-145-A2</t>
  </si>
  <si>
    <t>42-123-A1</t>
  </si>
  <si>
    <t>29-109-A2</t>
  </si>
  <si>
    <t>46-128-A10</t>
  </si>
  <si>
    <t>29-099-A4</t>
  </si>
  <si>
    <t>29-219-C2</t>
  </si>
  <si>
    <t>29-224-B2</t>
  </si>
  <si>
    <t>50-157-B1</t>
  </si>
  <si>
    <t>29-121-B3</t>
  </si>
  <si>
    <t>90-H7-02</t>
  </si>
  <si>
    <t>46-125-A11</t>
  </si>
  <si>
    <t>29-141-B2</t>
  </si>
  <si>
    <t>18-BULK-01</t>
  </si>
  <si>
    <t>90-J5-03</t>
  </si>
  <si>
    <t>46-124-A10</t>
  </si>
  <si>
    <t>49-227-A1</t>
  </si>
  <si>
    <t>53-255-D2</t>
  </si>
  <si>
    <t>53-224-A2</t>
  </si>
  <si>
    <t>29-133-B3</t>
  </si>
  <si>
    <t>48-131-B1</t>
  </si>
  <si>
    <t>46-158-A1</t>
  </si>
  <si>
    <t>47-229-A2</t>
  </si>
  <si>
    <t>41-252-A2</t>
  </si>
  <si>
    <t>43-253-B1</t>
  </si>
  <si>
    <t>29-237-A3</t>
  </si>
  <si>
    <t>48-114-A1</t>
  </si>
  <si>
    <t>49-219-A1</t>
  </si>
  <si>
    <t>46-111-A1</t>
  </si>
  <si>
    <t>42-147-C1</t>
  </si>
  <si>
    <t>90-C3-03</t>
  </si>
  <si>
    <t>90-J4-01</t>
  </si>
  <si>
    <t>12-114-E1</t>
  </si>
  <si>
    <t>42-109-A12</t>
  </si>
  <si>
    <t>49-226-A1</t>
  </si>
  <si>
    <t>45-256-A1</t>
  </si>
  <si>
    <t>46-116-A11</t>
  </si>
  <si>
    <t>42-129-B2</t>
  </si>
  <si>
    <t>45-236-C1</t>
  </si>
  <si>
    <t>45-244-B1</t>
  </si>
  <si>
    <t>47-260-C1</t>
  </si>
  <si>
    <t>47-257-A2</t>
  </si>
  <si>
    <t>29-100-A3</t>
  </si>
  <si>
    <t>43-208-A1</t>
  </si>
  <si>
    <t>45-255-A1</t>
  </si>
  <si>
    <t>43-263-A2</t>
  </si>
  <si>
    <t>49-234-D1</t>
  </si>
  <si>
    <t>29-231-D4</t>
  </si>
  <si>
    <t>52-131-C2</t>
  </si>
  <si>
    <t>42-111-B1</t>
  </si>
  <si>
    <t>29-239-C2</t>
  </si>
  <si>
    <t>90-H2-01</t>
  </si>
  <si>
    <t>29-231-D3</t>
  </si>
  <si>
    <t>46-122-A5</t>
  </si>
  <si>
    <t>46-132-A2</t>
  </si>
  <si>
    <t>45-240-A2</t>
  </si>
  <si>
    <t>46-141-A8</t>
  </si>
  <si>
    <t>29-106-A2</t>
  </si>
  <si>
    <t>29-239-D1</t>
  </si>
  <si>
    <t>29-249-C1</t>
  </si>
  <si>
    <t>45-249-A1</t>
  </si>
  <si>
    <t>50-145-C2</t>
  </si>
  <si>
    <t>43-208-D2</t>
  </si>
  <si>
    <t>49-254-A2</t>
  </si>
  <si>
    <t>45-241-A1</t>
  </si>
  <si>
    <t>45-250-D1</t>
  </si>
  <si>
    <t>29-099-B2</t>
  </si>
  <si>
    <t>29-245-A3</t>
  </si>
  <si>
    <t>47-231-A2</t>
  </si>
  <si>
    <t>41-247-A2</t>
  </si>
  <si>
    <t>49-217-B2</t>
  </si>
  <si>
    <t>29-139-A3</t>
  </si>
  <si>
    <t>12-111-A1</t>
  </si>
  <si>
    <t>51-219-C1</t>
  </si>
  <si>
    <t>43-260-B1</t>
  </si>
  <si>
    <t>51-259-B1</t>
  </si>
  <si>
    <t>48-150-D2</t>
  </si>
  <si>
    <t>41-219-B1</t>
  </si>
  <si>
    <t>18-BULK-04</t>
  </si>
  <si>
    <t>45-257-A1</t>
  </si>
  <si>
    <t>29-227-A1</t>
  </si>
  <si>
    <t>29-244-A2</t>
  </si>
  <si>
    <t>48-109-A6</t>
  </si>
  <si>
    <t>42-109-B1</t>
  </si>
  <si>
    <t>46-128-A2</t>
  </si>
  <si>
    <t>45-243-A1</t>
  </si>
  <si>
    <t>47-244-A2</t>
  </si>
  <si>
    <t>29-151-A1</t>
  </si>
  <si>
    <t>90-H5-03</t>
  </si>
  <si>
    <t>52-109-B2</t>
  </si>
  <si>
    <t>50-123-B2</t>
  </si>
  <si>
    <t>47-214-A2</t>
  </si>
  <si>
    <t>50-154-B2</t>
  </si>
  <si>
    <t>50-132-A2</t>
  </si>
  <si>
    <t>50-146-B2</t>
  </si>
  <si>
    <t>46-120-A12</t>
  </si>
  <si>
    <t>29-233-B1</t>
  </si>
  <si>
    <t>52-109-A3</t>
  </si>
  <si>
    <t>46-109-A6</t>
  </si>
  <si>
    <t>18-BULK-05</t>
  </si>
  <si>
    <t>50-153-A1</t>
  </si>
  <si>
    <t>29-139-A2</t>
  </si>
  <si>
    <t>80-112-B2</t>
  </si>
  <si>
    <t>80-112-C1</t>
  </si>
  <si>
    <t>80-110-B1</t>
  </si>
  <si>
    <t>50-145-A1</t>
  </si>
  <si>
    <t>41-252-B2</t>
  </si>
  <si>
    <t>48-143-A2</t>
  </si>
  <si>
    <t>46-149-A13</t>
  </si>
  <si>
    <t>46-125-A5</t>
  </si>
  <si>
    <t>45-244-A2</t>
  </si>
  <si>
    <t>90-H4-03</t>
  </si>
  <si>
    <t>50-140-D2</t>
  </si>
  <si>
    <t>40-128-C1</t>
  </si>
  <si>
    <t>90-H6-03</t>
  </si>
  <si>
    <t>50-142-B1</t>
  </si>
  <si>
    <t>29-243-D1</t>
  </si>
  <si>
    <t>49-222-B2</t>
  </si>
  <si>
    <t>12-111-B2</t>
  </si>
  <si>
    <t>12-112-C5</t>
  </si>
  <si>
    <t>47-258-A2</t>
  </si>
  <si>
    <t>48-158-A1</t>
  </si>
  <si>
    <t>41-247-C1</t>
  </si>
  <si>
    <t>47-208-C2</t>
  </si>
  <si>
    <t>46-140-B2</t>
  </si>
  <si>
    <t>29-215-A4</t>
  </si>
  <si>
    <t>53-225-B1</t>
  </si>
  <si>
    <t>48-149-A2</t>
  </si>
  <si>
    <t>41-208-B1</t>
  </si>
  <si>
    <t>43-251-A1</t>
  </si>
  <si>
    <t>KH2-11</t>
  </si>
  <si>
    <t>45-208-A13</t>
  </si>
  <si>
    <t>41-243-A1</t>
  </si>
  <si>
    <t>29-145-B2</t>
  </si>
  <si>
    <t>51-213-C2</t>
  </si>
  <si>
    <t>47-253-A2</t>
  </si>
  <si>
    <t>42-158-A1</t>
  </si>
  <si>
    <t>42-129-B1</t>
  </si>
  <si>
    <t>50-140-A1</t>
  </si>
  <si>
    <t>47-233-D1</t>
  </si>
  <si>
    <t>01H-SILVER-AM-90</t>
  </si>
  <si>
    <t>41-239-A1</t>
  </si>
  <si>
    <t>50-132-A1</t>
  </si>
  <si>
    <t>12-116-C1</t>
  </si>
  <si>
    <t>52-110-A2</t>
  </si>
  <si>
    <t>46-140-C1</t>
  </si>
  <si>
    <t>46-120-A1</t>
  </si>
  <si>
    <t>12-116-E7</t>
  </si>
  <si>
    <t>46-135-A9</t>
  </si>
  <si>
    <t>42-117-B2</t>
  </si>
  <si>
    <t>29-125-B3</t>
  </si>
  <si>
    <t>50-155-A1</t>
  </si>
  <si>
    <t>50-155-B2</t>
  </si>
  <si>
    <t>44-128-A1</t>
  </si>
  <si>
    <t>45-258-A2</t>
  </si>
  <si>
    <t>29-239-D3</t>
  </si>
  <si>
    <t>29-129-A3</t>
  </si>
  <si>
    <t>90-C2-02</t>
  </si>
  <si>
    <t>42-132-A2</t>
  </si>
  <si>
    <t>53-239-A1</t>
  </si>
  <si>
    <t>54-161-C1</t>
  </si>
  <si>
    <t>29-236-A2</t>
  </si>
  <si>
    <t>46-109-A1</t>
  </si>
  <si>
    <t>45-208-A15</t>
  </si>
  <si>
    <t>46-161-A13</t>
  </si>
  <si>
    <t>90-F3-02</t>
  </si>
  <si>
    <t>50-109-A9</t>
  </si>
  <si>
    <t>90-F5-01</t>
  </si>
  <si>
    <t>90-J1-01</t>
  </si>
  <si>
    <t>90-C4-02</t>
  </si>
  <si>
    <t>44-109-B1</t>
  </si>
  <si>
    <t>46-125-A3</t>
  </si>
  <si>
    <t>46-157-A13</t>
  </si>
  <si>
    <t>41-244-B1</t>
  </si>
  <si>
    <t>46-118-A6</t>
  </si>
  <si>
    <t>48-116-C2</t>
  </si>
  <si>
    <t>01C-GOLD-PM-20</t>
  </si>
  <si>
    <t>46-120-A4</t>
  </si>
  <si>
    <t>29-101-B4</t>
  </si>
  <si>
    <t>29-100-A4</t>
  </si>
  <si>
    <t>50-149-A1</t>
  </si>
  <si>
    <t>45-243-A2</t>
  </si>
  <si>
    <t>42-125-C1</t>
  </si>
  <si>
    <t>90-I4-03</t>
  </si>
  <si>
    <t>51-237-D3</t>
  </si>
  <si>
    <t>50-114-A2</t>
  </si>
  <si>
    <t>90-J5-01</t>
  </si>
  <si>
    <t>53-231-A2</t>
  </si>
  <si>
    <t>52-128-A2</t>
  </si>
  <si>
    <t>44-146-B2</t>
  </si>
  <si>
    <t>46-159-A12</t>
  </si>
  <si>
    <t>45-251-A1</t>
  </si>
  <si>
    <t>48-140-C1</t>
  </si>
  <si>
    <t>51-246-C1</t>
  </si>
  <si>
    <t>46-147-A12</t>
  </si>
  <si>
    <t>44-160-B1</t>
  </si>
  <si>
    <t>41-208-A6</t>
  </si>
  <si>
    <t>29-215-A1</t>
  </si>
  <si>
    <t>50-139-A2</t>
  </si>
  <si>
    <t>48-145-A2</t>
  </si>
  <si>
    <t>46-143-A7</t>
  </si>
  <si>
    <t>46-130-A3</t>
  </si>
  <si>
    <t>29-211-D1</t>
  </si>
  <si>
    <t>50-146-A1</t>
  </si>
  <si>
    <t>29-218-B1</t>
  </si>
  <si>
    <t>90-I3-02</t>
  </si>
  <si>
    <t>29-215-C2</t>
  </si>
  <si>
    <t>43-254-A2</t>
  </si>
  <si>
    <t>29-217-B3</t>
  </si>
  <si>
    <t>47-241-C2</t>
  </si>
  <si>
    <t>43-245-C2</t>
  </si>
  <si>
    <t>44-146-A2</t>
  </si>
  <si>
    <t>50-141-B1</t>
  </si>
  <si>
    <t>29-123-A3</t>
  </si>
  <si>
    <t>29-219-A2</t>
  </si>
  <si>
    <t>48-127-A1</t>
  </si>
  <si>
    <t>44-123-A1</t>
  </si>
  <si>
    <t>49-232-A2</t>
  </si>
  <si>
    <t>29-248-A1</t>
  </si>
  <si>
    <t>45-239-A2</t>
  </si>
  <si>
    <t>29-250-A2</t>
  </si>
  <si>
    <t>46-155-A1</t>
  </si>
  <si>
    <t>46-113-A5</t>
  </si>
  <si>
    <t>49-233-A2</t>
  </si>
  <si>
    <t>12-112-C2</t>
  </si>
  <si>
    <t>42-144-A2</t>
  </si>
  <si>
    <t>49-255-A1</t>
  </si>
  <si>
    <t>46-125-A7</t>
  </si>
  <si>
    <t>45-259-A2</t>
  </si>
  <si>
    <t>52-149-A1</t>
  </si>
  <si>
    <t>41-233-B1</t>
  </si>
  <si>
    <t>29-102-B3</t>
  </si>
  <si>
    <t>KH2-12</t>
  </si>
  <si>
    <t>51-208-A15</t>
  </si>
  <si>
    <t>41-235-B2</t>
  </si>
  <si>
    <t>12-110-D2</t>
  </si>
  <si>
    <t>29-110-C4</t>
  </si>
  <si>
    <t>48-142-D1</t>
  </si>
  <si>
    <t>50-141-D2</t>
  </si>
  <si>
    <t>46-118-A2</t>
  </si>
  <si>
    <t>49-255-A2</t>
  </si>
  <si>
    <t>29-224-B1</t>
  </si>
  <si>
    <t>46-117-A4</t>
  </si>
  <si>
    <t>46-116-A8</t>
  </si>
  <si>
    <t>46-153-A13</t>
  </si>
  <si>
    <t>29-236-B2</t>
  </si>
  <si>
    <t>45-220-A2</t>
  </si>
  <si>
    <t>44-109-C2</t>
  </si>
  <si>
    <t>43-217-B2</t>
  </si>
  <si>
    <t>46-132-A12</t>
  </si>
  <si>
    <t>44-147-A1</t>
  </si>
  <si>
    <t>29-235-B3</t>
  </si>
  <si>
    <t>29-101-C3</t>
  </si>
  <si>
    <t>49-218-B1</t>
  </si>
  <si>
    <t>46-135-A1</t>
  </si>
  <si>
    <t>46-144-B1</t>
  </si>
  <si>
    <t>48-156-B2</t>
  </si>
  <si>
    <t>49-218-B2</t>
  </si>
  <si>
    <t>29-235-C2</t>
  </si>
  <si>
    <t>43-253-A1</t>
  </si>
  <si>
    <t>60-210-B1</t>
  </si>
  <si>
    <t>47-208-A6</t>
  </si>
  <si>
    <t>50-158-B1</t>
  </si>
  <si>
    <t>29-153-A1</t>
  </si>
  <si>
    <t>51-262-A1</t>
  </si>
  <si>
    <t>29-219-C1</t>
  </si>
  <si>
    <t>44-159-C1</t>
  </si>
  <si>
    <t>48-155-A1</t>
  </si>
  <si>
    <t>12-118-C7</t>
  </si>
  <si>
    <t>12-114-C4</t>
  </si>
  <si>
    <t>29-101-A1</t>
  </si>
  <si>
    <t>41-208-C1</t>
  </si>
  <si>
    <t>51-227-A1</t>
  </si>
  <si>
    <t>49-256-A1</t>
  </si>
  <si>
    <t>49-211-B2</t>
  </si>
  <si>
    <t>29-107-A1</t>
  </si>
  <si>
    <t>52-131-A1</t>
  </si>
  <si>
    <t>47-229-C1</t>
  </si>
  <si>
    <t>41-241-A1</t>
  </si>
  <si>
    <t>46-113-A7</t>
  </si>
  <si>
    <t>46-125-A9</t>
  </si>
  <si>
    <t>50-151-A2</t>
  </si>
  <si>
    <t>29-226-A1</t>
  </si>
  <si>
    <t>29-235-A3</t>
  </si>
  <si>
    <t>43-248-C1</t>
  </si>
  <si>
    <t>51-208-D1</t>
  </si>
  <si>
    <t>46-127-A1</t>
  </si>
  <si>
    <t>29-233-B4</t>
  </si>
  <si>
    <t>42-109-B2</t>
  </si>
  <si>
    <t>46-132-A10</t>
  </si>
  <si>
    <t>29-153-A2</t>
  </si>
  <si>
    <t>48-160-B1</t>
  </si>
  <si>
    <t>45-208-A5</t>
  </si>
  <si>
    <t>46-125-A12</t>
  </si>
  <si>
    <t>41-208-A12</t>
  </si>
  <si>
    <t>46-138-A2</t>
  </si>
  <si>
    <t>29-227-C2</t>
  </si>
  <si>
    <t>29-117-A2</t>
  </si>
  <si>
    <t>43-226-A2</t>
  </si>
  <si>
    <t>49-216-D1</t>
  </si>
  <si>
    <t>29-240-A1</t>
  </si>
  <si>
    <t>12-110-E8</t>
  </si>
  <si>
    <t>44-155-C1</t>
  </si>
  <si>
    <t>46-157-A11</t>
  </si>
  <si>
    <t>42-110-A2</t>
  </si>
  <si>
    <t>29-225-B3</t>
  </si>
  <si>
    <t>42-159-B2</t>
  </si>
  <si>
    <t>49-226-C1</t>
  </si>
  <si>
    <t>48-133-A2</t>
  </si>
  <si>
    <t>46-139-A8</t>
  </si>
  <si>
    <t>29-133-B2</t>
  </si>
  <si>
    <t>47-208-A11</t>
  </si>
  <si>
    <t>49-210-A1</t>
  </si>
  <si>
    <t>48-153-D2</t>
  </si>
  <si>
    <t>49-256-A2</t>
  </si>
  <si>
    <t>44-142-A2</t>
  </si>
  <si>
    <t>90-E1-03</t>
  </si>
  <si>
    <t>53-225-A1</t>
  </si>
  <si>
    <t>46-115-A8</t>
  </si>
  <si>
    <t>29-225-C3</t>
  </si>
  <si>
    <t>47-259-A1</t>
  </si>
  <si>
    <t>53-237-D1</t>
  </si>
  <si>
    <t>48-143-B2</t>
  </si>
  <si>
    <t>49-249-A2</t>
  </si>
  <si>
    <t>46-110-A6</t>
  </si>
  <si>
    <t>42-151-B1</t>
  </si>
  <si>
    <t>50-139-D1</t>
  </si>
  <si>
    <t>29-234-C2</t>
  </si>
  <si>
    <t>47-218-D1</t>
  </si>
  <si>
    <t>41-250-B2</t>
  </si>
  <si>
    <t>49-239-B1</t>
  </si>
  <si>
    <t>12-117-E2</t>
  </si>
  <si>
    <t>29-247-C2</t>
  </si>
  <si>
    <t>48-149-D2</t>
  </si>
  <si>
    <t>42-134-C1</t>
  </si>
  <si>
    <t>49-216-B1</t>
  </si>
  <si>
    <t>41-229-B1</t>
  </si>
  <si>
    <t>29-107-C3</t>
  </si>
  <si>
    <t>48-161-A2</t>
  </si>
  <si>
    <t>52-146-A1</t>
  </si>
  <si>
    <t>53-261-A1</t>
  </si>
  <si>
    <t>50-138-A2</t>
  </si>
  <si>
    <t>52-124-B2</t>
  </si>
  <si>
    <t>29-245-C1</t>
  </si>
  <si>
    <t>29-237-B4</t>
  </si>
  <si>
    <t>29-217-B2</t>
  </si>
  <si>
    <t>12-116-D7</t>
  </si>
  <si>
    <t>29-223-C2</t>
  </si>
  <si>
    <t>53-240-A2</t>
  </si>
  <si>
    <t>42-149-C2</t>
  </si>
  <si>
    <t>50-110-A1</t>
  </si>
  <si>
    <t>51-232-A1</t>
  </si>
  <si>
    <t>46-130-A7</t>
  </si>
  <si>
    <t>47-256-C2</t>
  </si>
  <si>
    <t>46-110-A8</t>
  </si>
  <si>
    <t>43-246-A1</t>
  </si>
  <si>
    <t>46-124-A12</t>
  </si>
  <si>
    <t>51-230-A1</t>
  </si>
  <si>
    <t>49-229-A2</t>
  </si>
  <si>
    <t>40-156-B2</t>
  </si>
  <si>
    <t>29-249-D1</t>
  </si>
  <si>
    <t>42-133-B1</t>
  </si>
  <si>
    <t>44-109-A5</t>
  </si>
  <si>
    <t>46-133-A6</t>
  </si>
  <si>
    <t>29-115-A1</t>
  </si>
  <si>
    <t>46-143-A2</t>
  </si>
  <si>
    <t>46-152-A2</t>
  </si>
  <si>
    <t>29-223-B3</t>
  </si>
  <si>
    <t>49-240-A2</t>
  </si>
  <si>
    <t>29-105-B2</t>
  </si>
  <si>
    <t>52-109-A4</t>
  </si>
  <si>
    <t>29-105-A1</t>
  </si>
  <si>
    <t>48-159-C2</t>
  </si>
  <si>
    <t>46-130-A2</t>
  </si>
  <si>
    <t>45-246-A1</t>
  </si>
  <si>
    <t>42-109-C1</t>
  </si>
  <si>
    <t>29-228-A1</t>
  </si>
  <si>
    <t>49-226-D1</t>
  </si>
  <si>
    <t>47-208-A3</t>
  </si>
  <si>
    <t>46-112-A5</t>
  </si>
  <si>
    <t>51-234-A1</t>
  </si>
  <si>
    <t>46-133-A5</t>
  </si>
  <si>
    <t>29-111-C1</t>
  </si>
  <si>
    <t>48-109-A15</t>
  </si>
  <si>
    <t>51-208-A10</t>
  </si>
  <si>
    <t>52-138-C1</t>
  </si>
  <si>
    <t>29-242-C2</t>
  </si>
  <si>
    <t>29-106-C1</t>
  </si>
  <si>
    <t>41-245-B2</t>
  </si>
  <si>
    <t>42-129-A2</t>
  </si>
  <si>
    <t>44-163-B1</t>
  </si>
  <si>
    <t>43-228-A1</t>
  </si>
  <si>
    <t>46-131-A2</t>
  </si>
  <si>
    <t>29-219-B3</t>
  </si>
  <si>
    <t>29-232-C1</t>
  </si>
  <si>
    <t>29-230-C2</t>
  </si>
  <si>
    <t>41-247-A1</t>
  </si>
  <si>
    <t>44-131-A1</t>
  </si>
  <si>
    <t>12-112-E2</t>
  </si>
  <si>
    <t>29-102-A1</t>
  </si>
  <si>
    <t>47-256-A1</t>
  </si>
  <si>
    <t>52-141-A2</t>
  </si>
  <si>
    <t>12-112-C1</t>
  </si>
  <si>
    <t>12-112-E5</t>
  </si>
  <si>
    <t>29-244-B2</t>
  </si>
  <si>
    <t>52-109-A15</t>
  </si>
  <si>
    <t>29-231-C1</t>
  </si>
  <si>
    <t>29-243-C3</t>
  </si>
  <si>
    <t>45-231-A2</t>
  </si>
  <si>
    <t>41-208-D2</t>
  </si>
  <si>
    <t>41-208-D1</t>
  </si>
  <si>
    <t>47-238-A1</t>
  </si>
  <si>
    <t>42-109-A13</t>
  </si>
  <si>
    <t>29-227-C1</t>
  </si>
  <si>
    <t>29-113-C2</t>
  </si>
  <si>
    <t>46-114-A6</t>
  </si>
  <si>
    <t>29-213-C2</t>
  </si>
  <si>
    <t>46-111-A4</t>
  </si>
  <si>
    <t>52-156-B1</t>
  </si>
  <si>
    <t>29-145-B3</t>
  </si>
  <si>
    <t>50-143-A1</t>
  </si>
  <si>
    <t>42-145-B2</t>
  </si>
  <si>
    <t>29-111-A2</t>
  </si>
  <si>
    <t>46-128-A4</t>
  </si>
  <si>
    <t>51-208-A3</t>
  </si>
  <si>
    <t>45-232-A1</t>
  </si>
  <si>
    <t>50-159-A1</t>
  </si>
  <si>
    <t>49-253-B2</t>
  </si>
  <si>
    <t>46-130-C2</t>
  </si>
  <si>
    <t>42-134-A2</t>
  </si>
  <si>
    <t>47-216-A2</t>
  </si>
  <si>
    <t>41-262-A1</t>
  </si>
  <si>
    <t>47-250-A2</t>
  </si>
  <si>
    <t>41-255-A2</t>
  </si>
  <si>
    <t>29-242-C1</t>
  </si>
  <si>
    <t>46-112-A7</t>
  </si>
  <si>
    <t>49-215-A1</t>
  </si>
  <si>
    <t>29-249-B1</t>
  </si>
  <si>
    <t>46-112-A2</t>
  </si>
  <si>
    <t>29-224-C1</t>
  </si>
  <si>
    <t>49-224-B1</t>
  </si>
  <si>
    <t>46-117-A9</t>
  </si>
  <si>
    <t>48-163-A2</t>
  </si>
  <si>
    <t>12-114-E3</t>
  </si>
  <si>
    <t>41-246-A2</t>
  </si>
  <si>
    <t>46-116-A12</t>
  </si>
  <si>
    <t>29-155-B3</t>
  </si>
  <si>
    <t>46-122-A1</t>
  </si>
  <si>
    <t>41-227-A2</t>
  </si>
  <si>
    <t>47-247-A1</t>
  </si>
  <si>
    <t>50-128-A2</t>
  </si>
  <si>
    <t>50-130-A1</t>
  </si>
  <si>
    <t>44-149-A1</t>
  </si>
  <si>
    <t>50-147-A1</t>
  </si>
  <si>
    <t>50-158-B2</t>
  </si>
  <si>
    <t>49-219-D2</t>
  </si>
  <si>
    <t>29-233-D3</t>
  </si>
  <si>
    <t>43-253-A2</t>
  </si>
  <si>
    <t>48-148-C2</t>
  </si>
  <si>
    <t>54-125-B2</t>
  </si>
  <si>
    <t>42-162-B1</t>
  </si>
  <si>
    <t>49-258-A2</t>
  </si>
  <si>
    <t>29-227-A3</t>
  </si>
  <si>
    <t>51-208-C1</t>
  </si>
  <si>
    <t>29-099-C6</t>
  </si>
  <si>
    <t>48-147-A1</t>
  </si>
  <si>
    <t>29-219-A4</t>
  </si>
  <si>
    <t>29-216-C1</t>
  </si>
  <si>
    <t>49-228-A1</t>
  </si>
  <si>
    <t>50-130-C1</t>
  </si>
  <si>
    <t>46-114-A10</t>
  </si>
  <si>
    <t>46-129-A10</t>
  </si>
  <si>
    <t>29-101-A3</t>
  </si>
  <si>
    <t>45-249-A2</t>
  </si>
  <si>
    <t>50-140-B1</t>
  </si>
  <si>
    <t>90-I2-01</t>
  </si>
  <si>
    <t>90-I2-03</t>
  </si>
  <si>
    <t>46-112-A12</t>
  </si>
  <si>
    <t>48-152-A2</t>
  </si>
  <si>
    <t>49-255-C2</t>
  </si>
  <si>
    <t>44-116-A1</t>
  </si>
  <si>
    <t>49-211-A1</t>
  </si>
  <si>
    <t>44-114-B1</t>
  </si>
  <si>
    <t>47-252-A2</t>
  </si>
  <si>
    <t>43-231-A2</t>
  </si>
  <si>
    <t>44-149-A2</t>
  </si>
  <si>
    <t>48-150-A1</t>
  </si>
  <si>
    <t>42-109-D2</t>
  </si>
  <si>
    <t>52-142-A1</t>
  </si>
  <si>
    <t>01C-GOLD-AM-90</t>
  </si>
  <si>
    <t>90-G7-01</t>
  </si>
  <si>
    <t>Forward Pick Item</t>
  </si>
  <si>
    <t>OPEN</t>
  </si>
  <si>
    <t>Current Location</t>
  </si>
  <si>
    <t># of Locations</t>
  </si>
  <si>
    <t>New Location</t>
  </si>
  <si>
    <t>Combine 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</si>
</sst>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35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8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auto="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vertical="center" textRotation="255"/>
    </xf>
    <xf numFmtId="0" fontId="3" fillId="0" borderId="0" xfId="0" applyFont="1"/>
    <xf numFmtId="0" fontId="7" fillId="0" borderId="0" xfId="0" applyFont="1"/>
    <xf numFmtId="0" fontId="3" fillId="0" borderId="42" xfId="0" applyFont="1" applyBorder="1"/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0" fillId="0" borderId="0" xfId="0" applyAlignment="1">
      <alignment horizontal="center" vertical="center"/>
    </xf>
    <xf numFmtId="0" fontId="0" fillId="0" borderId="47" xfId="0" applyBorder="1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0" fontId="3" fillId="0" borderId="58" xfId="0" applyFont="1" applyBorder="1"/>
    <xf numFmtId="0" fontId="3" fillId="0" borderId="59" xfId="0" applyFont="1" applyBorder="1"/>
    <xf numFmtId="0" fontId="3" fillId="0" borderId="60" xfId="0" applyFont="1" applyBorder="1"/>
    <xf numFmtId="0" fontId="3" fillId="0" borderId="61" xfId="0" applyFont="1" applyBorder="1"/>
    <xf numFmtId="0" fontId="3" fillId="0" borderId="62" xfId="0" applyFont="1" applyBorder="1"/>
    <xf numFmtId="0" fontId="3" fillId="0" borderId="63" xfId="0" applyFont="1" applyBorder="1"/>
    <xf numFmtId="0" fontId="3" fillId="0" borderId="64" xfId="0" applyFont="1" applyBorder="1"/>
    <xf numFmtId="0" fontId="3" fillId="0" borderId="69" xfId="0" applyFont="1" applyBorder="1"/>
    <xf numFmtId="0" fontId="10" fillId="0" borderId="0" xfId="0" applyFont="1" applyAlignment="1">
      <alignment vertical="center"/>
    </xf>
    <xf numFmtId="0" fontId="3" fillId="0" borderId="23" xfId="0" applyFont="1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0" xfId="0" applyFont="1"/>
    <xf numFmtId="0" fontId="7" fillId="0" borderId="75" xfId="0" applyFont="1" applyBorder="1" applyAlignment="1">
      <alignment wrapText="1"/>
    </xf>
    <xf numFmtId="49" fontId="7" fillId="0" borderId="75" xfId="0" applyNumberFormat="1" applyFont="1" applyBorder="1" applyAlignment="1">
      <alignment wrapText="1"/>
    </xf>
    <xf numFmtId="0" fontId="4" fillId="0" borderId="75" xfId="0" applyFont="1" applyBorder="1" applyAlignment="1">
      <alignment horizontal="center" vertical="center" wrapText="1"/>
    </xf>
    <xf numFmtId="0" fontId="7" fillId="19" borderId="76" xfId="0" applyFont="1" applyFill="1" applyBorder="1" applyAlignment="1">
      <alignment horizontal="center" vertical="center" wrapText="1"/>
    </xf>
    <xf numFmtId="0" fontId="7" fillId="19" borderId="23" xfId="0" applyFont="1" applyFill="1" applyBorder="1" applyAlignment="1">
      <alignment horizontal="center" vertical="center" wrapText="1"/>
    </xf>
    <xf numFmtId="0" fontId="7" fillId="19" borderId="23" xfId="0" applyFont="1" applyFill="1" applyBorder="1" applyAlignment="1">
      <alignment horizontal="center" vertical="center"/>
    </xf>
    <xf numFmtId="0" fontId="7" fillId="19" borderId="75" xfId="0" applyFont="1" applyFill="1" applyBorder="1" applyAlignment="1">
      <alignment horizontal="center" vertical="center" wrapText="1"/>
    </xf>
    <xf numFmtId="1" fontId="7" fillId="19" borderId="23" xfId="0" applyNumberFormat="1" applyFont="1" applyFill="1" applyBorder="1" applyAlignment="1">
      <alignment horizontal="center" vertical="center"/>
    </xf>
    <xf numFmtId="0" fontId="7" fillId="19" borderId="77" xfId="0" applyFont="1" applyFill="1" applyBorder="1" applyAlignment="1">
      <alignment horizontal="center" vertical="center" wrapText="1"/>
    </xf>
    <xf numFmtId="0" fontId="7" fillId="19" borderId="31" xfId="0" applyFont="1" applyFill="1" applyBorder="1" applyAlignment="1">
      <alignment horizontal="center" vertical="center"/>
    </xf>
    <xf numFmtId="0" fontId="7" fillId="19" borderId="15" xfId="0" applyFont="1" applyFill="1" applyBorder="1" applyAlignment="1">
      <alignment horizontal="center" vertical="center" wrapText="1"/>
    </xf>
    <xf numFmtId="0" fontId="7" fillId="19" borderId="15" xfId="0" applyFont="1" applyFill="1" applyBorder="1" applyAlignment="1">
      <alignment horizontal="center" vertical="center"/>
    </xf>
    <xf numFmtId="0" fontId="7" fillId="19" borderId="78" xfId="0" applyFont="1" applyFill="1" applyBorder="1" applyAlignment="1">
      <alignment horizontal="center" vertical="center" wrapText="1"/>
    </xf>
    <xf numFmtId="0" fontId="7" fillId="19" borderId="26" xfId="0" applyFont="1" applyFill="1" applyBorder="1" applyAlignment="1">
      <alignment horizontal="center" vertical="center" wrapText="1"/>
    </xf>
    <xf numFmtId="1" fontId="7" fillId="19" borderId="31" xfId="0" applyNumberFormat="1" applyFont="1" applyFill="1" applyBorder="1" applyAlignment="1">
      <alignment horizontal="center" vertical="center"/>
    </xf>
    <xf numFmtId="1" fontId="7" fillId="19" borderId="15" xfId="0" applyNumberFormat="1" applyFont="1" applyFill="1" applyBorder="1" applyAlignment="1">
      <alignment horizontal="center" vertical="center"/>
    </xf>
    <xf numFmtId="0" fontId="7" fillId="19" borderId="31" xfId="0" applyFont="1" applyFill="1" applyBorder="1" applyAlignment="1">
      <alignment horizontal="center" vertical="center" wrapText="1"/>
    </xf>
    <xf numFmtId="0" fontId="7" fillId="19" borderId="79" xfId="0" applyFont="1" applyFill="1" applyBorder="1" applyAlignment="1">
      <alignment horizontal="center" vertical="center" wrapText="1"/>
    </xf>
    <xf numFmtId="1" fontId="7" fillId="19" borderId="80" xfId="0" applyNumberFormat="1" applyFont="1" applyFill="1" applyBorder="1" applyAlignment="1">
      <alignment horizontal="center" vertical="center"/>
    </xf>
    <xf numFmtId="0" fontId="7" fillId="19" borderId="81" xfId="0" applyFont="1" applyFill="1" applyBorder="1" applyAlignment="1">
      <alignment horizontal="center" vertical="center" wrapText="1"/>
    </xf>
    <xf numFmtId="1" fontId="7" fillId="19" borderId="18" xfId="0" applyNumberFormat="1" applyFont="1" applyFill="1" applyBorder="1" applyAlignment="1">
      <alignment horizontal="center" vertical="center"/>
    </xf>
    <xf numFmtId="0" fontId="7" fillId="19" borderId="82" xfId="0" applyFont="1" applyFill="1" applyBorder="1" applyAlignment="1">
      <alignment horizontal="center" vertical="center" wrapText="1"/>
    </xf>
    <xf numFmtId="0" fontId="7" fillId="19" borderId="19" xfId="0" applyFont="1" applyFill="1" applyBorder="1" applyAlignment="1">
      <alignment horizontal="center" vertical="center" wrapText="1"/>
    </xf>
    <xf numFmtId="0" fontId="7" fillId="19" borderId="19" xfId="0" applyFont="1" applyFill="1" applyBorder="1" applyAlignment="1">
      <alignment horizontal="center" vertical="center"/>
    </xf>
    <xf numFmtId="0" fontId="14" fillId="19" borderId="23" xfId="0" applyFont="1" applyFill="1" applyBorder="1" applyAlignment="1">
      <alignment horizontal="center" vertical="center" wrapText="1"/>
    </xf>
    <xf numFmtId="0" fontId="14" fillId="19" borderId="2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9" borderId="18" xfId="0" applyFont="1" applyFill="1" applyBorder="1" applyAlignment="1">
      <alignment horizontal="center" vertical="center"/>
    </xf>
    <xf numFmtId="0" fontId="7" fillId="19" borderId="83" xfId="0" applyFont="1" applyFill="1" applyBorder="1" applyAlignment="1">
      <alignment horizontal="center" vertical="center" wrapText="1"/>
    </xf>
    <xf numFmtId="0" fontId="14" fillId="19" borderId="72" xfId="0" applyFont="1" applyFill="1" applyBorder="1" applyAlignment="1">
      <alignment horizontal="center" vertical="center" wrapText="1"/>
    </xf>
    <xf numFmtId="0" fontId="0" fillId="0" borderId="23" xfId="0" applyBorder="1"/>
    <xf numFmtId="0" fontId="13" fillId="0" borderId="23" xfId="0" applyFont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/>
    </xf>
    <xf numFmtId="0" fontId="7" fillId="19" borderId="75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5" fillId="12" borderId="2" xfId="0" applyFont="1" applyFill="1" applyBorder="1" applyAlignment="1">
      <alignment horizontal="center"/>
    </xf>
    <xf numFmtId="0" fontId="3" fillId="0" borderId="8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3" fillId="0" borderId="54" xfId="0" applyFont="1" applyBorder="1"/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5" fillId="10" borderId="4" xfId="0" applyFont="1" applyFill="1" applyBorder="1"/>
    <xf numFmtId="0" fontId="5" fillId="10" borderId="5" xfId="0" applyFont="1" applyFill="1" applyBorder="1"/>
    <xf numFmtId="0" fontId="5" fillId="10" borderId="6" xfId="0" applyFont="1" applyFill="1" applyBorder="1"/>
    <xf numFmtId="0" fontId="5" fillId="12" borderId="1" xfId="0" applyFont="1" applyFill="1" applyBorder="1"/>
    <xf numFmtId="0" fontId="5" fillId="12" borderId="2" xfId="0" applyFont="1" applyFill="1" applyBorder="1"/>
    <xf numFmtId="0" fontId="5" fillId="12" borderId="35" xfId="0" applyFont="1" applyFill="1" applyBorder="1"/>
    <xf numFmtId="0" fontId="5" fillId="17" borderId="34" xfId="0" applyFont="1" applyFill="1" applyBorder="1" applyAlignment="1">
      <alignment vertical="center"/>
    </xf>
    <xf numFmtId="0" fontId="5" fillId="17" borderId="35" xfId="0" applyFont="1" applyFill="1" applyBorder="1" applyAlignment="1">
      <alignment vertical="center"/>
    </xf>
    <xf numFmtId="0" fontId="5" fillId="17" borderId="36" xfId="0" applyFont="1" applyFill="1" applyBorder="1" applyAlignment="1">
      <alignment vertical="center"/>
    </xf>
    <xf numFmtId="0" fontId="9" fillId="15" borderId="4" xfId="0" applyFont="1" applyFill="1" applyBorder="1" applyAlignment="1">
      <alignment vertical="center"/>
    </xf>
    <xf numFmtId="0" fontId="9" fillId="15" borderId="5" xfId="0" applyFont="1" applyFill="1" applyBorder="1" applyAlignment="1">
      <alignment vertical="center"/>
    </xf>
    <xf numFmtId="0" fontId="9" fillId="15" borderId="35" xfId="0" applyFont="1" applyFill="1" applyBorder="1" applyAlignment="1">
      <alignment vertical="center"/>
    </xf>
    <xf numFmtId="0" fontId="9" fillId="15" borderId="36" xfId="0" applyFont="1" applyFill="1" applyBorder="1" applyAlignment="1">
      <alignment vertical="center"/>
    </xf>
    <xf numFmtId="0" fontId="9" fillId="16" borderId="1" xfId="0" applyFont="1" applyFill="1" applyBorder="1"/>
    <xf numFmtId="0" fontId="9" fillId="16" borderId="2" xfId="0" applyFont="1" applyFill="1" applyBorder="1"/>
    <xf numFmtId="0" fontId="9" fillId="16" borderId="3" xfId="0" applyFont="1" applyFill="1" applyBorder="1"/>
    <xf numFmtId="0" fontId="5" fillId="14" borderId="4" xfId="0" applyFont="1" applyFill="1" applyBorder="1"/>
    <xf numFmtId="0" fontId="5" fillId="14" borderId="5" xfId="0" applyFont="1" applyFill="1" applyBorder="1"/>
    <xf numFmtId="0" fontId="5" fillId="14" borderId="35" xfId="0" applyFont="1" applyFill="1" applyBorder="1"/>
    <xf numFmtId="0" fontId="5" fillId="14" borderId="6" xfId="0" applyFont="1" applyFill="1" applyBorder="1"/>
    <xf numFmtId="0" fontId="5" fillId="13" borderId="35" xfId="0" applyFont="1" applyFill="1" applyBorder="1" applyAlignment="1">
      <alignment vertical="center"/>
    </xf>
    <xf numFmtId="0" fontId="5" fillId="13" borderId="2" xfId="0" applyFont="1" applyFill="1" applyBorder="1" applyAlignment="1">
      <alignment vertical="center"/>
    </xf>
    <xf numFmtId="0" fontId="5" fillId="13" borderId="3" xfId="0" applyFont="1" applyFill="1" applyBorder="1" applyAlignment="1">
      <alignment vertical="center"/>
    </xf>
    <xf numFmtId="0" fontId="9" fillId="11" borderId="34" xfId="0" applyFont="1" applyFill="1" applyBorder="1" applyAlignment="1">
      <alignment vertical="center"/>
    </xf>
    <xf numFmtId="0" fontId="9" fillId="11" borderId="35" xfId="0" applyFont="1" applyFill="1" applyBorder="1" applyAlignment="1">
      <alignment vertical="center"/>
    </xf>
    <xf numFmtId="0" fontId="9" fillId="11" borderId="5" xfId="0" applyFont="1" applyFill="1" applyBorder="1" applyAlignment="1">
      <alignment vertical="center"/>
    </xf>
    <xf numFmtId="0" fontId="9" fillId="11" borderId="6" xfId="0" applyFont="1" applyFill="1" applyBorder="1" applyAlignment="1">
      <alignment vertical="center"/>
    </xf>
    <xf numFmtId="49" fontId="7" fillId="0" borderId="75" xfId="0" applyNumberFormat="1" applyFont="1" applyBorder="1"/>
    <xf numFmtId="0" fontId="7" fillId="0" borderId="75" xfId="0" applyFont="1" applyBorder="1"/>
    <xf numFmtId="0" fontId="7" fillId="0" borderId="78" xfId="0" applyFont="1" applyBorder="1"/>
    <xf numFmtId="0" fontId="4" fillId="0" borderId="8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7" fillId="0" borderId="23" xfId="0" applyFont="1" applyBorder="1"/>
    <xf numFmtId="0" fontId="4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49" fontId="7" fillId="2" borderId="75" xfId="0" applyNumberFormat="1" applyFont="1" applyFill="1" applyBorder="1"/>
    <xf numFmtId="0" fontId="7" fillId="2" borderId="75" xfId="0" applyFont="1" applyFill="1" applyBorder="1"/>
    <xf numFmtId="0" fontId="7" fillId="2" borderId="78" xfId="0" applyFont="1" applyFill="1" applyBorder="1"/>
    <xf numFmtId="0" fontId="7" fillId="2" borderId="23" xfId="0" applyFont="1" applyFill="1" applyBorder="1"/>
    <xf numFmtId="0" fontId="7" fillId="2" borderId="23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3" xfId="0" applyFill="1" applyBorder="1"/>
    <xf numFmtId="0" fontId="7" fillId="2" borderId="15" xfId="0" applyFont="1" applyFill="1" applyBorder="1"/>
    <xf numFmtId="0" fontId="7" fillId="2" borderId="15" xfId="0" applyFont="1" applyFill="1" applyBorder="1" applyAlignment="1">
      <alignment horizontal="center" vertical="center"/>
    </xf>
    <xf numFmtId="49" fontId="7" fillId="2" borderId="76" xfId="0" applyNumberFormat="1" applyFont="1" applyFill="1" applyBorder="1"/>
    <xf numFmtId="0" fontId="7" fillId="2" borderId="76" xfId="0" applyFont="1" applyFill="1" applyBorder="1"/>
    <xf numFmtId="0" fontId="7" fillId="2" borderId="83" xfId="0" applyFont="1" applyFill="1" applyBorder="1"/>
    <xf numFmtId="0" fontId="0" fillId="2" borderId="15" xfId="0" applyFill="1" applyBorder="1" applyAlignment="1">
      <alignment horizontal="center" vertical="center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15" fillId="0" borderId="88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4" fillId="18" borderId="74" xfId="0" applyFont="1" applyFill="1" applyBorder="1" applyAlignment="1">
      <alignment horizontal="center" vertical="center" textRotation="255"/>
    </xf>
    <xf numFmtId="0" fontId="4" fillId="18" borderId="72" xfId="0" applyFont="1" applyFill="1" applyBorder="1" applyAlignment="1">
      <alignment horizontal="center" vertical="center" textRotation="255"/>
    </xf>
    <xf numFmtId="0" fontId="4" fillId="18" borderId="73" xfId="0" applyFont="1" applyFill="1" applyBorder="1" applyAlignment="1">
      <alignment horizontal="center" vertical="center" textRotation="255"/>
    </xf>
    <xf numFmtId="0" fontId="13" fillId="18" borderId="74" xfId="0" applyFont="1" applyFill="1" applyBorder="1" applyAlignment="1">
      <alignment horizontal="center" vertical="center"/>
    </xf>
    <xf numFmtId="0" fontId="13" fillId="18" borderId="72" xfId="0" applyFont="1" applyFill="1" applyBorder="1" applyAlignment="1">
      <alignment horizontal="center" vertical="center"/>
    </xf>
    <xf numFmtId="0" fontId="13" fillId="18" borderId="7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textRotation="255"/>
    </xf>
    <xf numFmtId="0" fontId="4" fillId="18" borderId="2" xfId="0" applyFont="1" applyFill="1" applyBorder="1" applyAlignment="1">
      <alignment horizontal="center" vertical="center" textRotation="255"/>
    </xf>
    <xf numFmtId="0" fontId="4" fillId="18" borderId="68" xfId="0" applyFont="1" applyFill="1" applyBorder="1" applyAlignment="1">
      <alignment horizontal="center" vertical="center" textRotation="255"/>
    </xf>
    <xf numFmtId="0" fontId="4" fillId="18" borderId="46" xfId="0" applyFont="1" applyFill="1" applyBorder="1" applyAlignment="1">
      <alignment horizontal="center" vertical="center" textRotation="255"/>
    </xf>
    <xf numFmtId="0" fontId="4" fillId="18" borderId="0" xfId="0" applyFont="1" applyFill="1" applyAlignment="1">
      <alignment horizontal="center" vertical="center" textRotation="255"/>
    </xf>
    <xf numFmtId="0" fontId="4" fillId="18" borderId="29" xfId="0" applyFont="1" applyFill="1" applyBorder="1" applyAlignment="1">
      <alignment horizontal="center" vertical="center" textRotation="255"/>
    </xf>
    <xf numFmtId="0" fontId="4" fillId="18" borderId="4" xfId="0" applyFont="1" applyFill="1" applyBorder="1" applyAlignment="1">
      <alignment horizontal="center" vertical="center" textRotation="255"/>
    </xf>
    <xf numFmtId="0" fontId="4" fillId="18" borderId="5" xfId="0" applyFont="1" applyFill="1" applyBorder="1" applyAlignment="1">
      <alignment horizontal="center" vertical="center" textRotation="255"/>
    </xf>
    <xf numFmtId="0" fontId="4" fillId="18" borderId="66" xfId="0" applyFont="1" applyFill="1" applyBorder="1" applyAlignment="1">
      <alignment horizontal="center" vertical="center" textRotation="255"/>
    </xf>
    <xf numFmtId="0" fontId="13" fillId="0" borderId="23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84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6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30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38" xfId="0" applyBorder="1" applyAlignment="1">
      <alignment horizontal="center"/>
    </xf>
    <xf numFmtId="0" fontId="13" fillId="0" borderId="6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4" fillId="18" borderId="47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 vertical="center" wrapText="1"/>
    </xf>
    <xf numFmtId="0" fontId="13" fillId="18" borderId="51" xfId="0" applyFont="1" applyFill="1" applyBorder="1" applyAlignment="1">
      <alignment horizontal="center" vertical="center"/>
    </xf>
    <xf numFmtId="0" fontId="13" fillId="18" borderId="23" xfId="0" applyFont="1" applyFill="1" applyBorder="1" applyAlignment="1">
      <alignment horizontal="center" vertical="center"/>
    </xf>
    <xf numFmtId="0" fontId="13" fillId="18" borderId="5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 textRotation="255"/>
    </xf>
    <xf numFmtId="0" fontId="4" fillId="0" borderId="46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4" fillId="0" borderId="47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 textRotation="255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7" xfId="0" applyBorder="1" applyAlignment="1">
      <alignment horizontal="center"/>
    </xf>
    <xf numFmtId="0" fontId="13" fillId="0" borderId="2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8" fillId="9" borderId="34" xfId="0" applyFont="1" applyFill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49" fontId="7" fillId="0" borderId="75" xfId="0" applyNumberFormat="1" applyFont="1" applyBorder="1" applyAlignment="1"/>
    <xf numFmtId="0" fontId="0" fillId="0" borderId="0" xfId="0" applyAlignment="1"/>
  </cellXfs>
  <cellStyles count="1">
    <cellStyle name="Normal" xfId="0" builtinId="0"/>
  </cellStyles>
  <dxfs count="552">
    <dxf>
      <fill>
        <patternFill patternType="solid">
          <fgColor rgb="FFC6E0B4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4763</xdr:colOff>
      <xdr:row>15</xdr:row>
      <xdr:rowOff>30161</xdr:rowOff>
    </xdr:from>
    <xdr:to>
      <xdr:col>9</xdr:col>
      <xdr:colOff>4763</xdr:colOff>
      <xdr:row>20</xdr:row>
      <xdr:rowOff>154780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00A2C38-B80F-4693-837E-5108A38E4239}"/>
            </a:ext>
          </a:extLst>
        </xdr:cNvPr>
        <xdr:cNvCxnSpPr/>
      </xdr:nvCxnSpPr>
      <xdr:spPr>
        <a:xfrm>
          <a:off x="1776413" y="2954336"/>
          <a:ext cx="0" cy="1086644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306386</xdr:colOff>
      <xdr:row>15</xdr:row>
      <xdr:rowOff>41275</xdr:rowOff>
    </xdr:from>
    <xdr:to>
      <xdr:col>6</xdr:col>
      <xdr:colOff>306386</xdr:colOff>
      <xdr:row>21</xdr:row>
      <xdr:rowOff>5555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1848DC6-EF9A-4F86-A7CA-89436A4828D3}"/>
            </a:ext>
          </a:extLst>
        </xdr:cNvPr>
        <xdr:cNvCxnSpPr/>
      </xdr:nvCxnSpPr>
      <xdr:spPr>
        <a:xfrm flipV="1">
          <a:off x="1106486" y="2965450"/>
          <a:ext cx="0" cy="1116805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4763</xdr:colOff>
      <xdr:row>42</xdr:row>
      <xdr:rowOff>30161</xdr:rowOff>
    </xdr:from>
    <xdr:to>
      <xdr:col>9</xdr:col>
      <xdr:colOff>4763</xdr:colOff>
      <xdr:row>47</xdr:row>
      <xdr:rowOff>154780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FF86B72-98BC-43A7-9165-696A253E41BB}"/>
            </a:ext>
          </a:extLst>
        </xdr:cNvPr>
        <xdr:cNvCxnSpPr/>
      </xdr:nvCxnSpPr>
      <xdr:spPr>
        <a:xfrm>
          <a:off x="1776413" y="8202611"/>
          <a:ext cx="0" cy="1077119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306386</xdr:colOff>
      <xdr:row>42</xdr:row>
      <xdr:rowOff>41275</xdr:rowOff>
    </xdr:from>
    <xdr:to>
      <xdr:col>6</xdr:col>
      <xdr:colOff>306386</xdr:colOff>
      <xdr:row>48</xdr:row>
      <xdr:rowOff>5555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38F9B51-97FA-46FE-BDE4-02563ADCAF54}"/>
            </a:ext>
          </a:extLst>
        </xdr:cNvPr>
        <xdr:cNvCxnSpPr/>
      </xdr:nvCxnSpPr>
      <xdr:spPr>
        <a:xfrm flipV="1">
          <a:off x="1106486" y="8213725"/>
          <a:ext cx="0" cy="1107280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4763</xdr:colOff>
      <xdr:row>15</xdr:row>
      <xdr:rowOff>30161</xdr:rowOff>
    </xdr:from>
    <xdr:to>
      <xdr:col>9</xdr:col>
      <xdr:colOff>4763</xdr:colOff>
      <xdr:row>20</xdr:row>
      <xdr:rowOff>154780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9A0BEEE-AFF4-459F-BD82-7B1472405C31}"/>
            </a:ext>
          </a:extLst>
        </xdr:cNvPr>
        <xdr:cNvCxnSpPr/>
      </xdr:nvCxnSpPr>
      <xdr:spPr>
        <a:xfrm>
          <a:off x="1776413" y="2954336"/>
          <a:ext cx="0" cy="1086644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306386</xdr:colOff>
      <xdr:row>15</xdr:row>
      <xdr:rowOff>41275</xdr:rowOff>
    </xdr:from>
    <xdr:to>
      <xdr:col>6</xdr:col>
      <xdr:colOff>306386</xdr:colOff>
      <xdr:row>21</xdr:row>
      <xdr:rowOff>5555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6759C0F-6BF7-4996-8B1B-3A1CF57FC917}"/>
            </a:ext>
          </a:extLst>
        </xdr:cNvPr>
        <xdr:cNvCxnSpPr/>
      </xdr:nvCxnSpPr>
      <xdr:spPr>
        <a:xfrm flipV="1">
          <a:off x="1106486" y="2965450"/>
          <a:ext cx="0" cy="1116805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4763</xdr:colOff>
      <xdr:row>15</xdr:row>
      <xdr:rowOff>30161</xdr:rowOff>
    </xdr:from>
    <xdr:to>
      <xdr:col>127</xdr:col>
      <xdr:colOff>4763</xdr:colOff>
      <xdr:row>20</xdr:row>
      <xdr:rowOff>154780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EAB4CA0-A42C-4E56-B82D-235CF529D1B8}"/>
            </a:ext>
          </a:extLst>
        </xdr:cNvPr>
        <xdr:cNvCxnSpPr/>
      </xdr:nvCxnSpPr>
      <xdr:spPr>
        <a:xfrm>
          <a:off x="30389513" y="2954336"/>
          <a:ext cx="0" cy="1086644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306386</xdr:colOff>
      <xdr:row>15</xdr:row>
      <xdr:rowOff>41275</xdr:rowOff>
    </xdr:from>
    <xdr:to>
      <xdr:col>124</xdr:col>
      <xdr:colOff>306386</xdr:colOff>
      <xdr:row>21</xdr:row>
      <xdr:rowOff>5555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C9C946D-CEC2-4D36-B0A2-6BBC7371D843}"/>
            </a:ext>
          </a:extLst>
        </xdr:cNvPr>
        <xdr:cNvCxnSpPr/>
      </xdr:nvCxnSpPr>
      <xdr:spPr>
        <a:xfrm flipV="1">
          <a:off x="29776736" y="2965450"/>
          <a:ext cx="0" cy="1116805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4763</xdr:colOff>
      <xdr:row>42</xdr:row>
      <xdr:rowOff>30161</xdr:rowOff>
    </xdr:from>
    <xdr:to>
      <xdr:col>9</xdr:col>
      <xdr:colOff>4763</xdr:colOff>
      <xdr:row>47</xdr:row>
      <xdr:rowOff>154780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4536B30-15D7-4FFD-86C0-52DBBAED7BE7}"/>
            </a:ext>
          </a:extLst>
        </xdr:cNvPr>
        <xdr:cNvCxnSpPr/>
      </xdr:nvCxnSpPr>
      <xdr:spPr>
        <a:xfrm>
          <a:off x="1776413" y="8202611"/>
          <a:ext cx="0" cy="1077119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306386</xdr:colOff>
      <xdr:row>42</xdr:row>
      <xdr:rowOff>41275</xdr:rowOff>
    </xdr:from>
    <xdr:to>
      <xdr:col>6</xdr:col>
      <xdr:colOff>306386</xdr:colOff>
      <xdr:row>48</xdr:row>
      <xdr:rowOff>5555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465C138-F86C-47E5-9B02-7F30073EF4E9}"/>
            </a:ext>
          </a:extLst>
        </xdr:cNvPr>
        <xdr:cNvCxnSpPr/>
      </xdr:nvCxnSpPr>
      <xdr:spPr>
        <a:xfrm flipV="1">
          <a:off x="1106486" y="8213725"/>
          <a:ext cx="0" cy="1107280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4763</xdr:colOff>
      <xdr:row>42</xdr:row>
      <xdr:rowOff>30161</xdr:rowOff>
    </xdr:from>
    <xdr:to>
      <xdr:col>127</xdr:col>
      <xdr:colOff>4763</xdr:colOff>
      <xdr:row>47</xdr:row>
      <xdr:rowOff>154780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2573B63-93B7-4E35-BA5A-11692BF47F92}"/>
            </a:ext>
          </a:extLst>
        </xdr:cNvPr>
        <xdr:cNvCxnSpPr/>
      </xdr:nvCxnSpPr>
      <xdr:spPr>
        <a:xfrm>
          <a:off x="30694313" y="8202611"/>
          <a:ext cx="0" cy="1077119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306386</xdr:colOff>
      <xdr:row>42</xdr:row>
      <xdr:rowOff>41275</xdr:rowOff>
    </xdr:from>
    <xdr:to>
      <xdr:col>124</xdr:col>
      <xdr:colOff>306386</xdr:colOff>
      <xdr:row>48</xdr:row>
      <xdr:rowOff>5555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3A54E42-EDAB-416B-9EF4-F3C01E2DB1A3}"/>
            </a:ext>
          </a:extLst>
        </xdr:cNvPr>
        <xdr:cNvCxnSpPr/>
      </xdr:nvCxnSpPr>
      <xdr:spPr>
        <a:xfrm flipV="1">
          <a:off x="30081536" y="8213725"/>
          <a:ext cx="0" cy="1107280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69850</xdr:rowOff>
    </xdr:from>
    <xdr:to>
      <xdr:col>109</xdr:col>
      <xdr:colOff>241300</xdr:colOff>
      <xdr:row>13</xdr:row>
      <xdr:rowOff>84818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878B25F-F759-43E2-9759-F9445D6C2BB6}"/>
            </a:ext>
          </a:extLst>
        </xdr:cNvPr>
        <xdr:cNvCxnSpPr/>
      </xdr:nvCxnSpPr>
      <xdr:spPr>
        <a:xfrm flipV="1">
          <a:off x="1771650" y="2593975"/>
          <a:ext cx="27940000" cy="149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40</xdr:row>
      <xdr:rowOff>95250</xdr:rowOff>
    </xdr:from>
    <xdr:to>
      <xdr:col>110</xdr:col>
      <xdr:colOff>275167</xdr:colOff>
      <xdr:row>40</xdr:row>
      <xdr:rowOff>95250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D43602F-7A6C-427E-A835-031CBFF6F624}"/>
            </a:ext>
          </a:extLst>
        </xdr:cNvPr>
        <xdr:cNvCxnSpPr/>
      </xdr:nvCxnSpPr>
      <xdr:spPr>
        <a:xfrm flipH="1">
          <a:off x="2057400" y="7867650"/>
          <a:ext cx="2829771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4763</xdr:colOff>
      <xdr:row>15</xdr:row>
      <xdr:rowOff>30161</xdr:rowOff>
    </xdr:from>
    <xdr:to>
      <xdr:col>8</xdr:col>
      <xdr:colOff>4763</xdr:colOff>
      <xdr:row>20</xdr:row>
      <xdr:rowOff>154780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A20CFDB-B449-454F-8522-BB28FE5A3E82}"/>
            </a:ext>
          </a:extLst>
        </xdr:cNvPr>
        <xdr:cNvCxnSpPr/>
      </xdr:nvCxnSpPr>
      <xdr:spPr>
        <a:xfrm>
          <a:off x="2138363" y="2963861"/>
          <a:ext cx="0" cy="1086644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496886</xdr:colOff>
      <xdr:row>15</xdr:row>
      <xdr:rowOff>41275</xdr:rowOff>
    </xdr:from>
    <xdr:to>
      <xdr:col>5</xdr:col>
      <xdr:colOff>496886</xdr:colOff>
      <xdr:row>21</xdr:row>
      <xdr:rowOff>5555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A0A37D7-88CB-4C84-BE83-4B85AEE5310F}"/>
            </a:ext>
          </a:extLst>
        </xdr:cNvPr>
        <xdr:cNvCxnSpPr/>
      </xdr:nvCxnSpPr>
      <xdr:spPr>
        <a:xfrm flipV="1">
          <a:off x="1491719" y="2983442"/>
          <a:ext cx="0" cy="1117863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42</xdr:row>
      <xdr:rowOff>30161</xdr:rowOff>
    </xdr:from>
    <xdr:to>
      <xdr:col>8</xdr:col>
      <xdr:colOff>4763</xdr:colOff>
      <xdr:row>47</xdr:row>
      <xdr:rowOff>154780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090739B-8454-4FA5-A3DA-42DD9BB42844}"/>
            </a:ext>
          </a:extLst>
        </xdr:cNvPr>
        <xdr:cNvCxnSpPr/>
      </xdr:nvCxnSpPr>
      <xdr:spPr>
        <a:xfrm>
          <a:off x="2138363" y="8212136"/>
          <a:ext cx="0" cy="1077119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475719</xdr:colOff>
      <xdr:row>42</xdr:row>
      <xdr:rowOff>41275</xdr:rowOff>
    </xdr:from>
    <xdr:to>
      <xdr:col>5</xdr:col>
      <xdr:colOff>475719</xdr:colOff>
      <xdr:row>48</xdr:row>
      <xdr:rowOff>5555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19F47BE-351D-47D0-A177-ECA6FC8B05BC}"/>
            </a:ext>
          </a:extLst>
        </xdr:cNvPr>
        <xdr:cNvCxnSpPr/>
      </xdr:nvCxnSpPr>
      <xdr:spPr>
        <a:xfrm flipV="1">
          <a:off x="1470552" y="8243358"/>
          <a:ext cx="0" cy="1107280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406928</xdr:colOff>
      <xdr:row>42</xdr:row>
      <xdr:rowOff>40744</xdr:rowOff>
    </xdr:from>
    <xdr:to>
      <xdr:col>125</xdr:col>
      <xdr:colOff>406928</xdr:colOff>
      <xdr:row>47</xdr:row>
      <xdr:rowOff>165363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9A2569F-D0CD-46DC-A649-053AF0BB1546}"/>
            </a:ext>
          </a:extLst>
        </xdr:cNvPr>
        <xdr:cNvCxnSpPr/>
      </xdr:nvCxnSpPr>
      <xdr:spPr>
        <a:xfrm>
          <a:off x="47164095" y="8242827"/>
          <a:ext cx="0" cy="1077119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496886</xdr:colOff>
      <xdr:row>42</xdr:row>
      <xdr:rowOff>73025</xdr:rowOff>
    </xdr:from>
    <xdr:to>
      <xdr:col>123</xdr:col>
      <xdr:colOff>496886</xdr:colOff>
      <xdr:row>48</xdr:row>
      <xdr:rowOff>37305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D1298FF-2500-45A6-9417-CF6E9F40AC13}"/>
            </a:ext>
          </a:extLst>
        </xdr:cNvPr>
        <xdr:cNvCxnSpPr/>
      </xdr:nvCxnSpPr>
      <xdr:spPr>
        <a:xfrm flipV="1">
          <a:off x="46259219" y="8275108"/>
          <a:ext cx="0" cy="1107280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4763</xdr:colOff>
      <xdr:row>15</xdr:row>
      <xdr:rowOff>30161</xdr:rowOff>
    </xdr:from>
    <xdr:to>
      <xdr:col>126</xdr:col>
      <xdr:colOff>4763</xdr:colOff>
      <xdr:row>20</xdr:row>
      <xdr:rowOff>154780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DEC3399-BA73-478C-AF91-C7D4CD80B601}"/>
            </a:ext>
          </a:extLst>
        </xdr:cNvPr>
        <xdr:cNvCxnSpPr/>
      </xdr:nvCxnSpPr>
      <xdr:spPr>
        <a:xfrm>
          <a:off x="48753713" y="3001961"/>
          <a:ext cx="0" cy="1086644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306386</xdr:colOff>
      <xdr:row>15</xdr:row>
      <xdr:rowOff>41275</xdr:rowOff>
    </xdr:from>
    <xdr:to>
      <xdr:col>123</xdr:col>
      <xdr:colOff>306386</xdr:colOff>
      <xdr:row>21</xdr:row>
      <xdr:rowOff>5555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68FAC3B-BDFD-4114-9779-4DD8C6FB2F3C}"/>
            </a:ext>
          </a:extLst>
        </xdr:cNvPr>
        <xdr:cNvCxnSpPr/>
      </xdr:nvCxnSpPr>
      <xdr:spPr>
        <a:xfrm flipV="1">
          <a:off x="47340836" y="3013075"/>
          <a:ext cx="0" cy="1116805"/>
        </a:xfrm>
        <a:prstGeom prst="straightConnector1">
          <a:avLst/>
        </a:prstGeom>
        <a:ln>
          <a:solidFill>
            <a:schemeClr val="accent1"/>
          </a:solidFill>
          <a:tailEnd type="triangle"/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6690\Downloads\wms_iv_f%20(37).xls" TargetMode="External"/><Relationship Id="rId1" Type="http://schemas.openxmlformats.org/officeDocument/2006/relationships/externalLinkPath" Target="/Users/106690/Downloads/wms_iv_f%20(37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6690\Downloads\wms_lc_f%20(9).xls" TargetMode="External"/><Relationship Id="rId1" Type="http://schemas.openxmlformats.org/officeDocument/2006/relationships/externalLinkPath" Target="/Users/106690/Downloads/wms_lc_f%20(9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6690\Downloads\wms_iv_f%20(34).xls" TargetMode="External"/><Relationship Id="rId1" Type="http://schemas.openxmlformats.org/officeDocument/2006/relationships/externalLinkPath" Target="/Users/106690/Downloads/wms_iv_f%20(3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ms_iv_f"/>
    </sheetNames>
    <sheetDataSet>
      <sheetData sheetId="0">
        <row r="1">
          <cell r="A1" t="str">
            <v>Item</v>
          </cell>
          <cell r="B1" t="str">
            <v>Mfg Item</v>
          </cell>
          <cell r="C1" t="str">
            <v>Description 1</v>
          </cell>
          <cell r="D1" t="str">
            <v>Actual Location</v>
          </cell>
          <cell r="E1" t="str">
            <v>Type</v>
          </cell>
        </row>
        <row r="2">
          <cell r="A2">
            <v>1360</v>
          </cell>
          <cell r="B2" t="str">
            <v>15303</v>
          </cell>
          <cell r="C2" t="str">
            <v>TAPE DRESSING 3M MCPR3IN PAPER</v>
          </cell>
          <cell r="D2" t="str">
            <v>M26-2-1B02</v>
          </cell>
          <cell r="E2" t="str">
            <v>FP</v>
          </cell>
        </row>
        <row r="3">
          <cell r="A3">
            <v>72705</v>
          </cell>
          <cell r="B3" t="str">
            <v>104025</v>
          </cell>
          <cell r="C3" t="str">
            <v>SPONGE MTRZM CONTOUR</v>
          </cell>
          <cell r="D3" t="str">
            <v>M27-2-1B02</v>
          </cell>
          <cell r="E3" t="str">
            <v>FP</v>
          </cell>
        </row>
        <row r="4">
          <cell r="A4">
            <v>64024</v>
          </cell>
          <cell r="B4" t="str">
            <v>544230</v>
          </cell>
          <cell r="C4" t="str">
            <v>CLIP MED LG INTNL HEM-O-LOK PO</v>
          </cell>
          <cell r="D4" t="str">
            <v>M27-2-1C04</v>
          </cell>
          <cell r="E4" t="str">
            <v>FP</v>
          </cell>
        </row>
        <row r="5">
          <cell r="A5">
            <v>61046</v>
          </cell>
          <cell r="B5" t="str">
            <v>3117</v>
          </cell>
          <cell r="C5" t="str">
            <v>WIPE FTPRNTR INF NTOX HYPOALL</v>
          </cell>
          <cell r="D5" t="str">
            <v>M16-2-1B04</v>
          </cell>
          <cell r="E5" t="str">
            <v>FP</v>
          </cell>
        </row>
        <row r="6">
          <cell r="A6">
            <v>33312</v>
          </cell>
          <cell r="B6" t="str">
            <v>GR3509</v>
          </cell>
          <cell r="C6" t="str">
            <v>GUIDEWIRE VASC STD .035IN</v>
          </cell>
          <cell r="D6" t="str">
            <v>M25-2-1D10</v>
          </cell>
          <cell r="E6" t="str">
            <v>FP</v>
          </cell>
        </row>
        <row r="7">
          <cell r="A7">
            <v>116903</v>
          </cell>
          <cell r="B7" t="str">
            <v>66800276</v>
          </cell>
          <cell r="C7" t="str">
            <v>DRESSING WOUND ALVN FOAM 3X3</v>
          </cell>
          <cell r="D7" t="str">
            <v>M17-2-1C07</v>
          </cell>
          <cell r="E7" t="str">
            <v>FP</v>
          </cell>
        </row>
        <row r="8">
          <cell r="A8">
            <v>52581</v>
          </cell>
          <cell r="B8" t="str">
            <v>14202</v>
          </cell>
          <cell r="C8" t="str">
            <v>TAPE INDICATOR STR SLSR</v>
          </cell>
          <cell r="D8" t="str">
            <v>M17-2-1C09</v>
          </cell>
          <cell r="E8" t="str">
            <v>FP</v>
          </cell>
        </row>
        <row r="9">
          <cell r="A9">
            <v>9438</v>
          </cell>
          <cell r="B9" t="str">
            <v>5C4464P</v>
          </cell>
          <cell r="C9" t="str">
            <v>TUBING DIA 12FT EXTN SET APD D</v>
          </cell>
          <cell r="D9" t="str">
            <v>M15-2-1C09</v>
          </cell>
          <cell r="E9" t="str">
            <v>FP</v>
          </cell>
        </row>
        <row r="10">
          <cell r="A10">
            <v>54930</v>
          </cell>
          <cell r="B10" t="str">
            <v>2296003105</v>
          </cell>
          <cell r="C10" t="str">
            <v>BLADE SAW 18.5X9X.38MM PRCS</v>
          </cell>
          <cell r="D10" t="str">
            <v>M28-2-1E07</v>
          </cell>
          <cell r="E10" t="str">
            <v>FP</v>
          </cell>
        </row>
        <row r="11">
          <cell r="A11">
            <v>4412</v>
          </cell>
          <cell r="B11" t="str">
            <v>901504</v>
          </cell>
          <cell r="C11" t="str">
            <v>IMMOBILIZER ORTH XL SHOULDER</v>
          </cell>
          <cell r="D11" t="str">
            <v>M28-2-1C05</v>
          </cell>
          <cell r="E11" t="str">
            <v>FP</v>
          </cell>
        </row>
        <row r="12">
          <cell r="A12">
            <v>118618</v>
          </cell>
          <cell r="B12" t="str">
            <v>420674</v>
          </cell>
          <cell r="C12" t="str">
            <v>DRESSING WOUND HDRFB 4X5</v>
          </cell>
          <cell r="D12" t="str">
            <v>M18-2-1C08</v>
          </cell>
          <cell r="E12" t="str">
            <v>FP</v>
          </cell>
        </row>
        <row r="13">
          <cell r="A13">
            <v>51104</v>
          </cell>
          <cell r="B13" t="str">
            <v>M3070C</v>
          </cell>
          <cell r="C13" t="str">
            <v>SLIPPERS PAT CHLD SOCK RUB</v>
          </cell>
          <cell r="D13" t="str">
            <v>M27-2-1C03</v>
          </cell>
          <cell r="E13" t="str">
            <v>FP</v>
          </cell>
        </row>
        <row r="14">
          <cell r="A14">
            <v>118836</v>
          </cell>
          <cell r="B14" t="str">
            <v>MZ9267</v>
          </cell>
          <cell r="C14" t="str">
            <v>SET EXT IV 60IN W/MAXZERO</v>
          </cell>
          <cell r="D14" t="str">
            <v>M15-2-1C02</v>
          </cell>
          <cell r="E14" t="str">
            <v>FP</v>
          </cell>
        </row>
        <row r="15">
          <cell r="A15">
            <v>118437</v>
          </cell>
          <cell r="B15" t="str">
            <v>29900</v>
          </cell>
          <cell r="C15" t="str">
            <v>SUPPORT WRST IV ADLT 9IN</v>
          </cell>
          <cell r="D15" t="str">
            <v>M28-2-1A10</v>
          </cell>
          <cell r="E15" t="str">
            <v>FP</v>
          </cell>
        </row>
        <row r="16">
          <cell r="A16">
            <v>23533</v>
          </cell>
          <cell r="B16" t="str">
            <v>AA01</v>
          </cell>
          <cell r="C16" t="str">
            <v>CAUTERY HI TEMP FN TIP DISP</v>
          </cell>
          <cell r="D16" t="str">
            <v>M28-2-1B06</v>
          </cell>
          <cell r="E16" t="str">
            <v>FP</v>
          </cell>
        </row>
        <row r="17">
          <cell r="A17">
            <v>8541</v>
          </cell>
          <cell r="B17" t="str">
            <v>072214</v>
          </cell>
          <cell r="C17" t="str">
            <v>DRAIN INCS SIL4 CHAN .375INX10</v>
          </cell>
          <cell r="D17" t="str">
            <v>M28-2-1B10</v>
          </cell>
          <cell r="E17" t="str">
            <v>FP</v>
          </cell>
        </row>
        <row r="18">
          <cell r="A18">
            <v>23505</v>
          </cell>
          <cell r="B18" t="str">
            <v>0070440</v>
          </cell>
          <cell r="C18" t="str">
            <v>DRAIN INCS 20CMX10MM SIL FULL</v>
          </cell>
          <cell r="D18" t="str">
            <v>M28-2-1B08</v>
          </cell>
          <cell r="E18" t="str">
            <v>FP</v>
          </cell>
        </row>
        <row r="19">
          <cell r="A19">
            <v>90436</v>
          </cell>
          <cell r="B19" t="str">
            <v>7470LF</v>
          </cell>
          <cell r="C19" t="str">
            <v>STOCKING COMP XXL KN-HI</v>
          </cell>
          <cell r="D19" t="str">
            <v>M28-2-1E08</v>
          </cell>
          <cell r="E19" t="str">
            <v>FP</v>
          </cell>
        </row>
        <row r="20">
          <cell r="A20">
            <v>20673</v>
          </cell>
          <cell r="B20" t="str">
            <v>RSS601</v>
          </cell>
          <cell r="C20" t="str">
            <v>INTRODUCER SHEATH 6FR 2.5CM</v>
          </cell>
          <cell r="D20" t="str">
            <v>M15-2-1B01</v>
          </cell>
          <cell r="E20" t="str">
            <v>FP</v>
          </cell>
        </row>
        <row r="21">
          <cell r="A21">
            <v>127509</v>
          </cell>
          <cell r="B21" t="str">
            <v>498400</v>
          </cell>
          <cell r="C21" t="str">
            <v>MEPILEX BORDER POST-OP AG 4X8</v>
          </cell>
          <cell r="D21" t="str">
            <v>M27-2-1B05</v>
          </cell>
          <cell r="E21" t="str">
            <v>FP</v>
          </cell>
        </row>
        <row r="22">
          <cell r="A22">
            <v>127508</v>
          </cell>
          <cell r="B22" t="str">
            <v>498300</v>
          </cell>
          <cell r="C22" t="str">
            <v>MEPILEX BORDER POST-OP AG 4X6</v>
          </cell>
          <cell r="D22" t="str">
            <v>M17-2-1B10</v>
          </cell>
          <cell r="E22" t="str">
            <v>FP</v>
          </cell>
        </row>
        <row r="23">
          <cell r="A23">
            <v>1428</v>
          </cell>
          <cell r="B23" t="str">
            <v>8888265124</v>
          </cell>
          <cell r="C23" t="str">
            <v>TUBE NG 48IN 14FR 2 LUM ANRFLX</v>
          </cell>
          <cell r="D23" t="str">
            <v>M17-2-1B08</v>
          </cell>
          <cell r="E23" t="str">
            <v>FP</v>
          </cell>
        </row>
        <row r="24">
          <cell r="A24">
            <v>3710</v>
          </cell>
          <cell r="B24" t="str">
            <v>0046000</v>
          </cell>
          <cell r="C24" t="str">
            <v>FILTER NG PRV ANRFLX 80ML STRL</v>
          </cell>
          <cell r="D24" t="str">
            <v>M26-2-1D01</v>
          </cell>
          <cell r="E24" t="str">
            <v>FP</v>
          </cell>
        </row>
        <row r="25">
          <cell r="A25">
            <v>30774</v>
          </cell>
          <cell r="B25" t="str">
            <v>12010</v>
          </cell>
          <cell r="C25" t="str">
            <v>DEVICE 15IN .25IN DLP PRICRD</v>
          </cell>
          <cell r="D25" t="str">
            <v>M18-2-1C10</v>
          </cell>
          <cell r="E25" t="str">
            <v>FP</v>
          </cell>
        </row>
        <row r="26">
          <cell r="A26">
            <v>9718</v>
          </cell>
          <cell r="B26" t="str">
            <v>2008S</v>
          </cell>
          <cell r="C26" t="str">
            <v>DECANTER FLD TRANSF DEVICE</v>
          </cell>
          <cell r="D26" t="str">
            <v>M28-2-1C02</v>
          </cell>
          <cell r="E26" t="str">
            <v>FP</v>
          </cell>
        </row>
        <row r="27">
          <cell r="A27">
            <v>1158</v>
          </cell>
          <cell r="B27" t="str">
            <v>2108152000</v>
          </cell>
          <cell r="C27" t="str">
            <v>BLADE SAW 81.5X12.5X1.19MM NAR</v>
          </cell>
          <cell r="D27" t="str">
            <v>M27-2-1C09</v>
          </cell>
          <cell r="E27" t="str">
            <v>FP</v>
          </cell>
        </row>
        <row r="28">
          <cell r="A28">
            <v>1974</v>
          </cell>
          <cell r="B28" t="str">
            <v>R1541</v>
          </cell>
          <cell r="C28" t="str">
            <v>STRIP 3X.25IN STRSTRP ADH</v>
          </cell>
          <cell r="D28" t="str">
            <v>M15-2-1C07</v>
          </cell>
          <cell r="E28" t="str">
            <v>FP</v>
          </cell>
        </row>
        <row r="29">
          <cell r="A29">
            <v>9803</v>
          </cell>
          <cell r="B29" t="str">
            <v>1868</v>
          </cell>
          <cell r="C29" t="str">
            <v>CANNULA NASAL SFT CLS CELL</v>
          </cell>
          <cell r="D29" t="str">
            <v>M28-2-1C03</v>
          </cell>
          <cell r="E29" t="str">
            <v>FP</v>
          </cell>
        </row>
        <row r="30">
          <cell r="A30">
            <v>275</v>
          </cell>
          <cell r="B30" t="str">
            <v>2630</v>
          </cell>
          <cell r="C30" t="str">
            <v>PAD NURS 5IN CRTY ROUND</v>
          </cell>
          <cell r="D30" t="str">
            <v>M26-2-1C04</v>
          </cell>
          <cell r="E30" t="str">
            <v>FP</v>
          </cell>
        </row>
        <row r="31">
          <cell r="A31">
            <v>95111</v>
          </cell>
          <cell r="B31" t="str">
            <v>5C4957</v>
          </cell>
          <cell r="C31" t="str">
            <v>CLAMP DIA ULTRACLAMP PRTNL</v>
          </cell>
          <cell r="D31" t="str">
            <v>M18-2-1B10</v>
          </cell>
          <cell r="E31" t="str">
            <v>FP</v>
          </cell>
        </row>
        <row r="32">
          <cell r="A32">
            <v>120174</v>
          </cell>
          <cell r="B32" t="str">
            <v>NON256145</v>
          </cell>
          <cell r="C32" t="str">
            <v>GAUZE PACKING IODOFORM 1/4IN X</v>
          </cell>
          <cell r="D32" t="str">
            <v>M28-2-1D02</v>
          </cell>
          <cell r="E32" t="str">
            <v>FP</v>
          </cell>
        </row>
        <row r="33">
          <cell r="A33">
            <v>13892</v>
          </cell>
          <cell r="B33" t="str">
            <v>8888264929</v>
          </cell>
          <cell r="C33" t="str">
            <v>TUBE NG 48IN 12FR 2 LUM FNL</v>
          </cell>
          <cell r="D33" t="str">
            <v>M16-2-1C10</v>
          </cell>
          <cell r="E33" t="str">
            <v>FP</v>
          </cell>
        </row>
        <row r="34">
          <cell r="A34">
            <v>124557</v>
          </cell>
          <cell r="B34" t="str">
            <v>2013</v>
          </cell>
          <cell r="C34" t="str">
            <v>DRESSING ADAPTIC 3X8IN</v>
          </cell>
          <cell r="D34" t="str">
            <v>M28-2-1C10</v>
          </cell>
          <cell r="E34" t="str">
            <v>FP</v>
          </cell>
        </row>
        <row r="35">
          <cell r="A35">
            <v>35103</v>
          </cell>
          <cell r="B35" t="str">
            <v>224850</v>
          </cell>
          <cell r="C35" t="str">
            <v>ELECTRODE EKG RD DT CLOTH SLD</v>
          </cell>
          <cell r="D35" t="str">
            <v>M16-2-1C03</v>
          </cell>
          <cell r="E35" t="str">
            <v>FP</v>
          </cell>
        </row>
        <row r="36">
          <cell r="A36">
            <v>120173</v>
          </cell>
          <cell r="B36" t="str">
            <v>NON256125</v>
          </cell>
          <cell r="C36" t="str">
            <v>GAUZE PACKING IODOFORM 1/2INX</v>
          </cell>
          <cell r="D36" t="str">
            <v>M26-2-1C03</v>
          </cell>
          <cell r="E36" t="str">
            <v>FP</v>
          </cell>
        </row>
        <row r="37">
          <cell r="A37">
            <v>100826</v>
          </cell>
          <cell r="B37" t="str">
            <v>50601458431</v>
          </cell>
          <cell r="C37" t="str">
            <v>BAND YELLOW ID FALL PRV NAR</v>
          </cell>
          <cell r="D37" t="str">
            <v>M27-2-1D05</v>
          </cell>
          <cell r="E37" t="str">
            <v>FP</v>
          </cell>
        </row>
        <row r="38">
          <cell r="A38">
            <v>1620</v>
          </cell>
          <cell r="B38" t="str">
            <v>8635</v>
          </cell>
          <cell r="C38" t="str">
            <v>APPLICATOR PVP IOD ISOPRPNL 1</v>
          </cell>
          <cell r="D38" t="str">
            <v>M27-2-1C07</v>
          </cell>
          <cell r="E38" t="str">
            <v>FP</v>
          </cell>
        </row>
        <row r="39">
          <cell r="A39">
            <v>60169</v>
          </cell>
          <cell r="B39" t="str">
            <v>33118G</v>
          </cell>
          <cell r="C39" t="str">
            <v>HOOK 5MM RETRACT SHARP ELC</v>
          </cell>
          <cell r="D39" t="str">
            <v>M17-2-1C10</v>
          </cell>
          <cell r="E39" t="str">
            <v>FP</v>
          </cell>
        </row>
        <row r="40">
          <cell r="A40">
            <v>74060</v>
          </cell>
          <cell r="B40" t="str">
            <v>14100</v>
          </cell>
          <cell r="C40" t="str">
            <v>STRIP INDICATOR CHEM STRD LF</v>
          </cell>
          <cell r="D40" t="str">
            <v>M28-2-1C09</v>
          </cell>
          <cell r="E40" t="str">
            <v>FP</v>
          </cell>
        </row>
        <row r="41">
          <cell r="A41">
            <v>127244</v>
          </cell>
          <cell r="B41" t="str">
            <v>PBM10CAS</v>
          </cell>
          <cell r="C41" t="str">
            <v>SCALPEL SAFETY 10 PENBLADE</v>
          </cell>
          <cell r="D41" t="str">
            <v>M18-2-1C03</v>
          </cell>
          <cell r="E41" t="str">
            <v>FP</v>
          </cell>
        </row>
        <row r="42">
          <cell r="A42">
            <v>2693</v>
          </cell>
          <cell r="B42" t="str">
            <v>1016</v>
          </cell>
          <cell r="C42" t="str">
            <v>DRAPE 23X19IN IRR POUCH ADH</v>
          </cell>
          <cell r="D42" t="str">
            <v>M17-2-1C08</v>
          </cell>
          <cell r="E42" t="str">
            <v>FP</v>
          </cell>
        </row>
        <row r="43">
          <cell r="A43">
            <v>98212</v>
          </cell>
          <cell r="B43" t="str">
            <v>M00584040</v>
          </cell>
          <cell r="C43" t="str">
            <v>SPHINCTEROTOME 20MM 260CM</v>
          </cell>
          <cell r="D43" t="str">
            <v>M28-2-1B04</v>
          </cell>
          <cell r="E43" t="str">
            <v>FP</v>
          </cell>
        </row>
        <row r="44">
          <cell r="A44">
            <v>156659</v>
          </cell>
          <cell r="B44" t="str">
            <v>CUR251636</v>
          </cell>
          <cell r="C44" t="str">
            <v>DRESSING PETRO 36INL 6INW GAUZ</v>
          </cell>
          <cell r="D44" t="str">
            <v>M27-2-1B07</v>
          </cell>
          <cell r="E44" t="str">
            <v>FP</v>
          </cell>
        </row>
        <row r="45">
          <cell r="A45">
            <v>35582</v>
          </cell>
          <cell r="B45" t="str">
            <v>G00993</v>
          </cell>
          <cell r="C45" t="str">
            <v>DILATOR VASC 10FR 20CM STD</v>
          </cell>
          <cell r="D45" t="str">
            <v>M27-2-1C02</v>
          </cell>
          <cell r="E45" t="str">
            <v>FP</v>
          </cell>
        </row>
        <row r="46">
          <cell r="A46">
            <v>120175</v>
          </cell>
          <cell r="B46" t="str">
            <v>NON255145</v>
          </cell>
          <cell r="C46" t="str">
            <v>GAUZE PACKING PLAIN 1/4IN X 5</v>
          </cell>
          <cell r="D46" t="str">
            <v>M26-2-1C01</v>
          </cell>
          <cell r="E46" t="str">
            <v>FP</v>
          </cell>
        </row>
        <row r="47">
          <cell r="A47">
            <v>1471</v>
          </cell>
          <cell r="B47" t="str">
            <v>R1547</v>
          </cell>
          <cell r="C47" t="str">
            <v>CLOSURE SKIN STRIP 4X0.5IN</v>
          </cell>
          <cell r="D47" t="str">
            <v>M17-2-1B02</v>
          </cell>
          <cell r="E47" t="str">
            <v>FP</v>
          </cell>
        </row>
        <row r="48">
          <cell r="A48">
            <v>62296</v>
          </cell>
          <cell r="B48" t="str">
            <v>M8275051/10.S</v>
          </cell>
          <cell r="C48" t="str">
            <v>DRESSING THK3.3CM SM 10X7.5CM</v>
          </cell>
          <cell r="D48" t="str">
            <v>M18-2-1D10</v>
          </cell>
          <cell r="E48" t="str">
            <v>FP</v>
          </cell>
        </row>
        <row r="49">
          <cell r="A49">
            <v>112427</v>
          </cell>
          <cell r="B49" t="str">
            <v>6UN75H</v>
          </cell>
          <cell r="C49" t="str">
            <v>TUBE 7.5MM UNCUF NFEN INR</v>
          </cell>
          <cell r="D49" t="str">
            <v>M25-2-1C08</v>
          </cell>
          <cell r="E49" t="str">
            <v>FP</v>
          </cell>
        </row>
        <row r="50">
          <cell r="A50">
            <v>13223</v>
          </cell>
          <cell r="B50" t="str">
            <v>105LF</v>
          </cell>
          <cell r="C50" t="str">
            <v>TAPE DRESSING 5YDX.5IN ON SPL</v>
          </cell>
          <cell r="D50" t="str">
            <v>M18-2-1C04</v>
          </cell>
          <cell r="E50" t="str">
            <v>FP</v>
          </cell>
        </row>
        <row r="51">
          <cell r="A51">
            <v>31426</v>
          </cell>
          <cell r="B51" t="str">
            <v>01075</v>
          </cell>
          <cell r="C51" t="str">
            <v>MASK AERS ADLT TRACHEO SWVL</v>
          </cell>
          <cell r="D51" t="str">
            <v>M25-2-1B01</v>
          </cell>
          <cell r="E51" t="str">
            <v>FP</v>
          </cell>
        </row>
        <row r="52">
          <cell r="A52">
            <v>12007</v>
          </cell>
          <cell r="B52" t="str">
            <v>4020609</v>
          </cell>
          <cell r="C52" t="str">
            <v>FILTER TRNSF BLOOD VALVE HMTP</v>
          </cell>
          <cell r="D52" t="str">
            <v>M28-2-1A07</v>
          </cell>
          <cell r="E52" t="str">
            <v>FP</v>
          </cell>
        </row>
        <row r="53">
          <cell r="A53">
            <v>157248</v>
          </cell>
          <cell r="B53" t="str">
            <v>MDS160624</v>
          </cell>
          <cell r="C53" t="str">
            <v>STOCKING COMP SM REG KN-HI</v>
          </cell>
          <cell r="D53" t="str">
            <v>M28-2-1C07</v>
          </cell>
          <cell r="E53" t="str">
            <v>FP</v>
          </cell>
        </row>
        <row r="54">
          <cell r="A54">
            <v>101265</v>
          </cell>
          <cell r="B54" t="str">
            <v>712804</v>
          </cell>
          <cell r="C54" t="str">
            <v>BLOCK BITE 60FR RUB ADLT STRAP</v>
          </cell>
          <cell r="D54" t="str">
            <v>M18-2-1C02</v>
          </cell>
          <cell r="E54" t="str">
            <v>FP</v>
          </cell>
        </row>
        <row r="55">
          <cell r="A55">
            <v>222</v>
          </cell>
          <cell r="B55" t="str">
            <v>1030025</v>
          </cell>
          <cell r="C55" t="str">
            <v>SPLINT ORTH MED 11IN RT WR</v>
          </cell>
          <cell r="D55" t="str">
            <v>M18-2-1C01</v>
          </cell>
          <cell r="E55" t="str">
            <v>FP</v>
          </cell>
        </row>
        <row r="56">
          <cell r="A56">
            <v>127265</v>
          </cell>
          <cell r="B56" t="str">
            <v>66800836</v>
          </cell>
          <cell r="C56" t="str">
            <v>DRESSING GNTL BRDR 2INX4IN</v>
          </cell>
          <cell r="D56" t="str">
            <v>M17-2-1C01</v>
          </cell>
          <cell r="E56" t="str">
            <v>FP</v>
          </cell>
        </row>
        <row r="57">
          <cell r="A57">
            <v>116639</v>
          </cell>
          <cell r="B57" t="str">
            <v>DYND44140</v>
          </cell>
          <cell r="C57" t="str">
            <v>CLLCTR SPEC MCS TRP STRL 400CC</v>
          </cell>
          <cell r="D57" t="str">
            <v>M16-2-1C01</v>
          </cell>
          <cell r="E57" t="str">
            <v>FP</v>
          </cell>
        </row>
        <row r="58">
          <cell r="A58">
            <v>1115</v>
          </cell>
          <cell r="B58" t="str">
            <v>MDS001005</v>
          </cell>
          <cell r="C58" t="str">
            <v>SOAP CASTILE 1/3OZ</v>
          </cell>
          <cell r="D58" t="str">
            <v>M25-2-1C01</v>
          </cell>
          <cell r="E58" t="str">
            <v>FP</v>
          </cell>
        </row>
        <row r="59">
          <cell r="A59">
            <v>11489</v>
          </cell>
          <cell r="B59" t="str">
            <v>E5699</v>
          </cell>
          <cell r="C59" t="str">
            <v>PROTECTOR EYE CROUCH REMOVE</v>
          </cell>
          <cell r="D59" t="str">
            <v>M27-2-1C01</v>
          </cell>
          <cell r="E59" t="str">
            <v>FP</v>
          </cell>
        </row>
        <row r="60">
          <cell r="A60">
            <v>27576</v>
          </cell>
          <cell r="B60" t="str">
            <v>47660</v>
          </cell>
          <cell r="C60" t="str">
            <v>GLOVE SURG 6 LF BGL PI ORTH</v>
          </cell>
          <cell r="D60" t="str">
            <v>M27-2-1B03</v>
          </cell>
          <cell r="E60" t="str">
            <v>FP</v>
          </cell>
        </row>
        <row r="61">
          <cell r="A61">
            <v>131595</v>
          </cell>
          <cell r="B61" t="str">
            <v>40885</v>
          </cell>
          <cell r="C61" t="str">
            <v>GLOVE SURG LF PF 8.5</v>
          </cell>
          <cell r="D61" t="str">
            <v>M27-2-1D08</v>
          </cell>
          <cell r="E61" t="str">
            <v>FP</v>
          </cell>
        </row>
        <row r="62">
          <cell r="A62">
            <v>128901</v>
          </cell>
          <cell r="B62" t="str">
            <v>MSC6102</v>
          </cell>
          <cell r="C62" t="str">
            <v>SKINTEGRITY WOUND GEL 30/</v>
          </cell>
          <cell r="D62" t="str">
            <v>M27-2-1B01</v>
          </cell>
          <cell r="E62" t="str">
            <v>FP</v>
          </cell>
        </row>
        <row r="63">
          <cell r="A63">
            <v>88439</v>
          </cell>
          <cell r="B63" t="str">
            <v>7230V</v>
          </cell>
          <cell r="C63" t="str">
            <v>KIT MCTRDCR .018IN 4FR 40CM</v>
          </cell>
          <cell r="D63" t="str">
            <v>M25-2-1C09</v>
          </cell>
          <cell r="E63" t="str">
            <v>FP</v>
          </cell>
        </row>
        <row r="64">
          <cell r="A64">
            <v>156679</v>
          </cell>
          <cell r="B64" t="str">
            <v>CUR251318</v>
          </cell>
          <cell r="C64" t="str">
            <v>DRESSING PETRO 18IN X 3IN WIDE</v>
          </cell>
          <cell r="D64" t="str">
            <v>M16-2-1B03</v>
          </cell>
          <cell r="E64" t="str">
            <v>FP</v>
          </cell>
        </row>
        <row r="65">
          <cell r="A65">
            <v>138285</v>
          </cell>
          <cell r="B65" t="str">
            <v>422300</v>
          </cell>
          <cell r="C65" t="str">
            <v>DRESSING AQUACEL AG ADV</v>
          </cell>
          <cell r="D65" t="str">
            <v>M16-2-1B02</v>
          </cell>
          <cell r="E65" t="str">
            <v>FP</v>
          </cell>
        </row>
        <row r="66">
          <cell r="A66">
            <v>157618</v>
          </cell>
          <cell r="B66" t="str">
            <v>MDS160864</v>
          </cell>
          <cell r="C66" t="str">
            <v>STOCKING ANTI EMBOL T-L L REG</v>
          </cell>
          <cell r="D66" t="str">
            <v>M28-2-1A06</v>
          </cell>
          <cell r="E66" t="str">
            <v>FP</v>
          </cell>
        </row>
        <row r="67">
          <cell r="A67">
            <v>157507</v>
          </cell>
          <cell r="B67" t="str">
            <v>CUR253220</v>
          </cell>
          <cell r="C67" t="str">
            <v>GAUZE DRESSING 2INX2IN STERILE</v>
          </cell>
          <cell r="D67" t="str">
            <v>M28-2-1B07</v>
          </cell>
          <cell r="E67" t="str">
            <v>FP</v>
          </cell>
        </row>
        <row r="68">
          <cell r="A68">
            <v>117036</v>
          </cell>
          <cell r="B68" t="str">
            <v>509341</v>
          </cell>
          <cell r="C68" t="str">
            <v>DRESSING WOUND SLVR CNTCT 4X5</v>
          </cell>
          <cell r="D68" t="str">
            <v>M28-2-1E06</v>
          </cell>
          <cell r="E68" t="str">
            <v>FP</v>
          </cell>
        </row>
        <row r="69">
          <cell r="A69">
            <v>2948</v>
          </cell>
          <cell r="B69" t="str">
            <v>4350</v>
          </cell>
          <cell r="C69" t="str">
            <v>BARRIER ADH INTCD ABS</v>
          </cell>
          <cell r="D69" t="str">
            <v>M16-2-1C09</v>
          </cell>
          <cell r="E69" t="str">
            <v>FP</v>
          </cell>
        </row>
        <row r="70">
          <cell r="A70">
            <v>11895</v>
          </cell>
          <cell r="B70" t="str">
            <v>8610</v>
          </cell>
          <cell r="C70" t="str">
            <v>REMOVER PREP SOL DRPRP .5OZ</v>
          </cell>
          <cell r="D70" t="str">
            <v>M15-2-1C03</v>
          </cell>
          <cell r="E70" t="str">
            <v>FP</v>
          </cell>
        </row>
        <row r="71">
          <cell r="A71">
            <v>101442</v>
          </cell>
          <cell r="B71" t="str">
            <v>9052</v>
          </cell>
          <cell r="C71" t="str">
            <v>PADDING CAST 2INX4YD SOF-ROL</v>
          </cell>
          <cell r="D71" t="str">
            <v>M16-2-1C04</v>
          </cell>
          <cell r="E71" t="str">
            <v>FP</v>
          </cell>
        </row>
        <row r="72">
          <cell r="A72">
            <v>14732</v>
          </cell>
          <cell r="B72" t="str">
            <v>1085</v>
          </cell>
          <cell r="C72" t="str">
            <v>MASK AERS PED ELNG CONNECT ADJ</v>
          </cell>
          <cell r="D72" t="str">
            <v>M26-2-1C02</v>
          </cell>
          <cell r="E72" t="str">
            <v>FP</v>
          </cell>
        </row>
        <row r="73">
          <cell r="A73">
            <v>157797</v>
          </cell>
          <cell r="B73" t="str">
            <v>TPRT5284150</v>
          </cell>
          <cell r="C73" t="str">
            <v>ARMBOARD IV NEONAT 4X1.5IN</v>
          </cell>
          <cell r="D73" t="str">
            <v>M25-2-1C10</v>
          </cell>
          <cell r="E73" t="str">
            <v>FP</v>
          </cell>
        </row>
        <row r="74">
          <cell r="A74">
            <v>95801</v>
          </cell>
          <cell r="B74" t="str">
            <v>LP636</v>
          </cell>
          <cell r="C74" t="str">
            <v>POWDER BIOSEAL CVC STRL ART</v>
          </cell>
          <cell r="D74" t="str">
            <v>M17-2-1B09</v>
          </cell>
          <cell r="E74" t="str">
            <v>FP</v>
          </cell>
        </row>
        <row r="75">
          <cell r="A75">
            <v>156306</v>
          </cell>
          <cell r="B75" t="str">
            <v>M0061903200</v>
          </cell>
          <cell r="C75" t="str">
            <v>STENT URETERAL 6FR L20CM</v>
          </cell>
          <cell r="D75" t="str">
            <v>M28-2-1C06</v>
          </cell>
          <cell r="E75" t="str">
            <v>FP</v>
          </cell>
        </row>
        <row r="76">
          <cell r="A76">
            <v>2191</v>
          </cell>
          <cell r="B76" t="str">
            <v>1952</v>
          </cell>
          <cell r="C76" t="str">
            <v>CELLULOSE OXD 8X4IN ABS HEMOST</v>
          </cell>
          <cell r="D76" t="str">
            <v>M28-2-1D09</v>
          </cell>
          <cell r="E76" t="str">
            <v>FP</v>
          </cell>
        </row>
        <row r="77">
          <cell r="A77">
            <v>101249</v>
          </cell>
          <cell r="B77" t="str">
            <v>DYNJNC40F</v>
          </cell>
          <cell r="C77" t="str">
            <v>COUNTER 40 TO 70 CNT MAG LF RD</v>
          </cell>
          <cell r="D77" t="str">
            <v>M18-2-1C09</v>
          </cell>
          <cell r="E77" t="str">
            <v>FP</v>
          </cell>
        </row>
        <row r="78">
          <cell r="A78">
            <v>18603</v>
          </cell>
          <cell r="B78" t="str">
            <v>DS101414</v>
          </cell>
          <cell r="C78" t="str">
            <v>SHOE LG M PAT POSTOP SMRG</v>
          </cell>
          <cell r="D78" t="str">
            <v>M15-2-1C08</v>
          </cell>
          <cell r="E78" t="str">
            <v>FP</v>
          </cell>
        </row>
        <row r="79">
          <cell r="A79">
            <v>74241</v>
          </cell>
          <cell r="B79" t="str">
            <v>6662</v>
          </cell>
          <cell r="C79" t="str">
            <v>SPONGE 6.75X6IN SUPER ANMC</v>
          </cell>
          <cell r="D79" t="str">
            <v>M28-2-1D07</v>
          </cell>
          <cell r="E79" t="str">
            <v>FP</v>
          </cell>
        </row>
        <row r="80">
          <cell r="A80">
            <v>18396</v>
          </cell>
          <cell r="B80" t="str">
            <v>73319HEL</v>
          </cell>
          <cell r="C80" t="str">
            <v>LINE GAS SMPL SMPL LINE CAPN 1</v>
          </cell>
          <cell r="D80" t="str">
            <v>M28-2-1B05</v>
          </cell>
          <cell r="E80" t="str">
            <v>FP</v>
          </cell>
        </row>
        <row r="81">
          <cell r="A81">
            <v>78468</v>
          </cell>
          <cell r="B81" t="str">
            <v>013112001</v>
          </cell>
          <cell r="C81" t="str">
            <v>TIE LCK 1.75IN LG NYL SCR TUB</v>
          </cell>
          <cell r="D81" t="str">
            <v>M25-2-1B09</v>
          </cell>
          <cell r="E81" t="str">
            <v>FP</v>
          </cell>
        </row>
        <row r="82">
          <cell r="A82">
            <v>109245</v>
          </cell>
          <cell r="B82" t="str">
            <v>DYNJSM02</v>
          </cell>
          <cell r="C82" t="str">
            <v>MARKER SKIN W RLR AND LABEL</v>
          </cell>
          <cell r="D82" t="str">
            <v>M28-2-1C01</v>
          </cell>
          <cell r="E82" t="str">
            <v>FP</v>
          </cell>
        </row>
        <row r="83">
          <cell r="A83">
            <v>1929</v>
          </cell>
          <cell r="B83" t="str">
            <v>82003</v>
          </cell>
          <cell r="C83" t="str">
            <v>CAST WHT 4YDX3IN SCST+ FBGLS</v>
          </cell>
          <cell r="D83" t="str">
            <v>M28-2-1D08</v>
          </cell>
          <cell r="E83" t="str">
            <v>FP</v>
          </cell>
        </row>
        <row r="84">
          <cell r="A84">
            <v>82352</v>
          </cell>
          <cell r="B84" t="str">
            <v>519956</v>
          </cell>
          <cell r="C84" t="str">
            <v>DRESSING HDRCLD 4X4IN RSTR TPR</v>
          </cell>
          <cell r="D84" t="str">
            <v>M26-2-1C09</v>
          </cell>
          <cell r="E84" t="str">
            <v>FP</v>
          </cell>
        </row>
        <row r="85">
          <cell r="A85">
            <v>159002</v>
          </cell>
          <cell r="B85" t="str">
            <v>MPHBD</v>
          </cell>
          <cell r="C85" t="str">
            <v>BATTERY ALKL MEDCELL 1.5V D</v>
          </cell>
          <cell r="D85" t="str">
            <v>M26-2-1A10</v>
          </cell>
          <cell r="E85" t="str">
            <v>FP</v>
          </cell>
        </row>
        <row r="86">
          <cell r="A86">
            <v>38191</v>
          </cell>
          <cell r="B86" t="str">
            <v>32200</v>
          </cell>
          <cell r="C86" t="str">
            <v>CLEANER ELECTROSURG TIP 2X2IN</v>
          </cell>
          <cell r="D86" t="str">
            <v>M27-2-1B06</v>
          </cell>
          <cell r="E86" t="str">
            <v>FP</v>
          </cell>
        </row>
        <row r="87">
          <cell r="A87">
            <v>157041</v>
          </cell>
          <cell r="B87" t="str">
            <v>1760</v>
          </cell>
          <cell r="C87" t="str">
            <v>TEST CLNTST HCG PREG CASSETTE</v>
          </cell>
          <cell r="D87" t="str">
            <v>M26-2-1B10</v>
          </cell>
          <cell r="E87" t="str">
            <v>FP</v>
          </cell>
        </row>
        <row r="88">
          <cell r="A88">
            <v>91</v>
          </cell>
          <cell r="B88" t="str">
            <v>B10800</v>
          </cell>
          <cell r="C88" t="str">
            <v>PAD SURG PREP CHLORASWAB 70%</v>
          </cell>
          <cell r="D88" t="str">
            <v>M16-2-1C02</v>
          </cell>
          <cell r="E88" t="str">
            <v>FP</v>
          </cell>
        </row>
        <row r="89">
          <cell r="A89">
            <v>261</v>
          </cell>
          <cell r="B89" t="str">
            <v>8884433200</v>
          </cell>
          <cell r="C89" t="str">
            <v>LUBRICANT JLY VSLN STH PKT STR</v>
          </cell>
          <cell r="D89" t="str">
            <v>M18-2-1B02</v>
          </cell>
          <cell r="E89" t="str">
            <v>FP</v>
          </cell>
        </row>
        <row r="90">
          <cell r="A90">
            <v>35402</v>
          </cell>
          <cell r="B90" t="str">
            <v>056116</v>
          </cell>
          <cell r="C90" t="str">
            <v>CATHETER URETH BDX RBNSN 16FR</v>
          </cell>
          <cell r="D90" t="str">
            <v>M17-2-1C02</v>
          </cell>
          <cell r="E90" t="str">
            <v>FP</v>
          </cell>
        </row>
        <row r="91">
          <cell r="A91">
            <v>82664</v>
          </cell>
          <cell r="B91" t="str">
            <v>281020545</v>
          </cell>
          <cell r="C91" t="str">
            <v>LUBRICANT JLY SRGLB FOIL PACK</v>
          </cell>
          <cell r="D91" t="str">
            <v>M16-2-1A09</v>
          </cell>
          <cell r="E91" t="str">
            <v>FP</v>
          </cell>
        </row>
        <row r="92">
          <cell r="A92">
            <v>9733</v>
          </cell>
          <cell r="B92" t="str">
            <v>30723</v>
          </cell>
          <cell r="C92" t="str">
            <v>LOOP VSL MAXI LF BLU RADIOPQ</v>
          </cell>
          <cell r="D92" t="str">
            <v>M28-2-1E04</v>
          </cell>
          <cell r="E92" t="str">
            <v>FP</v>
          </cell>
        </row>
        <row r="93">
          <cell r="A93">
            <v>325</v>
          </cell>
          <cell r="B93" t="str">
            <v>A152407</v>
          </cell>
          <cell r="C93" t="str">
            <v>SHOE LG F PAT POSTOP WDN SOLE</v>
          </cell>
          <cell r="D93" t="str">
            <v>M17-2-1B01</v>
          </cell>
          <cell r="E93" t="str">
            <v>FP</v>
          </cell>
        </row>
        <row r="94">
          <cell r="A94">
            <v>114263</v>
          </cell>
          <cell r="B94" t="str">
            <v>MDS9388</v>
          </cell>
          <cell r="C94" t="str">
            <v>SPHYGMOMANOMETER HH ADLT LG</v>
          </cell>
          <cell r="D94" t="str">
            <v>M28-2-1D01</v>
          </cell>
          <cell r="E94" t="str">
            <v>FP</v>
          </cell>
        </row>
        <row r="95">
          <cell r="A95">
            <v>100732</v>
          </cell>
          <cell r="B95" t="str">
            <v>REUSE11L</v>
          </cell>
          <cell r="C95" t="str">
            <v>CUFF BP FLEXIPORT REUSE</v>
          </cell>
          <cell r="D95" t="str">
            <v>M28-2-1D06</v>
          </cell>
          <cell r="E95" t="str">
            <v>FP</v>
          </cell>
        </row>
        <row r="96">
          <cell r="A96">
            <v>214</v>
          </cell>
          <cell r="B96" t="str">
            <v>46621</v>
          </cell>
          <cell r="C96" t="str">
            <v>DRESSING 8X3IN NADH WOUND OIL</v>
          </cell>
          <cell r="D96" t="str">
            <v>M15-2-1C10</v>
          </cell>
          <cell r="E96" t="str">
            <v>FP</v>
          </cell>
        </row>
        <row r="97">
          <cell r="A97">
            <v>124911</v>
          </cell>
          <cell r="B97" t="str">
            <v>M00521231</v>
          </cell>
          <cell r="C97" t="str">
            <v>CLIP CONTROLS AND STOP GI</v>
          </cell>
          <cell r="D97" t="str">
            <v>M18-2-1B01</v>
          </cell>
          <cell r="E97" t="str">
            <v>FP</v>
          </cell>
        </row>
        <row r="98">
          <cell r="A98">
            <v>64559</v>
          </cell>
          <cell r="B98" t="str">
            <v>AE4800</v>
          </cell>
          <cell r="C98" t="str">
            <v>TAPE MSR BRSL PED LF</v>
          </cell>
          <cell r="D98" t="str">
            <v>M28-2-1C04</v>
          </cell>
          <cell r="E98" t="str">
            <v>FP</v>
          </cell>
        </row>
        <row r="99">
          <cell r="A99">
            <v>88081</v>
          </cell>
          <cell r="B99" t="str">
            <v>MAP152</v>
          </cell>
          <cell r="C99" t="str">
            <v>PACK ACC+ ANGIO LG BORE</v>
          </cell>
          <cell r="D99" t="str">
            <v>M18-2-1B09</v>
          </cell>
          <cell r="E99" t="str">
            <v>FP</v>
          </cell>
        </row>
        <row r="100">
          <cell r="A100">
            <v>158172</v>
          </cell>
          <cell r="B100" t="str">
            <v>1492CH</v>
          </cell>
          <cell r="C100" t="str">
            <v>DRESSING TRANSPRNT FILM 5X4IN</v>
          </cell>
          <cell r="D100" t="str">
            <v>M28-2-1A09</v>
          </cell>
          <cell r="E100" t="str">
            <v>FP</v>
          </cell>
        </row>
        <row r="101">
          <cell r="A101">
            <v>37716</v>
          </cell>
          <cell r="B101" t="str">
            <v>0100-20</v>
          </cell>
          <cell r="C101" t="str">
            <v>TUBE 20FR SIL PORT BALLOON D</v>
          </cell>
          <cell r="D101" t="str">
            <v>M18-2-1B08</v>
          </cell>
          <cell r="E101" t="str">
            <v>FP</v>
          </cell>
        </row>
        <row r="102">
          <cell r="A102">
            <v>98959</v>
          </cell>
          <cell r="B102" t="str">
            <v>ART0420</v>
          </cell>
          <cell r="C102" t="str">
            <v>DEVICE STLK ART STAB</v>
          </cell>
          <cell r="D102" t="str">
            <v>M17-2-1C03</v>
          </cell>
          <cell r="E102" t="str">
            <v>FP</v>
          </cell>
        </row>
        <row r="103">
          <cell r="A103">
            <v>117930</v>
          </cell>
          <cell r="B103" t="str">
            <v>9605-24</v>
          </cell>
          <cell r="C103" t="str">
            <v>CLEANSER HAND SNTZR 2OZ</v>
          </cell>
          <cell r="D103" t="str">
            <v>M25-2-1C02</v>
          </cell>
          <cell r="E103" t="str">
            <v>FP</v>
          </cell>
        </row>
        <row r="104">
          <cell r="A104">
            <v>107963</v>
          </cell>
          <cell r="B104" t="str">
            <v>2411-01</v>
          </cell>
          <cell r="C104" t="str">
            <v>CANNULA NASAL HMDFCN ADLT</v>
          </cell>
          <cell r="D104" t="str">
            <v>M28-2-1A05</v>
          </cell>
          <cell r="E104" t="str">
            <v>FP</v>
          </cell>
        </row>
        <row r="105">
          <cell r="A105">
            <v>112434</v>
          </cell>
          <cell r="B105" t="str">
            <v>8CN85H</v>
          </cell>
          <cell r="C105" t="str">
            <v>TUBE 8.5MM CUFF INR</v>
          </cell>
          <cell r="D105" t="str">
            <v>M27-2-1C10</v>
          </cell>
          <cell r="E105" t="str">
            <v>FP</v>
          </cell>
        </row>
        <row r="106">
          <cell r="A106">
            <v>105010</v>
          </cell>
          <cell r="B106" t="str">
            <v>305197</v>
          </cell>
          <cell r="C106" t="str">
            <v>NEEDLE HYPODERM 16GA 1IN PRCSN</v>
          </cell>
          <cell r="D106" t="str">
            <v>M27-2-1D03</v>
          </cell>
          <cell r="E106" t="str">
            <v>FP</v>
          </cell>
        </row>
        <row r="107">
          <cell r="A107">
            <v>115226</v>
          </cell>
          <cell r="B107" t="str">
            <v>79-87500</v>
          </cell>
          <cell r="C107" t="str">
            <v>SPLINT WRIST/FRARM UNIV RT</v>
          </cell>
          <cell r="D107" t="str">
            <v>M28-2-1A02</v>
          </cell>
          <cell r="E107" t="str">
            <v>FP</v>
          </cell>
        </row>
        <row r="108">
          <cell r="A108">
            <v>116955</v>
          </cell>
          <cell r="B108" t="str">
            <v>90801</v>
          </cell>
          <cell r="C108" t="str">
            <v>DRESSING ABS OVAL CLR 4.4X5IN</v>
          </cell>
          <cell r="D108" t="str">
            <v>M28-2-1A08</v>
          </cell>
          <cell r="E108" t="str">
            <v>FP</v>
          </cell>
        </row>
        <row r="109">
          <cell r="A109">
            <v>33833</v>
          </cell>
          <cell r="B109" t="str">
            <v>8888247064</v>
          </cell>
          <cell r="C109" t="str">
            <v>TUBE NASO 34FR THNWL INTRR SRR</v>
          </cell>
          <cell r="D109" t="str">
            <v>M15-2-1B10</v>
          </cell>
          <cell r="E109" t="str">
            <v>FP</v>
          </cell>
        </row>
        <row r="110">
          <cell r="A110">
            <v>9384</v>
          </cell>
          <cell r="B110" t="str">
            <v>8888247031</v>
          </cell>
          <cell r="C110" t="str">
            <v>TUBE NASO 28FR THNWL INTRR SRR</v>
          </cell>
          <cell r="D110" t="str">
            <v>M28-2-1B09</v>
          </cell>
          <cell r="E110" t="str">
            <v>FP</v>
          </cell>
        </row>
        <row r="111">
          <cell r="A111">
            <v>101187</v>
          </cell>
          <cell r="B111" t="str">
            <v>3344</v>
          </cell>
          <cell r="C111" t="str">
            <v>WIPE CVLN BARRIER FILM NSTNG</v>
          </cell>
          <cell r="D111" t="str">
            <v>M27-2-1D01</v>
          </cell>
          <cell r="E111" t="str">
            <v>FP</v>
          </cell>
        </row>
        <row r="112">
          <cell r="A112">
            <v>113437</v>
          </cell>
          <cell r="B112" t="str">
            <v>42217</v>
          </cell>
          <cell r="C112" t="str">
            <v>COVER TABLE BACK 44X90IN</v>
          </cell>
          <cell r="D112" t="str">
            <v>M28-2-1B01</v>
          </cell>
          <cell r="E112" t="str">
            <v>FP</v>
          </cell>
        </row>
        <row r="113">
          <cell r="A113">
            <v>83919</v>
          </cell>
          <cell r="B113" t="str">
            <v>80XLTIN</v>
          </cell>
          <cell r="C113" t="str">
            <v>TUBE 8MM CUFF PROX EXTN SH</v>
          </cell>
          <cell r="D113" t="str">
            <v>M15-2-1C01</v>
          </cell>
          <cell r="E113" t="str">
            <v>FP</v>
          </cell>
        </row>
        <row r="114">
          <cell r="A114">
            <v>33450</v>
          </cell>
          <cell r="B114" t="str">
            <v>46213</v>
          </cell>
          <cell r="C114" t="str">
            <v>STRIP 4X.25IN EPISEAL REINF</v>
          </cell>
          <cell r="D114" t="str">
            <v>M27-2-1A10</v>
          </cell>
          <cell r="E114" t="str">
            <v>FP</v>
          </cell>
        </row>
        <row r="115">
          <cell r="A115">
            <v>7411</v>
          </cell>
          <cell r="B115" t="str">
            <v>V2941335</v>
          </cell>
          <cell r="C115" t="str">
            <v>PAPER MDTRC RECORD GREEN GRID</v>
          </cell>
          <cell r="D115" t="str">
            <v>M16-2-1A10</v>
          </cell>
          <cell r="E115" t="str">
            <v>FP</v>
          </cell>
        </row>
        <row r="116">
          <cell r="A116">
            <v>115008</v>
          </cell>
          <cell r="B116" t="str">
            <v>63010</v>
          </cell>
          <cell r="C116" t="str">
            <v>SUPPLEMENT NTRN MLK PRTN 5ML</v>
          </cell>
          <cell r="D116" t="str">
            <v>M15-2-1B02</v>
          </cell>
          <cell r="E116" t="str">
            <v>FP</v>
          </cell>
        </row>
        <row r="117">
          <cell r="A117">
            <v>35156</v>
          </cell>
          <cell r="B117" t="str">
            <v>30101</v>
          </cell>
          <cell r="C117" t="str">
            <v>SPONGE SURG .25X9/16IN ENDO</v>
          </cell>
          <cell r="D117" t="str">
            <v>M27-2-1B09</v>
          </cell>
          <cell r="E117" t="str">
            <v>FP</v>
          </cell>
        </row>
        <row r="118">
          <cell r="A118">
            <v>80739</v>
          </cell>
          <cell r="B118" t="str">
            <v>1001780HC</v>
          </cell>
          <cell r="C118" t="str">
            <v>WIRE BMW 190 CM STRT TIP DOC</v>
          </cell>
          <cell r="D118" t="str">
            <v>M25-2-1B10</v>
          </cell>
          <cell r="E118" t="str">
            <v>FP</v>
          </cell>
        </row>
        <row r="119">
          <cell r="A119">
            <v>156867</v>
          </cell>
          <cell r="B119" t="str">
            <v>27-8000</v>
          </cell>
          <cell r="C119" t="str">
            <v>DEVICE PEP THERPY VIBR ACAPELL</v>
          </cell>
          <cell r="D119" t="str">
            <v>M26-2-1B01</v>
          </cell>
          <cell r="E119" t="str">
            <v>FP</v>
          </cell>
        </row>
        <row r="120">
          <cell r="A120">
            <v>364</v>
          </cell>
          <cell r="B120" t="str">
            <v>2WZ1A</v>
          </cell>
          <cell r="C120" t="str">
            <v>TAPE LABELING WHT 1IN BLNK</v>
          </cell>
          <cell r="D120" t="str">
            <v>M16-2-1B01</v>
          </cell>
          <cell r="E120" t="str">
            <v>FP</v>
          </cell>
        </row>
        <row r="121">
          <cell r="A121">
            <v>59363</v>
          </cell>
          <cell r="B121" t="str">
            <v>0165L16</v>
          </cell>
          <cell r="C121" t="str">
            <v>CATHETER URETH IC 16FR 5CC</v>
          </cell>
          <cell r="D121" t="str">
            <v>M27-2-1C06</v>
          </cell>
          <cell r="E121" t="str">
            <v>FP</v>
          </cell>
        </row>
        <row r="122">
          <cell r="A122">
            <v>87497</v>
          </cell>
          <cell r="B122" t="str">
            <v>NONNET07</v>
          </cell>
          <cell r="C122" t="str">
            <v>RETAINER SRGLST 7 25YDX4IN ELC</v>
          </cell>
          <cell r="D122" t="str">
            <v>M15-2-1B09</v>
          </cell>
          <cell r="E122" t="str">
            <v>FP</v>
          </cell>
        </row>
        <row r="123">
          <cell r="A123">
            <v>131494</v>
          </cell>
          <cell r="B123" t="str">
            <v>333648</v>
          </cell>
          <cell r="C123" t="str">
            <v>NEEDLE STPLX ULTRA 20GA 4IN</v>
          </cell>
          <cell r="D123" t="str">
            <v>M28-2-1A04</v>
          </cell>
          <cell r="E123" t="str">
            <v>FP</v>
          </cell>
        </row>
        <row r="124">
          <cell r="A124">
            <v>118905</v>
          </cell>
          <cell r="B124" t="str">
            <v>NON24293</v>
          </cell>
          <cell r="C124" t="str">
            <v>ARMBOARD IV CHILD 3IN X 9IN DI</v>
          </cell>
          <cell r="D124" t="str">
            <v>M25-2-1B02</v>
          </cell>
          <cell r="E124" t="str">
            <v>FP</v>
          </cell>
        </row>
        <row r="125">
          <cell r="A125">
            <v>83917</v>
          </cell>
          <cell r="B125" t="str">
            <v>60XLTIN</v>
          </cell>
          <cell r="C125" t="str">
            <v>TUBE 95MM 11MM 6MM CUFF PROX</v>
          </cell>
          <cell r="D125" t="str">
            <v>M26-2-1C10</v>
          </cell>
          <cell r="E125" t="str">
            <v>FP</v>
          </cell>
        </row>
        <row r="126">
          <cell r="A126">
            <v>80750</v>
          </cell>
          <cell r="B126" t="str">
            <v>CGRXT190HS</v>
          </cell>
          <cell r="C126" t="str">
            <v>WIRE COUGAR XT 190 CM</v>
          </cell>
          <cell r="D126" t="str">
            <v>M28-2-1E09</v>
          </cell>
          <cell r="E126" t="str">
            <v>FP</v>
          </cell>
        </row>
        <row r="127">
          <cell r="A127">
            <v>112421</v>
          </cell>
          <cell r="B127" t="str">
            <v>4UN65H</v>
          </cell>
          <cell r="C127" t="str">
            <v>TUBE 6.5MM UNCUF NFEN INR</v>
          </cell>
          <cell r="D127" t="str">
            <v>M28-2-1C08</v>
          </cell>
          <cell r="E127" t="str">
            <v>FP</v>
          </cell>
        </row>
        <row r="128">
          <cell r="A128">
            <v>8592</v>
          </cell>
          <cell r="B128" t="str">
            <v>2234515H</v>
          </cell>
          <cell r="C128" t="str">
            <v>DRAPE CASSETTE 40.5X20IN XRAY</v>
          </cell>
          <cell r="D128" t="str">
            <v>M28-2-1D05</v>
          </cell>
          <cell r="E128" t="str">
            <v>FP</v>
          </cell>
        </row>
        <row r="129">
          <cell r="A129">
            <v>20674</v>
          </cell>
          <cell r="B129" t="str">
            <v>RSS701</v>
          </cell>
          <cell r="C129" t="str">
            <v>INTRODUCER SHEATH 7FR 2.5CM</v>
          </cell>
          <cell r="D129" t="str">
            <v>M28-2-1D03</v>
          </cell>
          <cell r="E129" t="str">
            <v>FP</v>
          </cell>
        </row>
        <row r="130">
          <cell r="A130">
            <v>91386</v>
          </cell>
          <cell r="B130" t="str">
            <v>G53566</v>
          </cell>
          <cell r="C130" t="str">
            <v>GUIDEWIRE VASC.035IN145CM8CMUS</v>
          </cell>
          <cell r="D130" t="str">
            <v>M27-2-1D02</v>
          </cell>
          <cell r="E130" t="str">
            <v>FP</v>
          </cell>
        </row>
        <row r="131">
          <cell r="A131">
            <v>8328</v>
          </cell>
          <cell r="B131" t="str">
            <v>8888570564</v>
          </cell>
          <cell r="C131" t="str">
            <v>CATHETER DRAIN 36FR 20IN ARG</v>
          </cell>
          <cell r="D131" t="str">
            <v>M27-2-1D10</v>
          </cell>
          <cell r="E131" t="str">
            <v>FP</v>
          </cell>
        </row>
        <row r="132">
          <cell r="A132">
            <v>96225</v>
          </cell>
          <cell r="B132" t="str">
            <v>932452</v>
          </cell>
          <cell r="C132" t="str">
            <v>BANDAGE CNFRM 4.5YDX1IN</v>
          </cell>
          <cell r="D132" t="str">
            <v>M27-2-1C05</v>
          </cell>
          <cell r="E132" t="str">
            <v>FP</v>
          </cell>
        </row>
        <row r="133">
          <cell r="A133">
            <v>114346</v>
          </cell>
          <cell r="B133" t="str">
            <v>1859</v>
          </cell>
          <cell r="C133" t="str">
            <v>SENSOR SPO2 FINGER ADLT</v>
          </cell>
          <cell r="D133" t="str">
            <v>M27-2-1D07</v>
          </cell>
          <cell r="E133" t="str">
            <v>FP</v>
          </cell>
        </row>
        <row r="134">
          <cell r="A134">
            <v>116941</v>
          </cell>
          <cell r="B134" t="str">
            <v>NON21600</v>
          </cell>
          <cell r="C134" t="str">
            <v>PAD EYE OVAL 1 5/8X2 5/8IN</v>
          </cell>
          <cell r="D134" t="str">
            <v>M27-2-1C08</v>
          </cell>
          <cell r="E134" t="str">
            <v>FP</v>
          </cell>
        </row>
        <row r="135">
          <cell r="A135">
            <v>103106</v>
          </cell>
          <cell r="B135" t="str">
            <v>4625315160</v>
          </cell>
          <cell r="C135" t="str">
            <v>STRIP CGCHK XS COAG TEST 48</v>
          </cell>
          <cell r="D135" t="str">
            <v>M27-2-1B10</v>
          </cell>
          <cell r="E135" t="str">
            <v>FP</v>
          </cell>
        </row>
        <row r="136">
          <cell r="A136">
            <v>331</v>
          </cell>
          <cell r="B136" t="str">
            <v>MDS090780</v>
          </cell>
          <cell r="C136" t="str">
            <v>REMOVER NAIL PLSH ACTN FREE</v>
          </cell>
          <cell r="D136" t="str">
            <v>M27-2-1B04</v>
          </cell>
          <cell r="E136" t="str">
            <v>FP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ms_lc_f"/>
    </sheetNames>
    <sheetDataSet>
      <sheetData sheetId="0">
        <row r="1">
          <cell r="A1" t="str">
            <v>Forward Pick Item</v>
          </cell>
          <cell r="B1" t="str">
            <v>Location</v>
          </cell>
        </row>
        <row r="2">
          <cell r="A2">
            <v>8780</v>
          </cell>
          <cell r="B2" t="str">
            <v>12-110-C1</v>
          </cell>
        </row>
        <row r="3">
          <cell r="A3">
            <v>25855</v>
          </cell>
          <cell r="B3" t="str">
            <v>12-110-C2</v>
          </cell>
        </row>
        <row r="4">
          <cell r="A4">
            <v>473</v>
          </cell>
          <cell r="B4" t="str">
            <v>12-110-C3</v>
          </cell>
        </row>
        <row r="5">
          <cell r="A5">
            <v>1172</v>
          </cell>
          <cell r="B5" t="str">
            <v>12-110-C4</v>
          </cell>
        </row>
        <row r="6">
          <cell r="A6">
            <v>106</v>
          </cell>
          <cell r="B6" t="str">
            <v>12-110-C5</v>
          </cell>
        </row>
        <row r="7">
          <cell r="A7">
            <v>58621</v>
          </cell>
          <cell r="B7" t="str">
            <v>12-110-C6</v>
          </cell>
        </row>
        <row r="8">
          <cell r="A8">
            <v>127720</v>
          </cell>
          <cell r="B8" t="str">
            <v>12-110-C7</v>
          </cell>
        </row>
        <row r="9">
          <cell r="A9">
            <v>133373</v>
          </cell>
          <cell r="B9" t="str">
            <v>12-110-C8</v>
          </cell>
        </row>
        <row r="10">
          <cell r="A10">
            <v>87</v>
          </cell>
          <cell r="B10" t="str">
            <v>12-110-D2</v>
          </cell>
        </row>
        <row r="11">
          <cell r="A11">
            <v>123728</v>
          </cell>
          <cell r="B11" t="str">
            <v>12-110-D3</v>
          </cell>
        </row>
        <row r="12">
          <cell r="A12">
            <v>35247</v>
          </cell>
          <cell r="B12" t="str">
            <v>12-110-D4</v>
          </cell>
        </row>
        <row r="13">
          <cell r="A13">
            <v>124938</v>
          </cell>
          <cell r="B13" t="str">
            <v>12-110-D5</v>
          </cell>
        </row>
        <row r="14">
          <cell r="A14">
            <v>119995</v>
          </cell>
          <cell r="B14" t="str">
            <v>12-110-D6</v>
          </cell>
        </row>
        <row r="15">
          <cell r="A15">
            <v>72893</v>
          </cell>
          <cell r="B15" t="str">
            <v>12-110-D7</v>
          </cell>
        </row>
        <row r="16">
          <cell r="A16">
            <v>56</v>
          </cell>
          <cell r="B16" t="str">
            <v>12-110-D8</v>
          </cell>
        </row>
        <row r="17">
          <cell r="A17">
            <v>60081</v>
          </cell>
          <cell r="B17" t="str">
            <v>12-110-E2</v>
          </cell>
        </row>
        <row r="18">
          <cell r="A18">
            <v>5284</v>
          </cell>
          <cell r="B18" t="str">
            <v>12-110-E3</v>
          </cell>
        </row>
        <row r="19">
          <cell r="A19">
            <v>100498</v>
          </cell>
          <cell r="B19" t="str">
            <v>12-110-E4</v>
          </cell>
        </row>
        <row r="20">
          <cell r="A20">
            <v>105102</v>
          </cell>
          <cell r="B20" t="str">
            <v>12-110-E5</v>
          </cell>
        </row>
        <row r="21">
          <cell r="A21">
            <v>130151</v>
          </cell>
          <cell r="B21" t="str">
            <v>12-110-E6</v>
          </cell>
        </row>
        <row r="22">
          <cell r="A22">
            <v>9123</v>
          </cell>
          <cell r="B22" t="str">
            <v>12-110-E8</v>
          </cell>
        </row>
        <row r="23">
          <cell r="A23">
            <v>79061</v>
          </cell>
          <cell r="B23" t="str">
            <v>12-111-A1</v>
          </cell>
        </row>
        <row r="24">
          <cell r="A24">
            <v>129751</v>
          </cell>
          <cell r="B24" t="str">
            <v>12-111-B1</v>
          </cell>
        </row>
        <row r="25">
          <cell r="A25">
            <v>82390</v>
          </cell>
          <cell r="B25" t="str">
            <v>12-111-B2</v>
          </cell>
        </row>
        <row r="26">
          <cell r="A26">
            <v>7814</v>
          </cell>
          <cell r="B26" t="str">
            <v>12-111-C1</v>
          </cell>
        </row>
        <row r="27">
          <cell r="A27">
            <v>73966</v>
          </cell>
          <cell r="B27" t="str">
            <v>12-111-C2</v>
          </cell>
        </row>
        <row r="28">
          <cell r="A28">
            <v>35153</v>
          </cell>
          <cell r="B28" t="str">
            <v>12-111-D1</v>
          </cell>
        </row>
        <row r="29">
          <cell r="A29">
            <v>63778</v>
          </cell>
          <cell r="B29" t="str">
            <v>12-111-D2</v>
          </cell>
        </row>
        <row r="30">
          <cell r="A30">
            <v>46</v>
          </cell>
          <cell r="B30" t="str">
            <v>12-111-E1</v>
          </cell>
        </row>
        <row r="31">
          <cell r="A31">
            <v>118440</v>
          </cell>
          <cell r="B31" t="str">
            <v>12-111-E2</v>
          </cell>
        </row>
        <row r="32">
          <cell r="A32">
            <v>96288</v>
          </cell>
          <cell r="B32" t="str">
            <v>12-112-C1</v>
          </cell>
        </row>
        <row r="33">
          <cell r="A33">
            <v>86626</v>
          </cell>
          <cell r="B33" t="str">
            <v>12-112-C2</v>
          </cell>
        </row>
        <row r="34">
          <cell r="A34">
            <v>35111</v>
          </cell>
          <cell r="B34" t="str">
            <v>12-112-C4</v>
          </cell>
        </row>
        <row r="35">
          <cell r="A35">
            <v>82391</v>
          </cell>
          <cell r="B35" t="str">
            <v>12-112-C5</v>
          </cell>
        </row>
        <row r="36">
          <cell r="A36">
            <v>129748</v>
          </cell>
          <cell r="B36" t="str">
            <v>12-112-C6</v>
          </cell>
        </row>
        <row r="37">
          <cell r="A37">
            <v>31505</v>
          </cell>
          <cell r="B37" t="str">
            <v>12-112-C7</v>
          </cell>
        </row>
        <row r="38">
          <cell r="A38">
            <v>18737</v>
          </cell>
          <cell r="B38" t="str">
            <v>12-112-C8</v>
          </cell>
        </row>
        <row r="39">
          <cell r="A39">
            <v>130152</v>
          </cell>
          <cell r="B39" t="str">
            <v>12-112-D1</v>
          </cell>
        </row>
        <row r="40">
          <cell r="A40">
            <v>2196</v>
          </cell>
          <cell r="B40" t="str">
            <v>12-112-D2</v>
          </cell>
        </row>
        <row r="41">
          <cell r="A41">
            <v>7231</v>
          </cell>
          <cell r="B41" t="str">
            <v>12-112-D3</v>
          </cell>
        </row>
        <row r="42">
          <cell r="A42">
            <v>430</v>
          </cell>
          <cell r="B42" t="str">
            <v>12-112-D4</v>
          </cell>
        </row>
        <row r="43">
          <cell r="A43">
            <v>700</v>
          </cell>
          <cell r="B43" t="str">
            <v>12-112-D5</v>
          </cell>
        </row>
        <row r="44">
          <cell r="A44">
            <v>1171</v>
          </cell>
          <cell r="B44" t="str">
            <v>12-112-D6</v>
          </cell>
        </row>
        <row r="45">
          <cell r="A45">
            <v>4617</v>
          </cell>
          <cell r="B45" t="str">
            <v>12-112-D7</v>
          </cell>
        </row>
        <row r="46">
          <cell r="A46">
            <v>288</v>
          </cell>
          <cell r="B46" t="str">
            <v>12-112-D8</v>
          </cell>
        </row>
        <row r="47">
          <cell r="A47">
            <v>9555</v>
          </cell>
          <cell r="B47" t="str">
            <v>12-112-E1</v>
          </cell>
        </row>
        <row r="48">
          <cell r="A48">
            <v>9621</v>
          </cell>
          <cell r="B48" t="str">
            <v>12-112-E2</v>
          </cell>
        </row>
        <row r="49">
          <cell r="A49">
            <v>49659</v>
          </cell>
          <cell r="B49" t="str">
            <v>12-112-E3</v>
          </cell>
        </row>
        <row r="50">
          <cell r="A50">
            <v>120</v>
          </cell>
          <cell r="B50" t="str">
            <v>12-112-E4</v>
          </cell>
        </row>
        <row r="51">
          <cell r="A51">
            <v>9629</v>
          </cell>
          <cell r="B51" t="str">
            <v>12-112-E5</v>
          </cell>
        </row>
        <row r="52">
          <cell r="A52">
            <v>59114</v>
          </cell>
          <cell r="B52" t="str">
            <v>12-112-E6</v>
          </cell>
        </row>
        <row r="53">
          <cell r="A53">
            <v>1724</v>
          </cell>
          <cell r="B53" t="str">
            <v>12-112-E7</v>
          </cell>
        </row>
        <row r="54">
          <cell r="A54">
            <v>13916</v>
          </cell>
          <cell r="B54" t="str">
            <v>12-112-E8</v>
          </cell>
        </row>
        <row r="55">
          <cell r="A55">
            <v>126216</v>
          </cell>
          <cell r="B55" t="str">
            <v>12-113-A1</v>
          </cell>
        </row>
        <row r="56">
          <cell r="A56">
            <v>428</v>
          </cell>
          <cell r="B56" t="str">
            <v>12-113-A2</v>
          </cell>
        </row>
        <row r="57">
          <cell r="A57">
            <v>570</v>
          </cell>
          <cell r="B57" t="str">
            <v>12-113-B1</v>
          </cell>
        </row>
        <row r="58">
          <cell r="A58">
            <v>42040</v>
          </cell>
          <cell r="B58" t="str">
            <v>12-113-B2</v>
          </cell>
        </row>
        <row r="59">
          <cell r="A59">
            <v>1459</v>
          </cell>
          <cell r="B59" t="str">
            <v>12-113-C1</v>
          </cell>
        </row>
        <row r="60">
          <cell r="A60">
            <v>611</v>
          </cell>
          <cell r="B60" t="str">
            <v>12-113-D1</v>
          </cell>
        </row>
        <row r="61">
          <cell r="A61">
            <v>21218</v>
          </cell>
          <cell r="B61" t="str">
            <v>12-113-D2</v>
          </cell>
        </row>
        <row r="62">
          <cell r="A62">
            <v>65345</v>
          </cell>
          <cell r="B62" t="str">
            <v>12-113-E1</v>
          </cell>
        </row>
        <row r="63">
          <cell r="A63">
            <v>65585</v>
          </cell>
          <cell r="B63" t="str">
            <v>12-113-E2</v>
          </cell>
        </row>
        <row r="64">
          <cell r="A64">
            <v>429</v>
          </cell>
          <cell r="B64" t="str">
            <v>12-114-C1</v>
          </cell>
        </row>
        <row r="65">
          <cell r="A65">
            <v>129750</v>
          </cell>
          <cell r="B65" t="str">
            <v>12-114-C2</v>
          </cell>
        </row>
        <row r="66">
          <cell r="A66">
            <v>35073</v>
          </cell>
          <cell r="B66" t="str">
            <v>12-114-C3</v>
          </cell>
        </row>
        <row r="67">
          <cell r="A67">
            <v>89153</v>
          </cell>
          <cell r="B67" t="str">
            <v>12-114-C4</v>
          </cell>
        </row>
        <row r="68">
          <cell r="A68">
            <v>33595</v>
          </cell>
          <cell r="B68" t="str">
            <v>12-114-C5</v>
          </cell>
        </row>
        <row r="69">
          <cell r="A69">
            <v>100965</v>
          </cell>
          <cell r="B69" t="str">
            <v>12-114-C6</v>
          </cell>
        </row>
        <row r="70">
          <cell r="A70">
            <v>1011</v>
          </cell>
          <cell r="B70" t="str">
            <v>12-114-C7</v>
          </cell>
        </row>
        <row r="71">
          <cell r="A71">
            <v>285</v>
          </cell>
          <cell r="B71" t="str">
            <v>12-114-C8</v>
          </cell>
        </row>
        <row r="72">
          <cell r="A72">
            <v>124942</v>
          </cell>
          <cell r="B72" t="str">
            <v>12-114-D1</v>
          </cell>
        </row>
        <row r="73">
          <cell r="A73">
            <v>22681</v>
          </cell>
          <cell r="B73" t="str">
            <v>12-114-D2</v>
          </cell>
        </row>
        <row r="74">
          <cell r="A74">
            <v>401</v>
          </cell>
          <cell r="B74" t="str">
            <v>12-114-D3</v>
          </cell>
        </row>
        <row r="75">
          <cell r="A75">
            <v>121</v>
          </cell>
          <cell r="B75" t="str">
            <v>12-114-D4</v>
          </cell>
        </row>
        <row r="76">
          <cell r="A76">
            <v>127245</v>
          </cell>
          <cell r="B76" t="str">
            <v>12-114-D5</v>
          </cell>
        </row>
        <row r="77">
          <cell r="A77">
            <v>1850</v>
          </cell>
          <cell r="B77" t="str">
            <v>12-114-D7</v>
          </cell>
        </row>
        <row r="78">
          <cell r="A78">
            <v>26814</v>
          </cell>
          <cell r="B78" t="str">
            <v>12-114-D8</v>
          </cell>
        </row>
        <row r="79">
          <cell r="A79">
            <v>77</v>
          </cell>
          <cell r="B79" t="str">
            <v>12-114-E1</v>
          </cell>
        </row>
        <row r="80">
          <cell r="A80">
            <v>67670</v>
          </cell>
          <cell r="B80" t="str">
            <v>12-114-E2</v>
          </cell>
        </row>
        <row r="81">
          <cell r="A81">
            <v>97123</v>
          </cell>
          <cell r="B81" t="str">
            <v>12-114-E3</v>
          </cell>
        </row>
        <row r="82">
          <cell r="A82">
            <v>62856</v>
          </cell>
          <cell r="B82" t="str">
            <v>12-114-E4</v>
          </cell>
        </row>
        <row r="83">
          <cell r="A83">
            <v>2191</v>
          </cell>
          <cell r="B83" t="str">
            <v>12-114-E5</v>
          </cell>
        </row>
        <row r="84">
          <cell r="A84">
            <v>7326</v>
          </cell>
          <cell r="B84" t="str">
            <v>12-114-E6</v>
          </cell>
        </row>
        <row r="85">
          <cell r="A85">
            <v>32014</v>
          </cell>
          <cell r="B85" t="str">
            <v>12-114-E7</v>
          </cell>
        </row>
        <row r="86">
          <cell r="A86">
            <v>1066</v>
          </cell>
          <cell r="B86" t="str">
            <v>12-114-E8</v>
          </cell>
        </row>
        <row r="87">
          <cell r="A87">
            <v>17481</v>
          </cell>
          <cell r="B87" t="str">
            <v>12-115-A1</v>
          </cell>
        </row>
        <row r="88">
          <cell r="A88">
            <v>100185</v>
          </cell>
          <cell r="B88" t="str">
            <v>12-115-A2</v>
          </cell>
        </row>
        <row r="89">
          <cell r="A89">
            <v>39564</v>
          </cell>
          <cell r="B89" t="str">
            <v>12-115-B1</v>
          </cell>
        </row>
        <row r="90">
          <cell r="A90">
            <v>130120</v>
          </cell>
          <cell r="B90" t="str">
            <v>12-115-B2</v>
          </cell>
        </row>
        <row r="91">
          <cell r="A91">
            <v>100907</v>
          </cell>
          <cell r="B91" t="str">
            <v>12-115-C1</v>
          </cell>
        </row>
        <row r="92">
          <cell r="A92">
            <v>67911</v>
          </cell>
          <cell r="B92" t="str">
            <v>12-115-C2</v>
          </cell>
        </row>
        <row r="93">
          <cell r="A93">
            <v>81252</v>
          </cell>
          <cell r="B93" t="str">
            <v>12-115-D1</v>
          </cell>
        </row>
        <row r="94">
          <cell r="A94">
            <v>199</v>
          </cell>
          <cell r="B94" t="str">
            <v>12-115-D2</v>
          </cell>
        </row>
        <row r="95">
          <cell r="A95">
            <v>54</v>
          </cell>
          <cell r="B95" t="str">
            <v>12-115-E1</v>
          </cell>
        </row>
        <row r="96">
          <cell r="A96">
            <v>108503</v>
          </cell>
          <cell r="B96" t="str">
            <v>12-115-E2</v>
          </cell>
        </row>
        <row r="97">
          <cell r="A97">
            <v>83148</v>
          </cell>
          <cell r="B97" t="str">
            <v>12-116-C1</v>
          </cell>
        </row>
        <row r="98">
          <cell r="A98">
            <v>35180</v>
          </cell>
          <cell r="B98" t="str">
            <v>12-116-C2</v>
          </cell>
        </row>
        <row r="99">
          <cell r="A99">
            <v>127255</v>
          </cell>
          <cell r="B99" t="str">
            <v>12-116-C3</v>
          </cell>
        </row>
        <row r="100">
          <cell r="A100">
            <v>118894</v>
          </cell>
          <cell r="B100" t="str">
            <v>12-116-C4</v>
          </cell>
        </row>
        <row r="101">
          <cell r="A101">
            <v>122</v>
          </cell>
          <cell r="B101" t="str">
            <v>12-116-C5</v>
          </cell>
        </row>
        <row r="102">
          <cell r="A102">
            <v>15304</v>
          </cell>
          <cell r="B102" t="str">
            <v>12-116-C6</v>
          </cell>
        </row>
        <row r="103">
          <cell r="A103">
            <v>5972</v>
          </cell>
          <cell r="B103" t="str">
            <v>12-116-C7</v>
          </cell>
        </row>
        <row r="104">
          <cell r="A104">
            <v>95299</v>
          </cell>
          <cell r="B104" t="str">
            <v>12-116-C8</v>
          </cell>
        </row>
        <row r="105">
          <cell r="A105">
            <v>9225</v>
          </cell>
          <cell r="B105" t="str">
            <v>12-116-D1</v>
          </cell>
        </row>
        <row r="106">
          <cell r="A106">
            <v>118318</v>
          </cell>
          <cell r="B106" t="str">
            <v>12-116-D2</v>
          </cell>
        </row>
        <row r="107">
          <cell r="A107">
            <v>112548</v>
          </cell>
          <cell r="B107" t="str">
            <v>12-116-D3</v>
          </cell>
        </row>
        <row r="108">
          <cell r="A108">
            <v>112435</v>
          </cell>
          <cell r="B108" t="str">
            <v>12-116-D4</v>
          </cell>
        </row>
        <row r="109">
          <cell r="A109">
            <v>111146</v>
          </cell>
          <cell r="B109" t="str">
            <v>12-116-D5</v>
          </cell>
        </row>
        <row r="110">
          <cell r="A110">
            <v>115039</v>
          </cell>
          <cell r="B110" t="str">
            <v>12-116-D6</v>
          </cell>
        </row>
        <row r="111">
          <cell r="A111">
            <v>9386</v>
          </cell>
          <cell r="B111" t="str">
            <v>12-116-D7</v>
          </cell>
        </row>
        <row r="112">
          <cell r="A112">
            <v>12158</v>
          </cell>
          <cell r="B112" t="str">
            <v>12-116-D8</v>
          </cell>
        </row>
        <row r="113">
          <cell r="A113">
            <v>232</v>
          </cell>
          <cell r="B113" t="str">
            <v>12-116-E1</v>
          </cell>
        </row>
        <row r="114">
          <cell r="A114">
            <v>137618</v>
          </cell>
          <cell r="B114" t="str">
            <v>12-116-E2</v>
          </cell>
        </row>
        <row r="115">
          <cell r="A115">
            <v>1435</v>
          </cell>
          <cell r="B115" t="str">
            <v>12-116-E3</v>
          </cell>
        </row>
        <row r="116">
          <cell r="A116">
            <v>31650</v>
          </cell>
          <cell r="B116" t="str">
            <v>12-116-E5</v>
          </cell>
        </row>
        <row r="117">
          <cell r="A117">
            <v>15450</v>
          </cell>
          <cell r="B117" t="str">
            <v>12-116-E6</v>
          </cell>
        </row>
        <row r="118">
          <cell r="A118">
            <v>8319</v>
          </cell>
          <cell r="B118" t="str">
            <v>12-116-E7</v>
          </cell>
        </row>
        <row r="119">
          <cell r="A119">
            <v>42861</v>
          </cell>
          <cell r="B119" t="str">
            <v>12-116-E8</v>
          </cell>
        </row>
        <row r="120">
          <cell r="A120">
            <v>135227</v>
          </cell>
          <cell r="B120" t="str">
            <v>12-117-A1</v>
          </cell>
        </row>
        <row r="121">
          <cell r="A121">
            <v>100955</v>
          </cell>
          <cell r="B121" t="str">
            <v>12-117-A2</v>
          </cell>
        </row>
        <row r="122">
          <cell r="A122">
            <v>100938</v>
          </cell>
          <cell r="B122" t="str">
            <v>12-117-B1</v>
          </cell>
        </row>
        <row r="123">
          <cell r="A123">
            <v>136683</v>
          </cell>
          <cell r="B123" t="str">
            <v>12-117-C1</v>
          </cell>
        </row>
        <row r="124">
          <cell r="A124">
            <v>73964</v>
          </cell>
          <cell r="B124" t="str">
            <v>12-117-C2</v>
          </cell>
        </row>
        <row r="125">
          <cell r="A125">
            <v>35137</v>
          </cell>
          <cell r="B125" t="str">
            <v>12-117-D1</v>
          </cell>
        </row>
        <row r="126">
          <cell r="A126">
            <v>1413</v>
          </cell>
          <cell r="B126" t="str">
            <v>12-117-D2</v>
          </cell>
        </row>
        <row r="127">
          <cell r="A127">
            <v>112564</v>
          </cell>
          <cell r="B127" t="str">
            <v>12-117-E1</v>
          </cell>
        </row>
        <row r="128">
          <cell r="A128">
            <v>9314</v>
          </cell>
          <cell r="B128" t="str">
            <v>12-117-E2</v>
          </cell>
        </row>
        <row r="129">
          <cell r="A129">
            <v>3042</v>
          </cell>
          <cell r="B129" t="str">
            <v>12-118-C1</v>
          </cell>
        </row>
        <row r="130">
          <cell r="A130">
            <v>2698</v>
          </cell>
          <cell r="B130" t="str">
            <v>12-118-C2</v>
          </cell>
        </row>
        <row r="131">
          <cell r="A131">
            <v>124935</v>
          </cell>
          <cell r="B131" t="str">
            <v>12-118-C3</v>
          </cell>
        </row>
        <row r="132">
          <cell r="A132">
            <v>105</v>
          </cell>
          <cell r="B132" t="str">
            <v>12-118-C4</v>
          </cell>
        </row>
        <row r="133">
          <cell r="A133">
            <v>101545</v>
          </cell>
          <cell r="B133" t="str">
            <v>12-118-C5</v>
          </cell>
        </row>
        <row r="134">
          <cell r="A134">
            <v>137585</v>
          </cell>
          <cell r="B134" t="str">
            <v>12-118-C6</v>
          </cell>
        </row>
        <row r="135">
          <cell r="A135">
            <v>89151</v>
          </cell>
          <cell r="B135" t="str">
            <v>12-118-C7</v>
          </cell>
        </row>
        <row r="136">
          <cell r="A136">
            <v>65037</v>
          </cell>
          <cell r="B136" t="str">
            <v>12-118-C8</v>
          </cell>
        </row>
        <row r="137">
          <cell r="A137">
            <v>77272</v>
          </cell>
          <cell r="B137" t="str">
            <v>12-118-D1</v>
          </cell>
        </row>
        <row r="138">
          <cell r="A138">
            <v>157509</v>
          </cell>
          <cell r="B138" t="str">
            <v>12-118-D2</v>
          </cell>
        </row>
        <row r="139">
          <cell r="A139">
            <v>100966</v>
          </cell>
          <cell r="B139" t="str">
            <v>12-118-D3</v>
          </cell>
        </row>
        <row r="140">
          <cell r="A140">
            <v>21591</v>
          </cell>
          <cell r="B140" t="str">
            <v>12-118-D5</v>
          </cell>
        </row>
        <row r="141">
          <cell r="A141">
            <v>90149</v>
          </cell>
          <cell r="B141" t="str">
            <v>12-118-D6</v>
          </cell>
        </row>
        <row r="142">
          <cell r="A142">
            <v>48265</v>
          </cell>
          <cell r="B142" t="str">
            <v>12-118-D7</v>
          </cell>
        </row>
        <row r="143">
          <cell r="A143">
            <v>91304</v>
          </cell>
          <cell r="B143" t="str">
            <v>12-118-D8</v>
          </cell>
        </row>
        <row r="144">
          <cell r="A144">
            <v>1372</v>
          </cell>
          <cell r="B144" t="str">
            <v>12-118-E4</v>
          </cell>
        </row>
        <row r="145">
          <cell r="A145">
            <v>47420</v>
          </cell>
          <cell r="B145" t="str">
            <v>12-118-E6</v>
          </cell>
        </row>
        <row r="146">
          <cell r="A146">
            <v>50054</v>
          </cell>
          <cell r="B146" t="str">
            <v>12-118-E7</v>
          </cell>
        </row>
        <row r="147">
          <cell r="A147">
            <v>100875</v>
          </cell>
          <cell r="B147" t="str">
            <v>12-119-A1</v>
          </cell>
        </row>
        <row r="148">
          <cell r="A148">
            <v>129752</v>
          </cell>
          <cell r="B148" t="str">
            <v>12-119-A2</v>
          </cell>
        </row>
        <row r="149">
          <cell r="A149">
            <v>126332</v>
          </cell>
          <cell r="B149" t="str">
            <v>12-119-B1</v>
          </cell>
        </row>
        <row r="150">
          <cell r="A150">
            <v>42860</v>
          </cell>
          <cell r="B150" t="str">
            <v>12-119-B2</v>
          </cell>
        </row>
        <row r="151">
          <cell r="A151">
            <v>566</v>
          </cell>
          <cell r="B151" t="str">
            <v>12-119-C1</v>
          </cell>
        </row>
        <row r="152">
          <cell r="A152">
            <v>609</v>
          </cell>
          <cell r="B152" t="str">
            <v>12-119-C2</v>
          </cell>
        </row>
        <row r="153">
          <cell r="A153">
            <v>100771</v>
          </cell>
          <cell r="B153" t="str">
            <v>12-119-D1</v>
          </cell>
        </row>
        <row r="154">
          <cell r="A154">
            <v>1969</v>
          </cell>
          <cell r="B154" t="str">
            <v>12-119-D2</v>
          </cell>
        </row>
        <row r="155">
          <cell r="A155">
            <v>118782</v>
          </cell>
          <cell r="B155" t="str">
            <v>12-119-E2</v>
          </cell>
        </row>
        <row r="156">
          <cell r="A156">
            <v>2456</v>
          </cell>
          <cell r="B156" t="str">
            <v>12-125-A1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ms_iv_f"/>
    </sheetNames>
    <sheetDataSet>
      <sheetData sheetId="0">
        <row r="1">
          <cell r="A1" t="str">
            <v>Actual Location</v>
          </cell>
          <cell r="B1" t="str">
            <v>Item</v>
          </cell>
          <cell r="C1" t="str">
            <v>Mfg Item</v>
          </cell>
          <cell r="D1" t="str">
            <v>Description 1</v>
          </cell>
        </row>
        <row r="2">
          <cell r="A2" t="str">
            <v>M26-2-1B02</v>
          </cell>
          <cell r="B2">
            <v>1360</v>
          </cell>
          <cell r="C2" t="str">
            <v>15303</v>
          </cell>
          <cell r="D2" t="str">
            <v>TAPE DRESSING 3M MCPR3IN PAPER</v>
          </cell>
        </row>
        <row r="3">
          <cell r="A3" t="str">
            <v>M27-2-1B02</v>
          </cell>
          <cell r="B3">
            <v>72705</v>
          </cell>
          <cell r="C3" t="str">
            <v>104025</v>
          </cell>
          <cell r="D3" t="str">
            <v>SPONGE MTRZM CONTOUR</v>
          </cell>
        </row>
        <row r="4">
          <cell r="A4" t="str">
            <v>M27-2-1C04</v>
          </cell>
          <cell r="B4">
            <v>64024</v>
          </cell>
          <cell r="C4" t="str">
            <v>544230</v>
          </cell>
          <cell r="D4" t="str">
            <v>CLIP MED LG INTNL HEM-O-LOK PO</v>
          </cell>
        </row>
        <row r="5">
          <cell r="A5" t="str">
            <v>M16-2-1B04</v>
          </cell>
          <cell r="B5">
            <v>61046</v>
          </cell>
          <cell r="C5" t="str">
            <v>3117</v>
          </cell>
          <cell r="D5" t="str">
            <v>WIPE FTPRNTR INF NTOX HYPOALL</v>
          </cell>
        </row>
        <row r="6">
          <cell r="A6" t="str">
            <v>M25-2-1D10</v>
          </cell>
          <cell r="B6">
            <v>33312</v>
          </cell>
          <cell r="C6" t="str">
            <v>GR3509</v>
          </cell>
          <cell r="D6" t="str">
            <v>GUIDEWIRE VASC STD .035IN</v>
          </cell>
        </row>
        <row r="7">
          <cell r="A7" t="str">
            <v>M17-2-1C07</v>
          </cell>
          <cell r="B7">
            <v>116903</v>
          </cell>
          <cell r="C7" t="str">
            <v>66800276</v>
          </cell>
          <cell r="D7" t="str">
            <v>DRESSING WOUND ALVN FOAM 3X3</v>
          </cell>
        </row>
        <row r="8">
          <cell r="A8" t="str">
            <v>M17-2-1C09</v>
          </cell>
          <cell r="B8">
            <v>52581</v>
          </cell>
          <cell r="C8" t="str">
            <v>14202</v>
          </cell>
          <cell r="D8" t="str">
            <v>TAPE INDICATOR STR SLSR</v>
          </cell>
        </row>
        <row r="9">
          <cell r="A9" t="str">
            <v>M28-2-1E07</v>
          </cell>
          <cell r="B9">
            <v>54930</v>
          </cell>
          <cell r="C9" t="str">
            <v>2296003105</v>
          </cell>
          <cell r="D9" t="str">
            <v>BLADE SAW 18.5X9X.38MM PRCS</v>
          </cell>
        </row>
        <row r="10">
          <cell r="A10" t="str">
            <v>M28-2-1C05</v>
          </cell>
          <cell r="B10">
            <v>4412</v>
          </cell>
          <cell r="C10" t="str">
            <v>901504</v>
          </cell>
          <cell r="D10" t="str">
            <v>IMMOBILIZER ORTH XL SHOULDER</v>
          </cell>
        </row>
        <row r="11">
          <cell r="A11" t="str">
            <v>M18-2-1C08</v>
          </cell>
          <cell r="B11">
            <v>118618</v>
          </cell>
          <cell r="C11" t="str">
            <v>420674</v>
          </cell>
          <cell r="D11" t="str">
            <v>DRESSING WOUND HDRFB 4X5</v>
          </cell>
        </row>
        <row r="12">
          <cell r="A12" t="str">
            <v>M27-2-1C03</v>
          </cell>
          <cell r="B12">
            <v>51104</v>
          </cell>
          <cell r="C12" t="str">
            <v>M3070C</v>
          </cell>
          <cell r="D12" t="str">
            <v>SLIPPERS PAT CHLD SOCK RUB</v>
          </cell>
        </row>
        <row r="13">
          <cell r="A13" t="str">
            <v>M15-2-1C02</v>
          </cell>
          <cell r="B13">
            <v>118836</v>
          </cell>
          <cell r="C13" t="str">
            <v>MZ9267</v>
          </cell>
          <cell r="D13" t="str">
            <v>SET EXT IV 60IN W/MAXZERO</v>
          </cell>
        </row>
        <row r="14">
          <cell r="A14" t="str">
            <v>M27-2-1A01</v>
          </cell>
          <cell r="B14">
            <v>112686</v>
          </cell>
          <cell r="C14" t="str">
            <v>3476189</v>
          </cell>
          <cell r="D14" t="str">
            <v>PAPER RECORD THERM PART1</v>
          </cell>
        </row>
        <row r="15">
          <cell r="A15" t="str">
            <v>M28-2-1A10</v>
          </cell>
          <cell r="B15">
            <v>118437</v>
          </cell>
          <cell r="C15" t="str">
            <v>29900</v>
          </cell>
          <cell r="D15" t="str">
            <v>SUPPORT WRST IV ADLT 9IN</v>
          </cell>
        </row>
        <row r="16">
          <cell r="A16" t="str">
            <v>M28-2-1B06</v>
          </cell>
          <cell r="B16">
            <v>23533</v>
          </cell>
          <cell r="C16" t="str">
            <v>AA01</v>
          </cell>
          <cell r="D16" t="str">
            <v>CAUTERY HI TEMP FN TIP DISP</v>
          </cell>
        </row>
        <row r="17">
          <cell r="A17" t="str">
            <v>M28-2-1B10</v>
          </cell>
          <cell r="B17">
            <v>8541</v>
          </cell>
          <cell r="C17" t="str">
            <v>072214</v>
          </cell>
          <cell r="D17" t="str">
            <v>DRAIN INCS SIL4 CHAN .375INX10</v>
          </cell>
        </row>
        <row r="18">
          <cell r="A18" t="str">
            <v>M28-2-1B08</v>
          </cell>
          <cell r="B18">
            <v>23505</v>
          </cell>
          <cell r="C18" t="str">
            <v>0070440</v>
          </cell>
          <cell r="D18" t="str">
            <v>DRAIN INCS 20CMX10MM SIL FULL</v>
          </cell>
        </row>
        <row r="19">
          <cell r="A19" t="str">
            <v>M28-2-1E08</v>
          </cell>
          <cell r="B19">
            <v>90436</v>
          </cell>
          <cell r="C19" t="str">
            <v>7470LF</v>
          </cell>
          <cell r="D19" t="str">
            <v>STOCKING COMP XXL KN-HI</v>
          </cell>
        </row>
        <row r="20">
          <cell r="A20" t="str">
            <v>M15-2-1B01</v>
          </cell>
          <cell r="B20">
            <v>20673</v>
          </cell>
          <cell r="C20" t="str">
            <v>RSS601</v>
          </cell>
          <cell r="D20" t="str">
            <v>INTRODUCER SHEATH 6FR 2.5CM</v>
          </cell>
        </row>
        <row r="21">
          <cell r="A21" t="str">
            <v>M27-2-1B05</v>
          </cell>
          <cell r="B21">
            <v>127509</v>
          </cell>
          <cell r="C21" t="str">
            <v>498400</v>
          </cell>
          <cell r="D21" t="str">
            <v>MEPILEX BORDER POST-OP AG 4X8</v>
          </cell>
        </row>
        <row r="22">
          <cell r="A22" t="str">
            <v>M17-2-1B10</v>
          </cell>
          <cell r="B22">
            <v>127508</v>
          </cell>
          <cell r="C22" t="str">
            <v>498300</v>
          </cell>
          <cell r="D22" t="str">
            <v>MEPILEX BORDER POST-OP AG 4X6</v>
          </cell>
        </row>
        <row r="23">
          <cell r="A23" t="str">
            <v>M17-2-1B08</v>
          </cell>
          <cell r="B23">
            <v>1428</v>
          </cell>
          <cell r="C23" t="str">
            <v>8888265124</v>
          </cell>
          <cell r="D23" t="str">
            <v>TUBE NG 48IN 14FR 2 LUM ANRFLX</v>
          </cell>
        </row>
        <row r="24">
          <cell r="A24" t="str">
            <v>M26-2-1D01</v>
          </cell>
          <cell r="B24">
            <v>3710</v>
          </cell>
          <cell r="C24" t="str">
            <v>0046000</v>
          </cell>
          <cell r="D24" t="str">
            <v>FILTER NG PRV ANRFLX 80ML STRL</v>
          </cell>
        </row>
        <row r="25">
          <cell r="A25" t="str">
            <v>M18-2-1C10</v>
          </cell>
          <cell r="B25">
            <v>30774</v>
          </cell>
          <cell r="C25" t="str">
            <v>12010</v>
          </cell>
          <cell r="D25" t="str">
            <v>DEVICE 15IN .25IN DLP PRICRD</v>
          </cell>
        </row>
        <row r="26">
          <cell r="A26" t="str">
            <v>M28-2-1C02</v>
          </cell>
          <cell r="B26">
            <v>9718</v>
          </cell>
          <cell r="C26" t="str">
            <v>2008S</v>
          </cell>
          <cell r="D26" t="str">
            <v>DECANTER FLD TRANSF DEVICE</v>
          </cell>
        </row>
        <row r="27">
          <cell r="A27" t="str">
            <v>M27-2-1C09</v>
          </cell>
          <cell r="B27">
            <v>1158</v>
          </cell>
          <cell r="C27" t="str">
            <v>2108152000</v>
          </cell>
          <cell r="D27" t="str">
            <v>BLADE SAW 81.5X12.5X1.19MM NAR</v>
          </cell>
        </row>
        <row r="28">
          <cell r="A28" t="str">
            <v>M27-2-1C07</v>
          </cell>
          <cell r="B28">
            <v>33601</v>
          </cell>
          <cell r="C28" t="str">
            <v>502507</v>
          </cell>
          <cell r="D28" t="str">
            <v>STYLET INTUB 45CM 14FR PLASTIC</v>
          </cell>
        </row>
        <row r="29">
          <cell r="A29" t="str">
            <v>M15-2-1C07</v>
          </cell>
          <cell r="B29">
            <v>1974</v>
          </cell>
          <cell r="C29" t="str">
            <v>R1541</v>
          </cell>
          <cell r="D29" t="str">
            <v>STRIP 3X.25IN STRSTRP ADH</v>
          </cell>
        </row>
        <row r="30">
          <cell r="A30" t="str">
            <v>M28-2-1C03</v>
          </cell>
          <cell r="B30">
            <v>9803</v>
          </cell>
          <cell r="C30" t="str">
            <v>1868</v>
          </cell>
          <cell r="D30" t="str">
            <v>CANNULA NASAL SFT CLS CELL</v>
          </cell>
        </row>
        <row r="31">
          <cell r="A31" t="str">
            <v>M26-2-1C04</v>
          </cell>
          <cell r="B31">
            <v>275</v>
          </cell>
          <cell r="C31" t="str">
            <v>2630</v>
          </cell>
          <cell r="D31" t="str">
            <v>PAD NURS 5IN CRTY ROUND</v>
          </cell>
        </row>
        <row r="32">
          <cell r="A32" t="str">
            <v>M18-2-1B10</v>
          </cell>
          <cell r="B32">
            <v>95111</v>
          </cell>
          <cell r="C32" t="str">
            <v>5C4957</v>
          </cell>
          <cell r="D32" t="str">
            <v>CLAMP DIA ULTRACLAMP PRTNL</v>
          </cell>
        </row>
        <row r="33">
          <cell r="A33" t="str">
            <v>M28-2-1D02</v>
          </cell>
          <cell r="B33">
            <v>120174</v>
          </cell>
          <cell r="C33" t="str">
            <v>NON256145</v>
          </cell>
          <cell r="D33" t="str">
            <v>GAUZE PACKING IODOFORM 1/4IN X</v>
          </cell>
        </row>
        <row r="34">
          <cell r="A34" t="str">
            <v>M16-2-1C10</v>
          </cell>
          <cell r="B34">
            <v>13892</v>
          </cell>
          <cell r="C34" t="str">
            <v>8888264929</v>
          </cell>
          <cell r="D34" t="str">
            <v>TUBE NG 48IN 12FR 2 LUM FNL</v>
          </cell>
        </row>
        <row r="35">
          <cell r="A35" t="str">
            <v>M28-2-1C10</v>
          </cell>
          <cell r="B35">
            <v>124557</v>
          </cell>
          <cell r="C35" t="str">
            <v>2013</v>
          </cell>
          <cell r="D35" t="str">
            <v>DRESSING ADAPTIC 3X8IN</v>
          </cell>
        </row>
        <row r="36">
          <cell r="A36" t="str">
            <v>M16-2-1C03</v>
          </cell>
          <cell r="B36">
            <v>35103</v>
          </cell>
          <cell r="C36" t="str">
            <v>224850</v>
          </cell>
          <cell r="D36" t="str">
            <v>ELECTRODE EKG RD DT CLOTH SLD</v>
          </cell>
        </row>
        <row r="37">
          <cell r="A37" t="str">
            <v>M26-2-1C03</v>
          </cell>
          <cell r="B37">
            <v>120173</v>
          </cell>
          <cell r="C37" t="str">
            <v>NON256125</v>
          </cell>
          <cell r="D37" t="str">
            <v>GAUZE PACKING IODOFORM 1/2INX</v>
          </cell>
        </row>
        <row r="38">
          <cell r="A38" t="str">
            <v>M27-2-1D05</v>
          </cell>
          <cell r="B38">
            <v>100826</v>
          </cell>
          <cell r="C38" t="str">
            <v>50601458431</v>
          </cell>
          <cell r="D38" t="str">
            <v>BAND YELLOW ID FALL PRV NAR</v>
          </cell>
        </row>
        <row r="39">
          <cell r="A39" t="str">
            <v>M17-2-1C10</v>
          </cell>
          <cell r="B39">
            <v>60169</v>
          </cell>
          <cell r="C39" t="str">
            <v>33118G</v>
          </cell>
          <cell r="D39" t="str">
            <v>HOOK 5MM RETRACT SHARP ELC</v>
          </cell>
        </row>
        <row r="40">
          <cell r="A40" t="str">
            <v>M28-2-1C09</v>
          </cell>
          <cell r="B40">
            <v>74060</v>
          </cell>
          <cell r="C40" t="str">
            <v>14100</v>
          </cell>
          <cell r="D40" t="str">
            <v>STRIP INDICATOR CHEM STRD LF</v>
          </cell>
        </row>
        <row r="41">
          <cell r="A41" t="str">
            <v>M18-2-1C03</v>
          </cell>
          <cell r="B41">
            <v>127244</v>
          </cell>
          <cell r="C41" t="str">
            <v>PBM10CAS</v>
          </cell>
          <cell r="D41" t="str">
            <v>SCALPEL SAFETY 10 PENBLADE</v>
          </cell>
        </row>
        <row r="42">
          <cell r="A42" t="str">
            <v>M17-2-1C08</v>
          </cell>
          <cell r="B42">
            <v>2693</v>
          </cell>
          <cell r="C42" t="str">
            <v>1016</v>
          </cell>
          <cell r="D42" t="str">
            <v>DRAPE 23X19IN IRR POUCH ADH</v>
          </cell>
        </row>
        <row r="43">
          <cell r="A43" t="str">
            <v>M28-2-1B04</v>
          </cell>
          <cell r="B43">
            <v>98212</v>
          </cell>
          <cell r="C43" t="str">
            <v>M00584040</v>
          </cell>
          <cell r="D43" t="str">
            <v>SPHINCTEROTOME 20MM 260CM</v>
          </cell>
        </row>
        <row r="44">
          <cell r="A44" t="str">
            <v>M27-2-1B07</v>
          </cell>
          <cell r="B44">
            <v>156659</v>
          </cell>
          <cell r="C44" t="str">
            <v>CUR251636</v>
          </cell>
          <cell r="D44" t="str">
            <v>DRESSING PETRO 36INL 6INW GAUZ</v>
          </cell>
        </row>
        <row r="45">
          <cell r="A45" t="str">
            <v>M27-2-1C02</v>
          </cell>
          <cell r="B45">
            <v>35582</v>
          </cell>
          <cell r="C45" t="str">
            <v>G00993</v>
          </cell>
          <cell r="D45" t="str">
            <v>DILATOR VASC 10FR 20CM STD</v>
          </cell>
        </row>
        <row r="46">
          <cell r="A46" t="str">
            <v>M26-2-1C01</v>
          </cell>
          <cell r="B46">
            <v>120175</v>
          </cell>
          <cell r="C46" t="str">
            <v>NON255145</v>
          </cell>
          <cell r="D46" t="str">
            <v>GAUZE PACKING PLAIN 1/4IN X 5</v>
          </cell>
        </row>
        <row r="47">
          <cell r="A47" t="str">
            <v>M17-2-1B02</v>
          </cell>
          <cell r="B47">
            <v>1471</v>
          </cell>
          <cell r="C47" t="str">
            <v>R1547</v>
          </cell>
          <cell r="D47" t="str">
            <v>CLOSURE SKIN STRIP 4X0.5IN</v>
          </cell>
        </row>
        <row r="48">
          <cell r="A48" t="str">
            <v>M18-2-1D10</v>
          </cell>
          <cell r="B48">
            <v>62296</v>
          </cell>
          <cell r="C48" t="str">
            <v>M8275051/10.S</v>
          </cell>
          <cell r="D48" t="str">
            <v>DRESSING THK3.3CM SM 10X7.5CM</v>
          </cell>
        </row>
        <row r="49">
          <cell r="A49" t="str">
            <v>M25-2-1C08</v>
          </cell>
          <cell r="B49">
            <v>112427</v>
          </cell>
          <cell r="C49" t="str">
            <v>6UN75H</v>
          </cell>
          <cell r="D49" t="str">
            <v>TUBE 7.5MM UNCUF NFEN INR</v>
          </cell>
        </row>
        <row r="50">
          <cell r="A50" t="str">
            <v>M18-2-1C04</v>
          </cell>
          <cell r="B50">
            <v>13223</v>
          </cell>
          <cell r="C50" t="str">
            <v>105LF</v>
          </cell>
          <cell r="D50" t="str">
            <v>TAPE DRESSING 5YDX.5IN ON SPL</v>
          </cell>
        </row>
        <row r="51">
          <cell r="A51" t="str">
            <v>M25-2-1B01</v>
          </cell>
          <cell r="B51">
            <v>31426</v>
          </cell>
          <cell r="C51" t="str">
            <v>01075</v>
          </cell>
          <cell r="D51" t="str">
            <v>MASK AERS ADLT TRACHEO SWVL</v>
          </cell>
        </row>
        <row r="52">
          <cell r="A52" t="str">
            <v>M28-2-1A07</v>
          </cell>
          <cell r="B52">
            <v>12007</v>
          </cell>
          <cell r="C52" t="str">
            <v>4020609</v>
          </cell>
          <cell r="D52" t="str">
            <v>FILTER TRNSF BLOOD VALVE HMTP</v>
          </cell>
        </row>
        <row r="53">
          <cell r="A53" t="str">
            <v>M28-2-1C07</v>
          </cell>
          <cell r="B53">
            <v>157248</v>
          </cell>
          <cell r="C53" t="str">
            <v>MDS160624</v>
          </cell>
          <cell r="D53" t="str">
            <v>STOCKING COMP SM REG KN-HI</v>
          </cell>
        </row>
        <row r="54">
          <cell r="A54" t="str">
            <v>M28-2-1D08</v>
          </cell>
          <cell r="B54">
            <v>112720</v>
          </cell>
          <cell r="C54" t="str">
            <v>C17</v>
          </cell>
          <cell r="D54" t="str">
            <v>BAG ZPLK CLR 4 MIL 5X8</v>
          </cell>
        </row>
        <row r="55">
          <cell r="A55" t="str">
            <v>M18-2-1C02</v>
          </cell>
          <cell r="B55">
            <v>101265</v>
          </cell>
          <cell r="C55" t="str">
            <v>712804</v>
          </cell>
          <cell r="D55" t="str">
            <v>BLOCK BITE 60FR RUB ADLT STRAP</v>
          </cell>
        </row>
        <row r="56">
          <cell r="A56" t="str">
            <v>M18-2-1C01</v>
          </cell>
          <cell r="B56">
            <v>222</v>
          </cell>
          <cell r="C56" t="str">
            <v>1030025</v>
          </cell>
          <cell r="D56" t="str">
            <v>SPLINT ORTH MED 11IN RT WR</v>
          </cell>
        </row>
        <row r="57">
          <cell r="A57" t="str">
            <v>M17-2-1C01</v>
          </cell>
          <cell r="B57">
            <v>127265</v>
          </cell>
          <cell r="C57" t="str">
            <v>66800836</v>
          </cell>
          <cell r="D57" t="str">
            <v>DRESSING GNTL BRDR 2INX4IN</v>
          </cell>
        </row>
        <row r="58">
          <cell r="A58" t="str">
            <v>M16-2-1C01</v>
          </cell>
          <cell r="B58">
            <v>116639</v>
          </cell>
          <cell r="C58" t="str">
            <v>DYND44140</v>
          </cell>
          <cell r="D58" t="str">
            <v>CLLCTR SPEC MCS TRP STRL 400CC</v>
          </cell>
        </row>
        <row r="59">
          <cell r="A59" t="str">
            <v>M25-2-1C01</v>
          </cell>
          <cell r="B59">
            <v>1115</v>
          </cell>
          <cell r="C59" t="str">
            <v>MDS001005</v>
          </cell>
          <cell r="D59" t="str">
            <v>SOAP CASTILE 1/3OZ</v>
          </cell>
        </row>
        <row r="60">
          <cell r="A60" t="str">
            <v>M27-2-1C01</v>
          </cell>
          <cell r="B60">
            <v>11489</v>
          </cell>
          <cell r="C60" t="str">
            <v>E5699</v>
          </cell>
          <cell r="D60" t="str">
            <v>PROTECTOR EYE CROUCH REMOVE</v>
          </cell>
        </row>
        <row r="61">
          <cell r="A61" t="str">
            <v>M27-2-1B03</v>
          </cell>
          <cell r="B61">
            <v>27576</v>
          </cell>
          <cell r="C61" t="str">
            <v>47660</v>
          </cell>
          <cell r="D61" t="str">
            <v>GLOVE SURG 6 LF BGL PI ORTH</v>
          </cell>
        </row>
        <row r="62">
          <cell r="A62" t="str">
            <v>M27-2-1D08</v>
          </cell>
          <cell r="B62">
            <v>131595</v>
          </cell>
          <cell r="C62" t="str">
            <v>40885</v>
          </cell>
          <cell r="D62" t="str">
            <v>GLOVE SURG LF PF 8.5</v>
          </cell>
        </row>
        <row r="63">
          <cell r="A63" t="str">
            <v>M27-2-1B01</v>
          </cell>
          <cell r="B63">
            <v>128901</v>
          </cell>
          <cell r="C63" t="str">
            <v>MSC6102</v>
          </cell>
          <cell r="D63" t="str">
            <v>SKINTEGRITY WOUND GEL 30/</v>
          </cell>
        </row>
        <row r="64">
          <cell r="A64" t="str">
            <v>M25-2-1C09</v>
          </cell>
          <cell r="B64">
            <v>88439</v>
          </cell>
          <cell r="C64" t="str">
            <v>7230V</v>
          </cell>
          <cell r="D64" t="str">
            <v>KIT MCTRDCR .018IN 4FR 40CM</v>
          </cell>
        </row>
        <row r="65">
          <cell r="A65" t="str">
            <v>M16-2-1B03</v>
          </cell>
          <cell r="B65">
            <v>156679</v>
          </cell>
          <cell r="C65" t="str">
            <v>CUR251318</v>
          </cell>
          <cell r="D65" t="str">
            <v>DRESSING PETRO 18IN X 3IN WIDE</v>
          </cell>
        </row>
        <row r="66">
          <cell r="A66" t="str">
            <v>M16-2-1B02</v>
          </cell>
          <cell r="B66">
            <v>138285</v>
          </cell>
          <cell r="C66" t="str">
            <v>422300</v>
          </cell>
          <cell r="D66" t="str">
            <v>DRESSING AQUACEL AG ADV</v>
          </cell>
        </row>
        <row r="67">
          <cell r="A67" t="str">
            <v>M28-2-1A06</v>
          </cell>
          <cell r="B67">
            <v>157618</v>
          </cell>
          <cell r="C67" t="str">
            <v>MDS160864</v>
          </cell>
          <cell r="D67" t="str">
            <v>STOCKING ANTI EMBOL T-L L REG</v>
          </cell>
        </row>
        <row r="68">
          <cell r="A68" t="str">
            <v>M28-2-1B07</v>
          </cell>
          <cell r="B68">
            <v>157507</v>
          </cell>
          <cell r="C68" t="str">
            <v>CUR253220</v>
          </cell>
          <cell r="D68" t="str">
            <v>GAUZE DRESSING 2INX2IN STERILE</v>
          </cell>
        </row>
        <row r="69">
          <cell r="A69" t="str">
            <v>M28-2-1E06</v>
          </cell>
          <cell r="B69">
            <v>117036</v>
          </cell>
          <cell r="C69" t="str">
            <v>509341</v>
          </cell>
          <cell r="D69" t="str">
            <v>DRESSING WOUND SLVR CNTCT 4X5</v>
          </cell>
        </row>
        <row r="70">
          <cell r="A70" t="str">
            <v>M16-2-1C09</v>
          </cell>
          <cell r="B70">
            <v>2948</v>
          </cell>
          <cell r="C70" t="str">
            <v>4350</v>
          </cell>
          <cell r="D70" t="str">
            <v>BARRIER ADH INTCD ABS</v>
          </cell>
        </row>
        <row r="71">
          <cell r="A71" t="str">
            <v>M15-2-1C03</v>
          </cell>
          <cell r="B71">
            <v>11895</v>
          </cell>
          <cell r="C71" t="str">
            <v>8610</v>
          </cell>
          <cell r="D71" t="str">
            <v>REMOVER PREP SOL DRPRP .5OZ</v>
          </cell>
        </row>
        <row r="72">
          <cell r="A72" t="str">
            <v>M16-2-1C04</v>
          </cell>
          <cell r="B72">
            <v>101442</v>
          </cell>
          <cell r="C72" t="str">
            <v>9052</v>
          </cell>
          <cell r="D72" t="str">
            <v>PADDING CAST 2INX4YD SOF-ROL</v>
          </cell>
        </row>
        <row r="73">
          <cell r="A73" t="str">
            <v>M26-2-1C02</v>
          </cell>
          <cell r="B73">
            <v>14732</v>
          </cell>
          <cell r="C73" t="str">
            <v>1085</v>
          </cell>
          <cell r="D73" t="str">
            <v>MASK AERS PED ELNG CONNECT ADJ</v>
          </cell>
        </row>
        <row r="74">
          <cell r="A74" t="str">
            <v>M25-2-1C10</v>
          </cell>
          <cell r="B74">
            <v>157797</v>
          </cell>
          <cell r="C74" t="str">
            <v>TPRT5284150</v>
          </cell>
          <cell r="D74" t="str">
            <v>ARMBOARD IV NEONAT 4X1.5IN</v>
          </cell>
        </row>
        <row r="75">
          <cell r="A75" t="str">
            <v>M17-2-1B09</v>
          </cell>
          <cell r="B75">
            <v>95801</v>
          </cell>
          <cell r="C75" t="str">
            <v>LP636</v>
          </cell>
          <cell r="D75" t="str">
            <v>POWDER BIOSEAL CVC STRL ART</v>
          </cell>
        </row>
        <row r="76">
          <cell r="A76" t="str">
            <v>M28-2-1C06</v>
          </cell>
          <cell r="B76">
            <v>156306</v>
          </cell>
          <cell r="C76" t="str">
            <v>M0061903200</v>
          </cell>
          <cell r="D76" t="str">
            <v>STENT URETERAL 6FR L20CM</v>
          </cell>
        </row>
        <row r="77">
          <cell r="A77" t="str">
            <v>M28-2-1D09</v>
          </cell>
          <cell r="B77">
            <v>2191</v>
          </cell>
          <cell r="C77" t="str">
            <v>1952</v>
          </cell>
          <cell r="D77" t="str">
            <v>CELLULOSE OXD 8X4IN ABS HEMOST</v>
          </cell>
        </row>
        <row r="78">
          <cell r="A78" t="str">
            <v>M18-2-1C09</v>
          </cell>
          <cell r="B78">
            <v>101249</v>
          </cell>
          <cell r="C78" t="str">
            <v>DYNJNC40F</v>
          </cell>
          <cell r="D78" t="str">
            <v>COUNTER 40 TO 70 CNT MAG LF RD</v>
          </cell>
        </row>
        <row r="79">
          <cell r="A79" t="str">
            <v>M15-2-1C08</v>
          </cell>
          <cell r="B79">
            <v>18603</v>
          </cell>
          <cell r="C79" t="str">
            <v>DS101414</v>
          </cell>
          <cell r="D79" t="str">
            <v>SHOE LG M PAT POSTOP SMRG</v>
          </cell>
        </row>
        <row r="80">
          <cell r="A80" t="str">
            <v>M28-2-1D07</v>
          </cell>
          <cell r="B80">
            <v>74241</v>
          </cell>
          <cell r="C80" t="str">
            <v>6662</v>
          </cell>
          <cell r="D80" t="str">
            <v>SPONGE 6.75X6IN SUPER ANMC</v>
          </cell>
        </row>
        <row r="81">
          <cell r="A81" t="str">
            <v>M28-2-1B05</v>
          </cell>
          <cell r="B81">
            <v>18396</v>
          </cell>
          <cell r="C81" t="str">
            <v>73319HEL</v>
          </cell>
          <cell r="D81" t="str">
            <v>LINE GAS SMPL SMPL LINE CAPN 1</v>
          </cell>
        </row>
        <row r="82">
          <cell r="A82" t="str">
            <v>M25-2-1B09</v>
          </cell>
          <cell r="B82">
            <v>78468</v>
          </cell>
          <cell r="C82" t="str">
            <v>013112001</v>
          </cell>
          <cell r="D82" t="str">
            <v>TIE LCK 1.75IN LG NYL SCR TUB</v>
          </cell>
        </row>
        <row r="83">
          <cell r="A83" t="str">
            <v>M28-2-1C01</v>
          </cell>
          <cell r="B83">
            <v>109245</v>
          </cell>
          <cell r="C83" t="str">
            <v>DYNJSM02</v>
          </cell>
          <cell r="D83" t="str">
            <v>MARKER SKIN W RLR AND LABEL</v>
          </cell>
        </row>
        <row r="84">
          <cell r="A84" t="str">
            <v>M26-2-1C09</v>
          </cell>
          <cell r="B84">
            <v>82352</v>
          </cell>
          <cell r="C84" t="str">
            <v>519956</v>
          </cell>
          <cell r="D84" t="str">
            <v>DRESSING HDRCLD 4X4IN RSTR TPR</v>
          </cell>
        </row>
        <row r="85">
          <cell r="A85" t="str">
            <v>M26-2-1A10</v>
          </cell>
          <cell r="B85">
            <v>159002</v>
          </cell>
          <cell r="C85" t="str">
            <v>MPHBD</v>
          </cell>
          <cell r="D85" t="str">
            <v>BATTERY ALKL MEDCELL 1.5V D</v>
          </cell>
        </row>
        <row r="86">
          <cell r="A86" t="str">
            <v>M27-2-1B06</v>
          </cell>
          <cell r="B86">
            <v>38191</v>
          </cell>
          <cell r="C86" t="str">
            <v>32200</v>
          </cell>
          <cell r="D86" t="str">
            <v>CLEANER ELECTROSURG TIP 2X2IN</v>
          </cell>
        </row>
        <row r="87">
          <cell r="A87" t="str">
            <v>M26-2-1B10</v>
          </cell>
          <cell r="B87">
            <v>157041</v>
          </cell>
          <cell r="C87" t="str">
            <v>1760</v>
          </cell>
          <cell r="D87" t="str">
            <v>TEST CLNTST HCG PREG CASSETTE</v>
          </cell>
        </row>
        <row r="88">
          <cell r="A88" t="str">
            <v>M16-2-1C02</v>
          </cell>
          <cell r="B88">
            <v>91</v>
          </cell>
          <cell r="C88" t="str">
            <v>B10800</v>
          </cell>
          <cell r="D88" t="str">
            <v>PAD SURG PREP CHLORASWAB 70%</v>
          </cell>
        </row>
        <row r="89">
          <cell r="A89" t="str">
            <v>M18-2-1B02</v>
          </cell>
          <cell r="B89">
            <v>261</v>
          </cell>
          <cell r="C89" t="str">
            <v>8884433200</v>
          </cell>
          <cell r="D89" t="str">
            <v>LUBRICANT JLY VSLN STH PKT STR</v>
          </cell>
        </row>
        <row r="90">
          <cell r="A90" t="str">
            <v>M17-2-1C02</v>
          </cell>
          <cell r="B90">
            <v>35402</v>
          </cell>
          <cell r="C90" t="str">
            <v>056116</v>
          </cell>
          <cell r="D90" t="str">
            <v>CATHETER URETH BDX RBNSN 16FR</v>
          </cell>
        </row>
        <row r="91">
          <cell r="A91" t="str">
            <v>M16-2-1A09</v>
          </cell>
          <cell r="B91">
            <v>82664</v>
          </cell>
          <cell r="C91" t="str">
            <v>281020545</v>
          </cell>
          <cell r="D91" t="str">
            <v>LUBRICANT JLY SRGLB FOIL PACK</v>
          </cell>
        </row>
        <row r="92">
          <cell r="A92" t="str">
            <v>M28-2-1E04</v>
          </cell>
          <cell r="B92">
            <v>9733</v>
          </cell>
          <cell r="C92" t="str">
            <v>30723</v>
          </cell>
          <cell r="D92" t="str">
            <v>LOOP VSL MAXI LF BLU RADIOPQ</v>
          </cell>
        </row>
        <row r="93">
          <cell r="A93" t="str">
            <v>M17-2-1B01</v>
          </cell>
          <cell r="B93">
            <v>325</v>
          </cell>
          <cell r="C93" t="str">
            <v>A152407</v>
          </cell>
          <cell r="D93" t="str">
            <v>SHOE LG F PAT POSTOP WDN SOLE</v>
          </cell>
        </row>
        <row r="94">
          <cell r="A94" t="str">
            <v>M28-2-1D01</v>
          </cell>
          <cell r="B94">
            <v>114263</v>
          </cell>
          <cell r="C94" t="str">
            <v>MDS9388</v>
          </cell>
          <cell r="D94" t="str">
            <v>SPHYGMOMANOMETER HH ADLT LG</v>
          </cell>
        </row>
        <row r="95">
          <cell r="A95" t="str">
            <v>M28-2-1D06</v>
          </cell>
          <cell r="B95">
            <v>100732</v>
          </cell>
          <cell r="C95" t="str">
            <v>REUSE11L</v>
          </cell>
          <cell r="D95" t="str">
            <v>CUFF BP FLEXIPORT REUSE</v>
          </cell>
        </row>
        <row r="96">
          <cell r="A96" t="str">
            <v>M15-2-1C10</v>
          </cell>
          <cell r="B96">
            <v>214</v>
          </cell>
          <cell r="C96" t="str">
            <v>46621</v>
          </cell>
          <cell r="D96" t="str">
            <v>DRESSING 8X3IN NADH WOUND OIL</v>
          </cell>
        </row>
        <row r="97">
          <cell r="A97" t="str">
            <v>M18-2-1B01</v>
          </cell>
          <cell r="B97">
            <v>124911</v>
          </cell>
          <cell r="C97" t="str">
            <v>M00521231</v>
          </cell>
          <cell r="D97" t="str">
            <v>CLIP CONTROLS AND STOP GI</v>
          </cell>
        </row>
        <row r="98">
          <cell r="A98" t="str">
            <v>M28-2-1C04</v>
          </cell>
          <cell r="B98">
            <v>64559</v>
          </cell>
          <cell r="C98" t="str">
            <v>AE4800</v>
          </cell>
          <cell r="D98" t="str">
            <v>TAPE MSR BRSL PED LF</v>
          </cell>
        </row>
        <row r="99">
          <cell r="A99" t="str">
            <v>M18-2-1B09</v>
          </cell>
          <cell r="B99">
            <v>88081</v>
          </cell>
          <cell r="C99" t="str">
            <v>MAP152</v>
          </cell>
          <cell r="D99" t="str">
            <v>PACK ACC+ ANGIO LG BORE</v>
          </cell>
        </row>
        <row r="100">
          <cell r="A100" t="str">
            <v>M28-2-1A09</v>
          </cell>
          <cell r="B100">
            <v>158172</v>
          </cell>
          <cell r="C100" t="str">
            <v>1492CH</v>
          </cell>
          <cell r="D100" t="str">
            <v>DRESSING TRANSPRNT FILM 5X4IN</v>
          </cell>
        </row>
        <row r="101">
          <cell r="A101" t="str">
            <v>M18-2-1B08</v>
          </cell>
          <cell r="B101">
            <v>37716</v>
          </cell>
          <cell r="C101" t="str">
            <v>0100-20</v>
          </cell>
          <cell r="D101" t="str">
            <v>TUBE 20FR SIL PORT BALLOON D</v>
          </cell>
        </row>
        <row r="102">
          <cell r="A102" t="str">
            <v>M17-2-1C03</v>
          </cell>
          <cell r="B102">
            <v>98959</v>
          </cell>
          <cell r="C102" t="str">
            <v>ART0420</v>
          </cell>
          <cell r="D102" t="str">
            <v>DEVICE STLK ART STAB</v>
          </cell>
        </row>
        <row r="103">
          <cell r="A103" t="str">
            <v>M25-2-1C02</v>
          </cell>
          <cell r="B103">
            <v>117930</v>
          </cell>
          <cell r="C103" t="str">
            <v>9605-24</v>
          </cell>
          <cell r="D103" t="str">
            <v>CLEANSER HAND SNTZR 2OZ</v>
          </cell>
        </row>
        <row r="104">
          <cell r="A104" t="str">
            <v>M28-2-1A05</v>
          </cell>
          <cell r="B104">
            <v>107963</v>
          </cell>
          <cell r="C104" t="str">
            <v>2411-01</v>
          </cell>
          <cell r="D104" t="str">
            <v>CANNULA NASAL HMDFCN ADLT</v>
          </cell>
        </row>
        <row r="105">
          <cell r="A105" t="str">
            <v>M27-2-1C10</v>
          </cell>
          <cell r="B105">
            <v>112434</v>
          </cell>
          <cell r="C105" t="str">
            <v>8CN85H</v>
          </cell>
          <cell r="D105" t="str">
            <v>TUBE 8.5MM CUFF INR</v>
          </cell>
        </row>
        <row r="106">
          <cell r="A106" t="str">
            <v>M27-2-1D03</v>
          </cell>
          <cell r="B106">
            <v>105010</v>
          </cell>
          <cell r="C106" t="str">
            <v>305197</v>
          </cell>
          <cell r="D106" t="str">
            <v>NEEDLE HYPODERM 16GA 1IN PRCSN</v>
          </cell>
        </row>
        <row r="107">
          <cell r="A107" t="str">
            <v>M28-2-1A02</v>
          </cell>
          <cell r="B107">
            <v>115226</v>
          </cell>
          <cell r="C107" t="str">
            <v>79-87500</v>
          </cell>
          <cell r="D107" t="str">
            <v>SPLINT WRIST/FRARM UNIV RT</v>
          </cell>
        </row>
        <row r="108">
          <cell r="A108" t="str">
            <v>M28-2-1A08</v>
          </cell>
          <cell r="B108">
            <v>116955</v>
          </cell>
          <cell r="C108" t="str">
            <v>90801</v>
          </cell>
          <cell r="D108" t="str">
            <v>DRESSING ABS OVAL CLR 4.4X5IN</v>
          </cell>
        </row>
        <row r="109">
          <cell r="A109" t="str">
            <v>M15-2-1B10</v>
          </cell>
          <cell r="B109">
            <v>33833</v>
          </cell>
          <cell r="C109" t="str">
            <v>8888247064</v>
          </cell>
          <cell r="D109" t="str">
            <v>TUBE NASO 34FR THNWL INTRR SRR</v>
          </cell>
        </row>
        <row r="110">
          <cell r="A110" t="str">
            <v>M28-2-1B09</v>
          </cell>
          <cell r="B110">
            <v>9384</v>
          </cell>
          <cell r="C110" t="str">
            <v>8888247031</v>
          </cell>
          <cell r="D110" t="str">
            <v>TUBE NASO 28FR THNWL INTRR SRR</v>
          </cell>
        </row>
        <row r="111">
          <cell r="A111" t="str">
            <v>M27-2-1D01</v>
          </cell>
          <cell r="B111">
            <v>101187</v>
          </cell>
          <cell r="C111" t="str">
            <v>3344</v>
          </cell>
          <cell r="D111" t="str">
            <v>WIPE CVLN BARRIER FILM NSTNG</v>
          </cell>
        </row>
        <row r="112">
          <cell r="A112" t="str">
            <v>M28-2-1B01</v>
          </cell>
          <cell r="B112">
            <v>113437</v>
          </cell>
          <cell r="C112" t="str">
            <v>42217</v>
          </cell>
          <cell r="D112" t="str">
            <v>COVER TABLE BACK 44X90IN</v>
          </cell>
        </row>
        <row r="113">
          <cell r="A113" t="str">
            <v>M15-2-1C01</v>
          </cell>
          <cell r="B113">
            <v>83919</v>
          </cell>
          <cell r="C113" t="str">
            <v>80XLTIN</v>
          </cell>
          <cell r="D113" t="str">
            <v>TUBE 8MM CUFF PROX EXTN SH</v>
          </cell>
        </row>
        <row r="114">
          <cell r="A114" t="str">
            <v>M16-2-1A10</v>
          </cell>
          <cell r="B114">
            <v>7411</v>
          </cell>
          <cell r="C114" t="str">
            <v>V2941335</v>
          </cell>
          <cell r="D114" t="str">
            <v>PAPER MDTRC RECORD GREEN GRID</v>
          </cell>
        </row>
        <row r="115">
          <cell r="A115" t="str">
            <v>M15-2-1B02</v>
          </cell>
          <cell r="B115">
            <v>115008</v>
          </cell>
          <cell r="C115" t="str">
            <v>63010</v>
          </cell>
          <cell r="D115" t="str">
            <v>SUPPLEMENT NTRN MLK PRTN 5ML</v>
          </cell>
        </row>
        <row r="116">
          <cell r="A116" t="str">
            <v>M27-2-1B09</v>
          </cell>
          <cell r="B116">
            <v>35156</v>
          </cell>
          <cell r="C116" t="str">
            <v>30101</v>
          </cell>
          <cell r="D116" t="str">
            <v>SPONGE SURG .25X9/16IN ENDO</v>
          </cell>
        </row>
        <row r="117">
          <cell r="A117" t="str">
            <v>M25-2-1B10</v>
          </cell>
          <cell r="B117">
            <v>80739</v>
          </cell>
          <cell r="C117" t="str">
            <v>1001780HC</v>
          </cell>
          <cell r="D117" t="str">
            <v>WIRE BMW 190 CM STRT TIP DOC</v>
          </cell>
        </row>
        <row r="118">
          <cell r="A118" t="str">
            <v>M26-2-1B01</v>
          </cell>
          <cell r="B118">
            <v>156867</v>
          </cell>
          <cell r="C118" t="str">
            <v>27-8000</v>
          </cell>
          <cell r="D118" t="str">
            <v>DEVICE PEP THERPY VIBR ACAPELL</v>
          </cell>
        </row>
        <row r="119">
          <cell r="A119" t="str">
            <v>M16-2-1B01</v>
          </cell>
          <cell r="B119">
            <v>364</v>
          </cell>
          <cell r="C119" t="str">
            <v>2WZ1A</v>
          </cell>
          <cell r="D119" t="str">
            <v>TAPE LABELING WHT 1IN BLNK</v>
          </cell>
        </row>
        <row r="120">
          <cell r="A120" t="str">
            <v>M27-2-1C06</v>
          </cell>
          <cell r="B120">
            <v>59363</v>
          </cell>
          <cell r="C120" t="str">
            <v>0165L16</v>
          </cell>
          <cell r="D120" t="str">
            <v>CATHETER URETH IC 16FR 5CC</v>
          </cell>
        </row>
        <row r="121">
          <cell r="A121" t="str">
            <v>M15-2-1B09</v>
          </cell>
          <cell r="B121">
            <v>87497</v>
          </cell>
          <cell r="C121" t="str">
            <v>NONNET07</v>
          </cell>
          <cell r="D121" t="str">
            <v>RETAINER SRGLST 7 25YDX4IN ELC</v>
          </cell>
        </row>
        <row r="122">
          <cell r="A122" t="str">
            <v>M28-2-1A04</v>
          </cell>
          <cell r="B122">
            <v>131494</v>
          </cell>
          <cell r="C122" t="str">
            <v>333648</v>
          </cell>
          <cell r="D122" t="str">
            <v>NEEDLE STPLX ULTRA 20GA 4IN</v>
          </cell>
        </row>
        <row r="123">
          <cell r="A123" t="str">
            <v>M25-2-1B02</v>
          </cell>
          <cell r="B123">
            <v>118905</v>
          </cell>
          <cell r="C123" t="str">
            <v>NON24293</v>
          </cell>
          <cell r="D123" t="str">
            <v>ARMBOARD IV CHILD 3IN X 9IN DI</v>
          </cell>
        </row>
        <row r="124">
          <cell r="A124" t="str">
            <v>M26-2-1C10</v>
          </cell>
          <cell r="B124">
            <v>83917</v>
          </cell>
          <cell r="C124" t="str">
            <v>60XLTIN</v>
          </cell>
          <cell r="D124" t="str">
            <v>TUBE 95MM 11MM 6MM CUFF PROX</v>
          </cell>
        </row>
        <row r="125">
          <cell r="A125" t="str">
            <v>M28-2-1E09</v>
          </cell>
          <cell r="B125">
            <v>80750</v>
          </cell>
          <cell r="C125" t="str">
            <v>CGRXT190HS</v>
          </cell>
          <cell r="D125" t="str">
            <v>WIRE COUGAR XT 190 CM</v>
          </cell>
        </row>
        <row r="126">
          <cell r="A126" t="str">
            <v>M28-2-1C08</v>
          </cell>
          <cell r="B126">
            <v>112421</v>
          </cell>
          <cell r="C126" t="str">
            <v>4UN65H</v>
          </cell>
          <cell r="D126" t="str">
            <v>TUBE 6.5MM UNCUF NFEN INR</v>
          </cell>
        </row>
        <row r="127">
          <cell r="A127" t="str">
            <v>M28-2-1D05</v>
          </cell>
          <cell r="B127">
            <v>8592</v>
          </cell>
          <cell r="C127" t="str">
            <v>2234515H</v>
          </cell>
          <cell r="D127" t="str">
            <v>DRAPE CASSETTE 40.5X20IN XRAY</v>
          </cell>
        </row>
        <row r="128">
          <cell r="A128" t="str">
            <v>M28-2-1D03</v>
          </cell>
          <cell r="B128">
            <v>20674</v>
          </cell>
          <cell r="C128" t="str">
            <v>RSS701</v>
          </cell>
          <cell r="D128" t="str">
            <v>INTRODUCER SHEATH 7FR 2.5CM</v>
          </cell>
        </row>
        <row r="129">
          <cell r="A129" t="str">
            <v>M27-2-1D02</v>
          </cell>
          <cell r="B129">
            <v>91386</v>
          </cell>
          <cell r="C129" t="str">
            <v>G53566</v>
          </cell>
          <cell r="D129" t="str">
            <v>GUIDEWIRE VASC.035IN145CM8CMUS</v>
          </cell>
        </row>
        <row r="130">
          <cell r="A130" t="str">
            <v>M27-2-1D10</v>
          </cell>
          <cell r="B130">
            <v>8328</v>
          </cell>
          <cell r="C130" t="str">
            <v>8888570564</v>
          </cell>
          <cell r="D130" t="str">
            <v>CATHETER DRAIN 36FR 20IN ARG</v>
          </cell>
        </row>
        <row r="131">
          <cell r="A131" t="str">
            <v>M27-2-1C05</v>
          </cell>
          <cell r="B131">
            <v>96225</v>
          </cell>
          <cell r="C131" t="str">
            <v>932452</v>
          </cell>
          <cell r="D131" t="str">
            <v>BANDAGE CNFRM 4.5YDX1IN</v>
          </cell>
        </row>
        <row r="132">
          <cell r="A132" t="str">
            <v>M27-2-1D07</v>
          </cell>
          <cell r="B132">
            <v>114346</v>
          </cell>
          <cell r="C132" t="str">
            <v>1859</v>
          </cell>
          <cell r="D132" t="str">
            <v>SENSOR SPO2 FINGER ADLT</v>
          </cell>
        </row>
        <row r="133">
          <cell r="A133" t="str">
            <v>M27-2-1C08</v>
          </cell>
          <cell r="B133">
            <v>116941</v>
          </cell>
          <cell r="C133" t="str">
            <v>NON21600</v>
          </cell>
          <cell r="D133" t="str">
            <v>PAD EYE OVAL 1 5/8X2 5/8IN</v>
          </cell>
        </row>
        <row r="134">
          <cell r="A134" t="str">
            <v>M27-2-1B10</v>
          </cell>
          <cell r="B134">
            <v>103106</v>
          </cell>
          <cell r="C134" t="str">
            <v>4625315160</v>
          </cell>
          <cell r="D134" t="str">
            <v>STRIP CGCHK XS COAG TEST 48</v>
          </cell>
        </row>
        <row r="135">
          <cell r="A135" t="str">
            <v>M27-2-1B04</v>
          </cell>
          <cell r="B135">
            <v>331</v>
          </cell>
          <cell r="C135" t="str">
            <v>MDS090780</v>
          </cell>
          <cell r="D135" t="str">
            <v>REMOVER NAIL PLSH ACTN FREE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3C5B-3092-495F-ABB2-E971377D1F02}">
  <dimension ref="C1:DX64"/>
  <sheetViews>
    <sheetView zoomScale="50" zoomScaleNormal="50" zoomScaleSheetLayoutView="50" workbookViewId="0">
      <selection activeCell="K6" sqref="K6"/>
    </sheetView>
  </sheetViews>
  <sheetFormatPr defaultColWidth="8.85546875" defaultRowHeight="15"/>
  <cols>
    <col min="1" max="10" width="4.42578125" customWidth="1"/>
    <col min="11" max="11" width="7.42578125" customWidth="1"/>
    <col min="12" max="12" width="8.42578125" bestFit="1" customWidth="1"/>
    <col min="13" max="112" width="7.42578125" customWidth="1"/>
  </cols>
  <sheetData>
    <row r="1" spans="3:128">
      <c r="U1" s="172" t="s">
        <v>0</v>
      </c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4"/>
      <c r="AO1" s="172" t="s">
        <v>1</v>
      </c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4"/>
      <c r="BP1" s="172" t="s">
        <v>0</v>
      </c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4"/>
    </row>
    <row r="2" spans="3:128" ht="15.95" thickBot="1">
      <c r="U2" s="175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7"/>
      <c r="AO2" s="175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7"/>
      <c r="BP2" s="175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76"/>
      <c r="CD2" s="176"/>
      <c r="CE2" s="176"/>
      <c r="CF2" s="177"/>
    </row>
    <row r="3" spans="3:128" ht="15.95" thickBot="1"/>
    <row r="4" spans="3:128" ht="15.75" customHeight="1" thickTop="1" thickBot="1">
      <c r="C4" s="203" t="s">
        <v>2</v>
      </c>
      <c r="D4" s="204"/>
      <c r="E4" s="204"/>
      <c r="F4" s="209"/>
      <c r="G4" s="203" t="s">
        <v>2</v>
      </c>
      <c r="H4" s="204"/>
      <c r="I4" s="204"/>
      <c r="J4" s="204"/>
      <c r="K4" s="36" t="s">
        <v>3</v>
      </c>
      <c r="L4" s="26" t="s">
        <v>4</v>
      </c>
      <c r="M4" s="26" t="s">
        <v>5</v>
      </c>
      <c r="N4" s="26" t="s">
        <v>6</v>
      </c>
      <c r="O4" s="26" t="s">
        <v>7</v>
      </c>
      <c r="P4" s="27" t="s">
        <v>8</v>
      </c>
      <c r="Q4" s="36" t="s">
        <v>9</v>
      </c>
      <c r="R4" s="26" t="s">
        <v>10</v>
      </c>
      <c r="S4" s="26" t="s">
        <v>11</v>
      </c>
      <c r="T4" s="26" t="s">
        <v>12</v>
      </c>
      <c r="U4" s="227" t="s">
        <v>13</v>
      </c>
      <c r="V4" s="27" t="s">
        <v>14</v>
      </c>
      <c r="W4" s="36" t="s">
        <v>15</v>
      </c>
      <c r="X4" s="26" t="s">
        <v>16</v>
      </c>
      <c r="Y4" s="26" t="s">
        <v>17</v>
      </c>
      <c r="Z4" s="26" t="s">
        <v>18</v>
      </c>
      <c r="AA4" s="26" t="s">
        <v>19</v>
      </c>
      <c r="AB4" s="27" t="s">
        <v>20</v>
      </c>
      <c r="AC4" s="36" t="s">
        <v>21</v>
      </c>
      <c r="AD4" s="26" t="s">
        <v>22</v>
      </c>
      <c r="AE4" s="26" t="s">
        <v>23</v>
      </c>
      <c r="AF4" s="26" t="s">
        <v>24</v>
      </c>
      <c r="AG4" s="26" t="s">
        <v>25</v>
      </c>
      <c r="AH4" s="27" t="s">
        <v>26</v>
      </c>
      <c r="AI4" s="36" t="s">
        <v>27</v>
      </c>
      <c r="AJ4" s="26" t="s">
        <v>28</v>
      </c>
      <c r="AK4" s="26" t="s">
        <v>29</v>
      </c>
      <c r="AL4" s="26" t="s">
        <v>30</v>
      </c>
      <c r="AM4" s="26" t="s">
        <v>31</v>
      </c>
      <c r="AN4" s="34" t="s">
        <v>32</v>
      </c>
      <c r="AO4" s="36" t="s">
        <v>33</v>
      </c>
      <c r="AP4" s="26" t="s">
        <v>34</v>
      </c>
      <c r="AQ4" s="26" t="s">
        <v>35</v>
      </c>
      <c r="AR4" s="26" t="s">
        <v>36</v>
      </c>
      <c r="AS4" s="26" t="s">
        <v>37</v>
      </c>
      <c r="AT4" s="27" t="s">
        <v>38</v>
      </c>
      <c r="AU4" s="36" t="s">
        <v>39</v>
      </c>
      <c r="AV4" s="26" t="s">
        <v>40</v>
      </c>
      <c r="AW4" s="26" t="s">
        <v>41</v>
      </c>
      <c r="AX4" s="26" t="s">
        <v>42</v>
      </c>
      <c r="AY4" s="26" t="s">
        <v>43</v>
      </c>
      <c r="AZ4" s="27" t="s">
        <v>44</v>
      </c>
      <c r="BA4" s="53" t="s">
        <v>45</v>
      </c>
      <c r="BB4" s="37">
        <f>IFERROR(VLOOKUP(BA4,'Module Items'!$A$1:$B$2587,2,FALSE),"")</f>
        <v>51244</v>
      </c>
      <c r="BC4" s="44">
        <f>IFERROR(VLOOKUP(BA4,'Monthly Line Picks'!$A$1:$D$2000,4,FALSE),"0")</f>
        <v>3</v>
      </c>
      <c r="BD4" s="42" t="s">
        <v>46</v>
      </c>
      <c r="BE4" s="37">
        <f>IFERROR(VLOOKUP(BD4,'Module Items'!$A$1:$B$2587,2,FALSE),"")</f>
        <v>110177</v>
      </c>
      <c r="BF4" s="44">
        <f>IFERROR(VLOOKUP(BD4,'Monthly Line Picks'!$A$1:$D$2000,4,FALSE),"0")</f>
        <v>22</v>
      </c>
      <c r="BG4" s="42" t="s">
        <v>47</v>
      </c>
      <c r="BH4" s="37">
        <f>IFERROR(VLOOKUP(BG4,'Module Items'!$A$1:$B$2587,2,FALSE),"")</f>
        <v>1650</v>
      </c>
      <c r="BI4" s="44" t="str">
        <f>IFERROR(VLOOKUP(BG4,'Monthly Line Picks'!$A$1:$D$2000,4,FALSE),"0")</f>
        <v>0</v>
      </c>
      <c r="BJ4" s="42" t="s">
        <v>48</v>
      </c>
      <c r="BK4" s="37">
        <f>IFERROR(VLOOKUP(BJ4,'Module Items'!$A$1:$B$2587,2,FALSE),"")</f>
        <v>115493</v>
      </c>
      <c r="BL4" s="44">
        <f>IFERROR(VLOOKUP(BJ4,'Monthly Line Picks'!$A$1:$D$2000,4,FALSE),"0")</f>
        <v>4</v>
      </c>
      <c r="BM4" s="42" t="s">
        <v>49</v>
      </c>
      <c r="BN4" s="37">
        <f>IFERROR(VLOOKUP(BM4,'Module Items'!$A$1:$B$2587,2,FALSE),"")</f>
        <v>160377</v>
      </c>
      <c r="BO4" s="44">
        <f>IFERROR(VLOOKUP(BM4,'Monthly Line Picks'!$A$1:$D$2000,4,FALSE),"0")</f>
        <v>25</v>
      </c>
      <c r="BP4" s="45" t="s">
        <v>50</v>
      </c>
      <c r="BQ4" s="37">
        <f>IFERROR(VLOOKUP(BP4,'Module Items'!$A$1:$B$2587,2,FALSE),"")</f>
        <v>342</v>
      </c>
      <c r="BR4" s="44">
        <f>IFERROR(VLOOKUP(BP4,'Monthly Line Picks'!$A$1:$D$2000,4,FALSE),"0")</f>
        <v>1</v>
      </c>
      <c r="BS4" s="220" t="s">
        <v>51</v>
      </c>
      <c r="BT4" s="220"/>
      <c r="BU4" s="221"/>
      <c r="BV4" s="230" t="s">
        <v>52</v>
      </c>
      <c r="BW4" s="231"/>
      <c r="BX4" s="232"/>
      <c r="BY4" s="1" t="s">
        <v>53</v>
      </c>
      <c r="BZ4" s="4" t="s">
        <v>54</v>
      </c>
      <c r="CA4" s="4" t="s">
        <v>55</v>
      </c>
      <c r="CB4" s="2" t="s">
        <v>56</v>
      </c>
      <c r="CC4" s="2" t="s">
        <v>57</v>
      </c>
      <c r="CD4" s="3" t="s">
        <v>58</v>
      </c>
      <c r="CE4" s="1" t="s">
        <v>59</v>
      </c>
      <c r="CF4" s="4" t="s">
        <v>60</v>
      </c>
      <c r="CG4" s="4" t="s">
        <v>61</v>
      </c>
      <c r="CH4" s="2" t="s">
        <v>62</v>
      </c>
      <c r="CI4" s="2" t="s">
        <v>63</v>
      </c>
      <c r="CJ4" s="5" t="s">
        <v>64</v>
      </c>
      <c r="CK4" s="36" t="s">
        <v>65</v>
      </c>
      <c r="CL4" s="25" t="s">
        <v>66</v>
      </c>
      <c r="CM4" s="25" t="s">
        <v>67</v>
      </c>
      <c r="CN4" s="26" t="s">
        <v>68</v>
      </c>
      <c r="CO4" s="26" t="s">
        <v>69</v>
      </c>
      <c r="CP4" s="27" t="s">
        <v>70</v>
      </c>
      <c r="CQ4" s="4" t="s">
        <v>71</v>
      </c>
      <c r="CR4" s="4" t="s">
        <v>72</v>
      </c>
      <c r="CS4" s="4" t="s">
        <v>73</v>
      </c>
      <c r="CT4" s="2" t="s">
        <v>74</v>
      </c>
      <c r="CU4" s="2" t="s">
        <v>75</v>
      </c>
      <c r="CV4" s="3" t="s">
        <v>76</v>
      </c>
      <c r="CW4" s="1" t="s">
        <v>77</v>
      </c>
      <c r="CX4" s="4" t="s">
        <v>78</v>
      </c>
      <c r="CY4" s="4" t="s">
        <v>79</v>
      </c>
      <c r="CZ4" s="2" t="s">
        <v>80</v>
      </c>
      <c r="DA4" s="2" t="s">
        <v>81</v>
      </c>
      <c r="DB4" s="5" t="s">
        <v>82</v>
      </c>
      <c r="DC4" s="47" t="s">
        <v>83</v>
      </c>
      <c r="DD4" s="37">
        <f>IFERROR(VLOOKUP(DC4,'Module Items'!$A$1:$B$2587,2,FALSE),"")</f>
        <v>62617</v>
      </c>
      <c r="DE4" s="44">
        <f>IFERROR(VLOOKUP(DC4,'Monthly Line Picks'!$A$1:$D$2000,4,FALSE),"0")</f>
        <v>1</v>
      </c>
      <c r="DF4" s="47" t="s">
        <v>84</v>
      </c>
      <c r="DG4" s="37">
        <f>IFERROR(VLOOKUP(DF4,'Module Items'!$A$1:$B$2587,2,FALSE),"")</f>
        <v>87064</v>
      </c>
      <c r="DH4" s="44">
        <f>IFERROR(VLOOKUP(DF4,'Monthly Line Picks'!$A$1:$D$2000,4,FALSE),"0")</f>
        <v>21</v>
      </c>
      <c r="DI4" s="42" t="s">
        <v>85</v>
      </c>
      <c r="DJ4" s="37">
        <f>IFERROR(VLOOKUP(DI4,'Module Items'!$A$1:$B$2587,2,FALSE),"")</f>
        <v>95802</v>
      </c>
      <c r="DK4" s="44">
        <f>IFERROR(VLOOKUP(DI4,'Monthly Line Picks'!$A$1:$D$2000,4,FALSE),"0")</f>
        <v>8</v>
      </c>
      <c r="DL4" s="53" t="s">
        <v>86</v>
      </c>
      <c r="DM4" s="37">
        <f>IFERROR(VLOOKUP(DL4,'Module Items'!$A$1:$B$2587,2,FALSE),"")</f>
        <v>131492</v>
      </c>
      <c r="DN4" s="44" t="str">
        <f>IFERROR(VLOOKUP(DL4,'Monthly Line Picks'!$A$1:$D$2000,4,FALSE),"0")</f>
        <v>0</v>
      </c>
      <c r="DO4" s="99" t="s">
        <v>87</v>
      </c>
      <c r="DP4" s="37">
        <f>IFERROR(VLOOKUP(DO4,'Module Items'!$A$1:$B$2587,2,FALSE),"")</f>
        <v>136011</v>
      </c>
      <c r="DQ4" s="44">
        <f>IFERROR(VLOOKUP(DO4,'Monthly Line Picks'!$A$1:$D$2000,4,FALSE),"0")</f>
        <v>22</v>
      </c>
      <c r="DR4" s="47" t="s">
        <v>88</v>
      </c>
      <c r="DS4" s="37">
        <f>IFERROR(VLOOKUP(DR4,'Module Items'!$A$1:$B$2587,2,FALSE),"")</f>
        <v>112644</v>
      </c>
      <c r="DT4" s="44" t="str">
        <f>IFERROR(VLOOKUP(DR4,'Monthly Line Picks'!$A$1:$D$2000,4,FALSE),"0")</f>
        <v>0</v>
      </c>
    </row>
    <row r="5" spans="3:128" ht="15.95" thickBot="1">
      <c r="C5" s="205"/>
      <c r="D5" s="206"/>
      <c r="E5" s="206"/>
      <c r="F5" s="210"/>
      <c r="G5" s="205"/>
      <c r="H5" s="206"/>
      <c r="I5" s="206"/>
      <c r="J5" s="206"/>
      <c r="K5" s="56">
        <f>IFERROR(VLOOKUP(K4,'Module Items'!$A$1:$B$2587,2,FALSE),"")</f>
        <v>90495</v>
      </c>
      <c r="L5" s="47">
        <f>IFERROR(VLOOKUP(L4,'Module Items'!$A$1:$B$2587,2,FALSE),"")</f>
        <v>60044</v>
      </c>
      <c r="M5" s="47">
        <f>IFERROR(VLOOKUP(M4,'Module Items'!$A$1:$B$2587,2,FALSE),"")</f>
        <v>176124</v>
      </c>
      <c r="N5" s="47">
        <f>IFERROR(VLOOKUP(N4,'Module Items'!$A$1:$B$2587,2,FALSE),"")</f>
        <v>133420</v>
      </c>
      <c r="O5" s="47">
        <f>IFERROR(VLOOKUP(O4,'Module Items'!$A$1:$B$2587,2,FALSE),"")</f>
        <v>156308</v>
      </c>
      <c r="P5" s="57">
        <f>IFERROR(VLOOKUP(P4,'Module Items'!$A$1:$B$2587,2,FALSE),"")</f>
        <v>138661</v>
      </c>
      <c r="Q5" s="56">
        <f>IFERROR(VLOOKUP(Q4,'Module Items'!$A$1:$B$2587,2,FALSE),"")</f>
        <v>158198</v>
      </c>
      <c r="R5" s="47">
        <f>IFERROR(VLOOKUP(R4,'Module Items'!$A$1:$B$2587,2,FALSE),"")</f>
        <v>131496</v>
      </c>
      <c r="S5" s="47">
        <f>IFERROR(VLOOKUP(S4,'Module Items'!$A$1:$B$2587,2,FALSE),"")</f>
        <v>132703</v>
      </c>
      <c r="T5" s="47">
        <f>IFERROR(VLOOKUP(T4,'Module Items'!$A$1:$B$2587,2,FALSE),"")</f>
        <v>132831</v>
      </c>
      <c r="U5" s="228"/>
      <c r="V5" s="57">
        <f>IFERROR(VLOOKUP(V4,'Module Items'!$A$1:$B$2587,2,FALSE),"")</f>
        <v>159069</v>
      </c>
      <c r="W5" s="56">
        <f>IFERROR(VLOOKUP(W4,'Module Items'!$A$1:$B$2587,2,FALSE),"")</f>
        <v>87480</v>
      </c>
      <c r="X5" s="47">
        <f>IFERROR(VLOOKUP(X4,'Module Items'!$A$1:$B$2587,2,FALSE),"")</f>
        <v>93333</v>
      </c>
      <c r="Y5" s="47">
        <f>IFERROR(VLOOKUP(Y4,'Module Items'!$A$1:$B$2587,2,FALSE),"")</f>
        <v>177110</v>
      </c>
      <c r="Z5" s="47">
        <f>IFERROR(VLOOKUP(Z4,'Module Items'!$A$1:$B$2587,2,FALSE),"")</f>
        <v>97694</v>
      </c>
      <c r="AA5" s="47">
        <f>IFERROR(VLOOKUP(AA4,'Module Items'!$A$1:$B$2587,2,FALSE),"")</f>
        <v>80793</v>
      </c>
      <c r="AB5" s="57">
        <f>IFERROR(VLOOKUP(AB4,'Module Items'!$A$1:$B$2587,2,FALSE),"")</f>
        <v>95389</v>
      </c>
      <c r="AC5" s="56">
        <f>IFERROR(VLOOKUP(AC4,'Module Items'!$A$1:$B$2587,2,FALSE),"")</f>
        <v>7494</v>
      </c>
      <c r="AD5" s="47">
        <f>IFERROR(VLOOKUP(AD4,'Module Items'!$A$1:$B$2587,2,FALSE),"")</f>
        <v>8538</v>
      </c>
      <c r="AE5" s="47">
        <f>IFERROR(VLOOKUP(AE4,'Module Items'!$A$1:$B$2587,2,FALSE),"")</f>
        <v>174235</v>
      </c>
      <c r="AF5" s="47">
        <f>IFERROR(VLOOKUP(AF4,'Module Items'!$A$1:$B$2587,2,FALSE),"")</f>
        <v>110490</v>
      </c>
      <c r="AG5" s="47">
        <f>IFERROR(VLOOKUP(AG4,'Module Items'!$A$1:$B$2587,2,FALSE),"")</f>
        <v>11271</v>
      </c>
      <c r="AH5" s="57">
        <f>IFERROR(VLOOKUP(AH4,'Module Items'!$A$1:$B$2587,2,FALSE),"")</f>
        <v>108193</v>
      </c>
      <c r="AI5" s="56">
        <f>IFERROR(VLOOKUP(AI4,'Module Items'!$A$1:$B$2587,2,FALSE),"")</f>
        <v>1935</v>
      </c>
      <c r="AJ5" s="47">
        <f>IFERROR(VLOOKUP(AJ4,'Module Items'!$A$1:$B$2587,2,FALSE),"")</f>
        <v>1495</v>
      </c>
      <c r="AK5" s="47">
        <f>IFERROR(VLOOKUP(AK4,'Module Items'!$A$1:$B$2587,2,FALSE),"")</f>
        <v>39345</v>
      </c>
      <c r="AL5" s="47">
        <f>IFERROR(VLOOKUP(AL4,'Module Items'!$A$1:$B$2587,2,FALSE),"")</f>
        <v>274</v>
      </c>
      <c r="AM5" s="47">
        <f>IFERROR(VLOOKUP(AM4,'Module Items'!$A$1:$B$2587,2,FALSE),"")</f>
        <v>121332</v>
      </c>
      <c r="AN5" s="63">
        <f>IFERROR(VLOOKUP(AN4,'Module Items'!$A$1:$B$2587,2,FALSE),"")</f>
        <v>143535</v>
      </c>
      <c r="AO5" s="56">
        <f>IFERROR(VLOOKUP(AO4,'Module Items'!$A$1:$B$2587,2,FALSE),"")</f>
        <v>66985</v>
      </c>
      <c r="AP5" s="47">
        <f>IFERROR(VLOOKUP(AP4,'Module Items'!$A$1:$B$2587,2,FALSE),"")</f>
        <v>136207</v>
      </c>
      <c r="AQ5" s="47">
        <f>IFERROR(VLOOKUP(AQ4,'Module Items'!$A$1:$B$2587,2,FALSE),"")</f>
        <v>137425</v>
      </c>
      <c r="AR5" s="47" t="str">
        <f>IFERROR(VLOOKUP(AR4,'Module Items'!$A$1:$B$2587,2,FALSE),"")</f>
        <v/>
      </c>
      <c r="AS5" s="47" t="str">
        <f>IFERROR(VLOOKUP(AS4,'Module Items'!$A$1:$B$2587,2,FALSE),"")</f>
        <v/>
      </c>
      <c r="AT5" s="57">
        <f>IFERROR(VLOOKUP(AT4,'Module Items'!$A$1:$B$2587,2,FALSE),"")</f>
        <v>112479</v>
      </c>
      <c r="AU5" s="56">
        <f>IFERROR(VLOOKUP(AU4,'Module Items'!$A$1:$B$2587,2,FALSE),"")</f>
        <v>3295</v>
      </c>
      <c r="AV5" s="47">
        <f>IFERROR(VLOOKUP(AV4,'Module Items'!$A$1:$B$2587,2,FALSE),"")</f>
        <v>25961</v>
      </c>
      <c r="AW5" s="47">
        <f>IFERROR(VLOOKUP(AW4,'Module Items'!$A$1:$B$2587,2,FALSE),"")</f>
        <v>54431</v>
      </c>
      <c r="AX5" s="47">
        <f>IFERROR(VLOOKUP(AX4,'Module Items'!$A$1:$B$2587,2,FALSE),"")</f>
        <v>176171</v>
      </c>
      <c r="AY5" s="47">
        <f>IFERROR(VLOOKUP(AY4,'Module Items'!$A$1:$B$2587,2,FALSE),"")</f>
        <v>136740</v>
      </c>
      <c r="AZ5" s="57">
        <f>IFERROR(VLOOKUP(AZ4,'Module Items'!$A$1:$B$2587,2,FALSE),"")</f>
        <v>119209</v>
      </c>
      <c r="BA5" s="15" t="s">
        <v>89</v>
      </c>
      <c r="BB5" s="37">
        <f>IFERROR(VLOOKUP(BA5,'Module Items'!$A$1:$B$2587,2,FALSE),"")</f>
        <v>54537</v>
      </c>
      <c r="BC5" s="44" t="str">
        <f>IFERROR(VLOOKUP(BA5,'Monthly Line Picks'!$A$1:$D$2000,4,FALSE),"0")</f>
        <v>0</v>
      </c>
      <c r="BD5" s="47" t="s">
        <v>90</v>
      </c>
      <c r="BE5" s="37">
        <f>IFERROR(VLOOKUP(BD5,'Module Items'!$A$1:$B$2587,2,FALSE),"")</f>
        <v>111475</v>
      </c>
      <c r="BF5" s="44">
        <f>IFERROR(VLOOKUP(BD5,'Monthly Line Picks'!$A$1:$D$2000,4,FALSE),"0")</f>
        <v>14</v>
      </c>
      <c r="BG5" s="47" t="s">
        <v>91</v>
      </c>
      <c r="BH5" s="37">
        <f>IFERROR(VLOOKUP(BG5,'Module Items'!$A$1:$B$2587,2,FALSE),"")</f>
        <v>129566</v>
      </c>
      <c r="BI5" s="44">
        <f>IFERROR(VLOOKUP(BG5,'Monthly Line Picks'!$A$1:$D$2000,4,FALSE),"0")</f>
        <v>8</v>
      </c>
      <c r="BJ5" s="47" t="s">
        <v>92</v>
      </c>
      <c r="BK5" s="37">
        <f>IFERROR(VLOOKUP(BJ5,'Module Items'!$A$1:$B$2587,2,FALSE),"")</f>
        <v>112579</v>
      </c>
      <c r="BL5" s="44" t="str">
        <f>IFERROR(VLOOKUP(BJ5,'Monthly Line Picks'!$A$1:$D$2000,4,FALSE),"0")</f>
        <v>0</v>
      </c>
      <c r="BM5" s="47" t="s">
        <v>93</v>
      </c>
      <c r="BN5" s="37">
        <f>IFERROR(VLOOKUP(BM5,'Module Items'!$A$1:$B$2587,2,FALSE),"")</f>
        <v>83976</v>
      </c>
      <c r="BO5" s="44" t="str">
        <f>IFERROR(VLOOKUP(BM5,'Monthly Line Picks'!$A$1:$D$2000,4,FALSE),"0")</f>
        <v>0</v>
      </c>
      <c r="BP5" s="57" t="s">
        <v>94</v>
      </c>
      <c r="BQ5" s="37">
        <f>IFERROR(VLOOKUP(BP5,'Module Items'!$A$1:$B$2587,2,FALSE),"")</f>
        <v>141121</v>
      </c>
      <c r="BR5" s="44">
        <f>IFERROR(VLOOKUP(BP5,'Monthly Line Picks'!$A$1:$D$2000,4,FALSE),"0")</f>
        <v>5</v>
      </c>
      <c r="BS5" s="222"/>
      <c r="BT5" s="222"/>
      <c r="BU5" s="223"/>
      <c r="BV5" s="233"/>
      <c r="BW5" s="234"/>
      <c r="BX5" s="235"/>
      <c r="BY5" s="46">
        <f>IFERROR(VLOOKUP(BY4,'Module Items'!$A$1:$B$2587,2,FALSE),"")</f>
        <v>35067</v>
      </c>
      <c r="BZ5" s="46">
        <f>IFERROR(VLOOKUP(BZ4,'Module Items'!$A$1:$B$2587,2,FALSE),"")</f>
        <v>142584</v>
      </c>
      <c r="CA5" s="46">
        <f>IFERROR(VLOOKUP(CA4,'Module Items'!$A$1:$B$2587,2,FALSE),"")</f>
        <v>142821</v>
      </c>
      <c r="CB5" s="46">
        <f>IFERROR(VLOOKUP(CB4,'Module Items'!$A$1:$B$2587,2,FALSE),"")</f>
        <v>9564</v>
      </c>
      <c r="CC5" s="46">
        <f>IFERROR(VLOOKUP(CC4,'Module Items'!$A$1:$B$2587,2,FALSE),"")</f>
        <v>49660</v>
      </c>
      <c r="CD5" s="46">
        <f>IFERROR(VLOOKUP(CD4,'Module Items'!$A$1:$B$2587,2,FALSE),"")</f>
        <v>113488</v>
      </c>
      <c r="CE5" s="46">
        <f>IFERROR(VLOOKUP(CE4,'Module Items'!$A$1:$B$2587,2,FALSE),"")</f>
        <v>37831</v>
      </c>
      <c r="CF5" s="46" t="str">
        <f>IFERROR(VLOOKUP(CF4,'Module Items'!$A$1:$B$2587,2,FALSE),"")</f>
        <v/>
      </c>
      <c r="CG5" s="46" t="str">
        <f>IFERROR(VLOOKUP(CG4,'Module Items'!$A$1:$B$2587,2,FALSE),"")</f>
        <v/>
      </c>
      <c r="CH5" s="46">
        <f>IFERROR(VLOOKUP(CH4,'Module Items'!$A$1:$B$2587,2,FALSE),"")</f>
        <v>82835</v>
      </c>
      <c r="CI5" s="46">
        <f>IFERROR(VLOOKUP(CI4,'Module Items'!$A$1:$B$2587,2,FALSE),"")</f>
        <v>82526</v>
      </c>
      <c r="CJ5" s="46">
        <f>IFERROR(VLOOKUP(CJ4,'Module Items'!$A$1:$B$2587,2,FALSE),"")</f>
        <v>158190</v>
      </c>
      <c r="CK5" s="46">
        <f>IFERROR(VLOOKUP(CK4,'Module Items'!$A$1:$B$2587,2,FALSE),"")</f>
        <v>124785</v>
      </c>
      <c r="CL5" s="46">
        <f>IFERROR(VLOOKUP(CL4,'Module Items'!$A$1:$B$2587,2,FALSE),"")</f>
        <v>156644</v>
      </c>
      <c r="CM5" s="46">
        <f>IFERROR(VLOOKUP(CM4,'Module Items'!$A$1:$B$2587,2,FALSE),"")</f>
        <v>136031</v>
      </c>
      <c r="CN5" s="46">
        <f>IFERROR(VLOOKUP(CN4,'Module Items'!$A$1:$B$2587,2,FALSE),"")</f>
        <v>84788</v>
      </c>
      <c r="CO5" s="46">
        <f>IFERROR(VLOOKUP(CO4,'Module Items'!$A$1:$B$2587,2,FALSE),"")</f>
        <v>126374</v>
      </c>
      <c r="CP5" s="46" t="str">
        <f>IFERROR(VLOOKUP(CP4,'Module Items'!$A$1:$B$2587,2,FALSE),"")</f>
        <v>OPEN</v>
      </c>
      <c r="CQ5" s="46">
        <f>IFERROR(VLOOKUP(CQ4,'Module Items'!$A$1:$B$2587,2,FALSE),"")</f>
        <v>118350</v>
      </c>
      <c r="CR5" s="46" t="str">
        <f>IFERROR(VLOOKUP(CR4,'Module Items'!$A$1:$B$2587,2,FALSE),"")</f>
        <v/>
      </c>
      <c r="CS5" s="46">
        <f>IFERROR(VLOOKUP(CS4,'Module Items'!$A$1:$B$2587,2,FALSE),"")</f>
        <v>59790</v>
      </c>
      <c r="CT5" s="46">
        <f>IFERROR(VLOOKUP(CT4,'Module Items'!$A$1:$B$2587,2,FALSE),"")</f>
        <v>107015</v>
      </c>
      <c r="CU5" s="46">
        <f>IFERROR(VLOOKUP(CU4,'Module Items'!$A$1:$B$2587,2,FALSE),"")</f>
        <v>110238</v>
      </c>
      <c r="CV5" s="46">
        <f>IFERROR(VLOOKUP(CV4,'Module Items'!$A$1:$B$2587,2,FALSE),"")</f>
        <v>129753</v>
      </c>
      <c r="CW5" s="46">
        <f>IFERROR(VLOOKUP(CW4,'Module Items'!$A$1:$B$2587,2,FALSE),"")</f>
        <v>159180</v>
      </c>
      <c r="CX5" s="46">
        <f>IFERROR(VLOOKUP(CX4,'Module Items'!$A$1:$B$2587,2,FALSE),"")</f>
        <v>2489</v>
      </c>
      <c r="CY5" s="46">
        <f>IFERROR(VLOOKUP(CY4,'Module Items'!$A$1:$B$2587,2,FALSE),"")</f>
        <v>113994</v>
      </c>
      <c r="CZ5" s="46">
        <f>IFERROR(VLOOKUP(CZ4,'Module Items'!$A$1:$B$2587,2,FALSE),"")</f>
        <v>83062</v>
      </c>
      <c r="DA5" s="46">
        <f>IFERROR(VLOOKUP(DA4,'Module Items'!$A$1:$B$2587,2,FALSE),"")</f>
        <v>111877</v>
      </c>
      <c r="DB5" s="101">
        <f>IFERROR(VLOOKUP(DB4,'Module Items'!$A$1:$B$2587,2,FALSE),"")</f>
        <v>14454</v>
      </c>
      <c r="DC5" s="47" t="s">
        <v>95</v>
      </c>
      <c r="DD5" s="37">
        <f>IFERROR(VLOOKUP(DC5,'Module Items'!$A$1:$B$2587,2,FALSE),"")</f>
        <v>30143</v>
      </c>
      <c r="DE5" s="44" t="str">
        <f>IFERROR(VLOOKUP(DC5,'Monthly Line Picks'!$A$1:$D$2000,4,FALSE),"0")</f>
        <v>0</v>
      </c>
      <c r="DF5" s="47" t="s">
        <v>96</v>
      </c>
      <c r="DG5" s="37">
        <f>IFERROR(VLOOKUP(DF5,'Module Items'!$A$1:$B$2587,2,FALSE),"")</f>
        <v>28740</v>
      </c>
      <c r="DH5" s="44">
        <f>IFERROR(VLOOKUP(DF5,'Monthly Line Picks'!$A$1:$D$2000,4,FALSE),"0")</f>
        <v>14</v>
      </c>
      <c r="DI5" s="47" t="s">
        <v>97</v>
      </c>
      <c r="DJ5" s="37">
        <f>IFERROR(VLOOKUP(DI5,'Module Items'!$A$1:$B$2587,2,FALSE),"")</f>
        <v>123377</v>
      </c>
      <c r="DK5" s="44" t="str">
        <f>IFERROR(VLOOKUP(DI5,'Monthly Line Picks'!$A$1:$D$2000,4,FALSE),"0")</f>
        <v>0</v>
      </c>
      <c r="DL5" s="15" t="s">
        <v>98</v>
      </c>
      <c r="DM5" s="37">
        <f>IFERROR(VLOOKUP(DL5,'Module Items'!$A$1:$B$2587,2,FALSE),"")</f>
        <v>13801</v>
      </c>
      <c r="DN5" s="44">
        <f>IFERROR(VLOOKUP(DL5,'Monthly Line Picks'!$A$1:$D$2000,4,FALSE),"0")</f>
        <v>2</v>
      </c>
      <c r="DO5" s="63" t="s">
        <v>99</v>
      </c>
      <c r="DP5" s="37">
        <f>IFERROR(VLOOKUP(DO5,'Module Items'!$A$1:$B$2587,2,FALSE),"")</f>
        <v>59405</v>
      </c>
      <c r="DQ5" s="44">
        <f>IFERROR(VLOOKUP(DO5,'Monthly Line Picks'!$A$1:$D$2000,4,FALSE),"0")</f>
        <v>14</v>
      </c>
      <c r="DR5" s="47" t="s">
        <v>100</v>
      </c>
      <c r="DS5" s="37">
        <f>IFERROR(VLOOKUP(DR5,'Module Items'!$A$1:$B$2587,2,FALSE),"")</f>
        <v>63938</v>
      </c>
      <c r="DT5" s="44">
        <f>IFERROR(VLOOKUP(DR5,'Monthly Line Picks'!$A$1:$D$2000,4,FALSE),"0")</f>
        <v>14</v>
      </c>
    </row>
    <row r="6" spans="3:128" ht="15.95" thickBot="1">
      <c r="C6" s="205"/>
      <c r="D6" s="206"/>
      <c r="E6" s="206"/>
      <c r="F6" s="210"/>
      <c r="G6" s="205"/>
      <c r="H6" s="206"/>
      <c r="I6" s="206"/>
      <c r="J6" s="206"/>
      <c r="K6" s="56">
        <f>IFERROR(VLOOKUP(K4,'Monthly Line Picks'!$A$1:$D$2101,4,FALSE),"0")</f>
        <v>8</v>
      </c>
      <c r="L6" s="47">
        <f>IFERROR(VLOOKUP(L4,'Monthly Line Picks'!$A$1:$D$2101,4,FALSE),"0")</f>
        <v>10</v>
      </c>
      <c r="M6" s="47">
        <f>IFERROR(VLOOKUP(M4,'Monthly Line Picks'!$A$1:$D$2101,4,FALSE),"0")</f>
        <v>80</v>
      </c>
      <c r="N6" s="47">
        <f>IFERROR(VLOOKUP(N4,'Monthly Line Picks'!$A$1:$D$2101,4,FALSE),"0")</f>
        <v>5</v>
      </c>
      <c r="O6" s="47">
        <f>IFERROR(VLOOKUP(O4,'Monthly Line Picks'!$A$1:$D$2101,4,FALSE),"0")</f>
        <v>15</v>
      </c>
      <c r="P6" s="57">
        <f>IFERROR(VLOOKUP(P4,'Monthly Line Picks'!$A$1:$D$2101,4,FALSE),"0")</f>
        <v>22</v>
      </c>
      <c r="Q6" s="56">
        <f>IFERROR(VLOOKUP(Q4,'Monthly Line Picks'!$A$1:$D$2101,4,FALSE),"0")</f>
        <v>19</v>
      </c>
      <c r="R6" s="47">
        <f>IFERROR(VLOOKUP(R4,'Monthly Line Picks'!$A$1:$D$2101,4,FALSE),"0")</f>
        <v>16</v>
      </c>
      <c r="S6" s="47">
        <f>IFERROR(VLOOKUP(S4,'Monthly Line Picks'!$A$1:$D$2101,4,FALSE),"0")</f>
        <v>14</v>
      </c>
      <c r="T6" s="47">
        <f>IFERROR(VLOOKUP(T4,'Monthly Line Picks'!$A$1:$D$2101,4,FALSE),"0")</f>
        <v>14</v>
      </c>
      <c r="U6" s="228"/>
      <c r="V6" s="57">
        <f>IFERROR(VLOOKUP(V4,'Monthly Line Picks'!$A$1:$D$2101,4,FALSE),"0")</f>
        <v>1</v>
      </c>
      <c r="W6" s="56">
        <f>IFERROR(VLOOKUP(W4,'Monthly Line Picks'!$A$1:$D$2101,4,FALSE),"0")</f>
        <v>4</v>
      </c>
      <c r="X6" s="47">
        <f>IFERROR(VLOOKUP(X4,'Monthly Line Picks'!$A$1:$D$2101,4,FALSE),"0")</f>
        <v>52</v>
      </c>
      <c r="Y6" s="47" t="str">
        <f>IFERROR(VLOOKUP(Y4,'Monthly Line Picks'!$A$1:$D$2101,4,FALSE),"0")</f>
        <v>0</v>
      </c>
      <c r="Z6" s="47" t="str">
        <f>IFERROR(VLOOKUP(Z4,'Monthly Line Picks'!$A$1:$D$2101,4,FALSE),"0")</f>
        <v>0</v>
      </c>
      <c r="AA6" s="47">
        <f>IFERROR(VLOOKUP(AA4,'Monthly Line Picks'!$A$1:$D$2101,4,FALSE),"0")</f>
        <v>8</v>
      </c>
      <c r="AB6" s="57">
        <f>IFERROR(VLOOKUP(AB4,'Monthly Line Picks'!$A$1:$D$2101,4,FALSE),"0")</f>
        <v>2</v>
      </c>
      <c r="AC6" s="56">
        <f>IFERROR(VLOOKUP(AC4,'Monthly Line Picks'!$A$1:$D$2101,4,FALSE),"0")</f>
        <v>17</v>
      </c>
      <c r="AD6" s="47">
        <f>IFERROR(VLOOKUP(AD4,'Monthly Line Picks'!$A$1:$D$2101,4,FALSE),"0")</f>
        <v>4</v>
      </c>
      <c r="AE6" s="47">
        <f>IFERROR(VLOOKUP(AE4,'Monthly Line Picks'!$A$1:$D$2101,4,FALSE),"0")</f>
        <v>23</v>
      </c>
      <c r="AF6" s="47">
        <f>IFERROR(VLOOKUP(AF4,'Monthly Line Picks'!$A$1:$D$2101,4,FALSE),"0")</f>
        <v>5</v>
      </c>
      <c r="AG6" s="47">
        <f>IFERROR(VLOOKUP(AG4,'Monthly Line Picks'!$A$1:$D$2101,4,FALSE),"0")</f>
        <v>12</v>
      </c>
      <c r="AH6" s="57" t="str">
        <f>IFERROR(VLOOKUP(AH4,'Monthly Line Picks'!$A$1:$D$2101,4,FALSE),"0")</f>
        <v>0</v>
      </c>
      <c r="AI6" s="56" t="str">
        <f>IFERROR(VLOOKUP(AI4,'Monthly Line Picks'!$A$1:$D$2101,4,FALSE),"0")</f>
        <v>0</v>
      </c>
      <c r="AJ6" s="47" t="str">
        <f>IFERROR(VLOOKUP(AJ4,'Monthly Line Picks'!$A$1:$D$2101,4,FALSE),"0")</f>
        <v>0</v>
      </c>
      <c r="AK6" s="47" t="str">
        <f>IFERROR(VLOOKUP(AK4,'Monthly Line Picks'!$A$1:$D$2101,4,FALSE),"0")</f>
        <v>0</v>
      </c>
      <c r="AL6" s="47" t="str">
        <f>IFERROR(VLOOKUP(AL4,'Monthly Line Picks'!$A$1:$D$2101,4,FALSE),"0")</f>
        <v>0</v>
      </c>
      <c r="AM6" s="47" t="str">
        <f>IFERROR(VLOOKUP(AM4,'Monthly Line Picks'!$A$1:$D$2101,4,FALSE),"0")</f>
        <v>0</v>
      </c>
      <c r="AN6" s="63" t="str">
        <f>IFERROR(VLOOKUP(AN4,'Monthly Line Picks'!$A$1:$D$2101,4,FALSE),"0")</f>
        <v>0</v>
      </c>
      <c r="AO6" s="56" t="str">
        <f>IFERROR(VLOOKUP(AO4,'Monthly Line Picks'!$A$1:$D$2101,4,FALSE),"0")</f>
        <v>0</v>
      </c>
      <c r="AP6" s="47" t="str">
        <f>IFERROR(VLOOKUP(AP4,'Monthly Line Picks'!$A$1:$D$2101,4,FALSE),"0")</f>
        <v>0</v>
      </c>
      <c r="AQ6" s="47" t="str">
        <f>IFERROR(VLOOKUP(AQ4,'Monthly Line Picks'!$A$1:$D$2101,4,FALSE),"0")</f>
        <v>0</v>
      </c>
      <c r="AR6" s="47" t="str">
        <f>IFERROR(VLOOKUP(AR4,'Monthly Line Picks'!$A$1:$D$2101,4,FALSE),"0")</f>
        <v>0</v>
      </c>
      <c r="AS6" s="47" t="str">
        <f>IFERROR(VLOOKUP(AS4,'Monthly Line Picks'!$A$1:$D$2101,4,FALSE),"0")</f>
        <v>0</v>
      </c>
      <c r="AT6" s="57" t="str">
        <f>IFERROR(VLOOKUP(AT4,'Monthly Line Picks'!$A$1:$D$2101,4,FALSE),"0")</f>
        <v>0</v>
      </c>
      <c r="AU6" s="56">
        <f>IFERROR(VLOOKUP(AU4,'Monthly Line Picks'!$A$1:$D$2101,4,FALSE),"0")</f>
        <v>6</v>
      </c>
      <c r="AV6" s="47">
        <f>IFERROR(VLOOKUP(AV4,'Monthly Line Picks'!$A$1:$D$2101,4,FALSE),"0")</f>
        <v>11</v>
      </c>
      <c r="AW6" s="47" t="str">
        <f>IFERROR(VLOOKUP(AW4,'Monthly Line Picks'!$A$1:$D$2101,4,FALSE),"0")</f>
        <v>0</v>
      </c>
      <c r="AX6" s="47">
        <f>IFERROR(VLOOKUP(AX4,'Monthly Line Picks'!$A$1:$D$2101,4,FALSE),"0")</f>
        <v>8</v>
      </c>
      <c r="AY6" s="47">
        <f>IFERROR(VLOOKUP(AY4,'Monthly Line Picks'!$A$1:$D$2101,4,FALSE),"0")</f>
        <v>12</v>
      </c>
      <c r="AZ6" s="57">
        <f>IFERROR(VLOOKUP(AZ4,'Monthly Line Picks'!$A$1:$D$2101,4,FALSE),"0")</f>
        <v>7</v>
      </c>
      <c r="BA6" s="15" t="s">
        <v>101</v>
      </c>
      <c r="BB6" s="37">
        <f>IFERROR(VLOOKUP(BA6,'Module Items'!$A$1:$B$2587,2,FALSE),"")</f>
        <v>114868</v>
      </c>
      <c r="BC6" s="44">
        <f>IFERROR(VLOOKUP(BA6,'Monthly Line Picks'!$A$1:$D$2000,4,FALSE),"0")</f>
        <v>27</v>
      </c>
      <c r="BD6" s="47" t="s">
        <v>102</v>
      </c>
      <c r="BE6" s="37">
        <f>IFERROR(VLOOKUP(BD6,'Module Items'!$A$1:$B$2587,2,FALSE),"")</f>
        <v>96352</v>
      </c>
      <c r="BF6" s="44">
        <f>IFERROR(VLOOKUP(BD6,'Monthly Line Picks'!$A$1:$D$2000,4,FALSE),"0")</f>
        <v>15</v>
      </c>
      <c r="BG6" s="47" t="s">
        <v>103</v>
      </c>
      <c r="BH6" s="37" t="str">
        <f>IFERROR(VLOOKUP(BG6,'Module Items'!$A$1:$B$2587,2,FALSE),"")</f>
        <v>OPEN</v>
      </c>
      <c r="BI6" s="44" t="str">
        <f>IFERROR(VLOOKUP(BG6,'Monthly Line Picks'!$A$1:$D$2000,4,FALSE),"0")</f>
        <v>0</v>
      </c>
      <c r="BJ6" s="47" t="s">
        <v>104</v>
      </c>
      <c r="BK6" s="37">
        <f>IFERROR(VLOOKUP(BJ6,'Module Items'!$A$1:$B$2587,2,FALSE),"")</f>
        <v>67025</v>
      </c>
      <c r="BL6" s="44">
        <f>IFERROR(VLOOKUP(BJ6,'Monthly Line Picks'!$A$1:$D$2000,4,FALSE),"0")</f>
        <v>1</v>
      </c>
      <c r="BM6" s="47" t="s">
        <v>105</v>
      </c>
      <c r="BN6" s="37">
        <f>IFERROR(VLOOKUP(BM6,'Module Items'!$A$1:$B$2587,2,FALSE),"")</f>
        <v>141076</v>
      </c>
      <c r="BO6" s="44" t="str">
        <f>IFERROR(VLOOKUP(BM6,'Monthly Line Picks'!$A$1:$D$2000,4,FALSE),"0")</f>
        <v>0</v>
      </c>
      <c r="BP6" s="57" t="s">
        <v>106</v>
      </c>
      <c r="BQ6" s="37">
        <f>IFERROR(VLOOKUP(BP6,'Module Items'!$A$1:$B$2587,2,FALSE),"")</f>
        <v>72373</v>
      </c>
      <c r="BR6" s="44">
        <f>IFERROR(VLOOKUP(BP6,'Monthly Line Picks'!$A$1:$D$2000,4,FALSE),"0")</f>
        <v>1</v>
      </c>
      <c r="BS6" s="222"/>
      <c r="BT6" s="222"/>
      <c r="BU6" s="223"/>
      <c r="BV6" s="233"/>
      <c r="BW6" s="234"/>
      <c r="BX6" s="235"/>
      <c r="BY6" s="46" t="str">
        <f>IFERROR(VLOOKUP(BY4,'Monthly Line Picks'!$A$1:$D$1458,4,FALSE),"0")</f>
        <v>0</v>
      </c>
      <c r="BZ6" s="46">
        <f>IFERROR(VLOOKUP(BZ4,'Monthly Line Picks'!$A$1:$D$1458,4,FALSE),"0")</f>
        <v>6</v>
      </c>
      <c r="CA6" s="46">
        <f>IFERROR(VLOOKUP(CA4,'Monthly Line Picks'!$A$1:$D$1458,4,FALSE),"0")</f>
        <v>25</v>
      </c>
      <c r="CB6" s="46">
        <f>IFERROR(VLOOKUP(CB4,'Monthly Line Picks'!$A$1:$D$1458,4,FALSE),"0")</f>
        <v>3</v>
      </c>
      <c r="CC6" s="46">
        <f>IFERROR(VLOOKUP(CC4,'Monthly Line Picks'!$A$1:$D$1458,4,FALSE),"0")</f>
        <v>19</v>
      </c>
      <c r="CD6" s="46">
        <f>IFERROR(VLOOKUP(CD4,'Monthly Line Picks'!$A$1:$D$1458,4,FALSE),"0")</f>
        <v>11</v>
      </c>
      <c r="CE6" s="46">
        <f>IFERROR(VLOOKUP(CE4,'Monthly Line Picks'!$A$1:$D$1458,4,FALSE),"0")</f>
        <v>10</v>
      </c>
      <c r="CF6" s="46">
        <f>IFERROR(VLOOKUP(CF4,'Monthly Line Picks'!$A$1:$D$1458,4,FALSE),"0")</f>
        <v>6</v>
      </c>
      <c r="CG6" s="46">
        <f>IFERROR(VLOOKUP(CG4,'Monthly Line Picks'!$A$1:$D$1458,4,FALSE),"0")</f>
        <v>17</v>
      </c>
      <c r="CH6" s="46" t="str">
        <f>IFERROR(VLOOKUP(CH4,'Monthly Line Picks'!$A$1:$D$1458,4,FALSE),"0")</f>
        <v>0</v>
      </c>
      <c r="CI6" s="46">
        <f>IFERROR(VLOOKUP(CI4,'Monthly Line Picks'!$A$1:$D$1458,4,FALSE),"0")</f>
        <v>18</v>
      </c>
      <c r="CJ6" s="46">
        <f>IFERROR(VLOOKUP(CJ4,'Monthly Line Picks'!$A$1:$D$1458,4,FALSE),"0")</f>
        <v>12</v>
      </c>
      <c r="CK6" s="46">
        <f>IFERROR(VLOOKUP(CK4,'Monthly Line Picks'!$A$1:$D$1458,4,FALSE),"0")</f>
        <v>15</v>
      </c>
      <c r="CL6" s="46" t="str">
        <f>IFERROR(VLOOKUP(CL4,'Monthly Line Picks'!$A$1:$D$1458,4,FALSE),"0")</f>
        <v>0</v>
      </c>
      <c r="CM6" s="46">
        <f>IFERROR(VLOOKUP(CM4,'Monthly Line Picks'!$A$1:$D$1458,4,FALSE),"0")</f>
        <v>22</v>
      </c>
      <c r="CN6" s="46">
        <f>IFERROR(VLOOKUP(CN4,'Monthly Line Picks'!$A$1:$D$1458,4,FALSE),"0")</f>
        <v>5</v>
      </c>
      <c r="CO6" s="46" t="str">
        <f>IFERROR(VLOOKUP(CO4,'Monthly Line Picks'!$A$1:$D$1458,4,FALSE),"0")</f>
        <v>0</v>
      </c>
      <c r="CP6" s="46">
        <f>IFERROR(VLOOKUP(CP4,'Monthly Line Picks'!$A$1:$D$1458,4,FALSE),"0")</f>
        <v>9</v>
      </c>
      <c r="CQ6" s="46" t="str">
        <f>IFERROR(VLOOKUP(CQ4,'Monthly Line Picks'!$A$1:$D$1458,4,FALSE),"0")</f>
        <v>0</v>
      </c>
      <c r="CR6" s="46" t="str">
        <f>IFERROR(VLOOKUP(CR4,'Monthly Line Picks'!$A$1:$D$1458,4,FALSE),"0")</f>
        <v>0</v>
      </c>
      <c r="CS6" s="46" t="str">
        <f>IFERROR(VLOOKUP(CS4,'Monthly Line Picks'!$A$1:$D$1458,4,FALSE),"0")</f>
        <v>0</v>
      </c>
      <c r="CT6" s="46">
        <f>IFERROR(VLOOKUP(CT4,'Monthly Line Picks'!$A$1:$D$1458,4,FALSE),"0")</f>
        <v>16</v>
      </c>
      <c r="CU6" s="46">
        <f>IFERROR(VLOOKUP(CU4,'Monthly Line Picks'!$A$1:$D$1458,4,FALSE),"0")</f>
        <v>17</v>
      </c>
      <c r="CV6" s="46">
        <f>IFERROR(VLOOKUP(CV4,'Monthly Line Picks'!$A$1:$D$1458,4,FALSE),"0")</f>
        <v>122</v>
      </c>
      <c r="CW6" s="46">
        <f>IFERROR(VLOOKUP(CW4,'Monthly Line Picks'!$A$1:$D$1458,4,FALSE),"0")</f>
        <v>4</v>
      </c>
      <c r="CX6" s="46">
        <f>IFERROR(VLOOKUP(CX4,'Monthly Line Picks'!$A$1:$D$1458,4,FALSE),"0")</f>
        <v>13</v>
      </c>
      <c r="CY6" s="46">
        <f>IFERROR(VLOOKUP(CY4,'Monthly Line Picks'!$A$1:$D$1458,4,FALSE),"0")</f>
        <v>35</v>
      </c>
      <c r="CZ6" s="46" t="str">
        <f>IFERROR(VLOOKUP(CZ4,'Monthly Line Picks'!$A$1:$D$1458,4,FALSE),"0")</f>
        <v>0</v>
      </c>
      <c r="DA6" s="46">
        <f>IFERROR(VLOOKUP(DA4,'Monthly Line Picks'!$A$1:$D$1458,4,FALSE),"0")</f>
        <v>60</v>
      </c>
      <c r="DB6" s="101">
        <f>IFERROR(VLOOKUP(DB4,'Monthly Line Picks'!$A$1:$D$1458,4,FALSE),"0")</f>
        <v>192</v>
      </c>
      <c r="DC6" s="47" t="s">
        <v>107</v>
      </c>
      <c r="DD6" s="37">
        <f>IFERROR(VLOOKUP(DC6,'Module Items'!$A$1:$B$2587,2,FALSE),"")</f>
        <v>123945</v>
      </c>
      <c r="DE6" s="44">
        <f>IFERROR(VLOOKUP(DC6,'Monthly Line Picks'!$A$1:$D$2000,4,FALSE),"0")</f>
        <v>5</v>
      </c>
      <c r="DF6" s="47" t="s">
        <v>108</v>
      </c>
      <c r="DG6" s="37">
        <f>IFERROR(VLOOKUP(DF6,'Module Items'!$A$1:$B$2587,2,FALSE),"")</f>
        <v>81</v>
      </c>
      <c r="DH6" s="44">
        <f>IFERROR(VLOOKUP(DF6,'Monthly Line Picks'!$A$1:$D$2000,4,FALSE),"0")</f>
        <v>4</v>
      </c>
      <c r="DI6" s="47" t="s">
        <v>109</v>
      </c>
      <c r="DJ6" s="37">
        <f>IFERROR(VLOOKUP(DI6,'Module Items'!$A$1:$B$2587,2,FALSE),"")</f>
        <v>35196</v>
      </c>
      <c r="DK6" s="44">
        <f>IFERROR(VLOOKUP(DI6,'Monthly Line Picks'!$A$1:$D$2000,4,FALSE),"0")</f>
        <v>10</v>
      </c>
      <c r="DL6" s="47" t="s">
        <v>110</v>
      </c>
      <c r="DM6" s="37">
        <f>IFERROR(VLOOKUP(DL6,'Module Items'!$A$1:$B$2587,2,FALSE),"")</f>
        <v>330</v>
      </c>
      <c r="DN6" s="44">
        <f>IFERROR(VLOOKUP(DL6,'Monthly Line Picks'!$A$1:$D$2000,4,FALSE),"0")</f>
        <v>1</v>
      </c>
      <c r="DO6" s="63" t="s">
        <v>111</v>
      </c>
      <c r="DP6" s="37">
        <f>IFERROR(VLOOKUP(DO6,'Module Items'!$A$1:$B$2587,2,FALSE),"")</f>
        <v>173314</v>
      </c>
      <c r="DQ6" s="44" t="str">
        <f>IFERROR(VLOOKUP(DO6,'Monthly Line Picks'!$A$1:$D$2000,4,FALSE),"0")</f>
        <v>0</v>
      </c>
      <c r="DR6" s="47" t="s">
        <v>112</v>
      </c>
      <c r="DS6" s="37">
        <f>IFERROR(VLOOKUP(DR6,'Module Items'!$A$1:$B$2587,2,FALSE),"")</f>
        <v>8566</v>
      </c>
      <c r="DT6" s="44" t="str">
        <f>IFERROR(VLOOKUP(DR6,'Monthly Line Picks'!$A$1:$D$2000,4,FALSE),"0")</f>
        <v>0</v>
      </c>
    </row>
    <row r="7" spans="3:128" ht="15.95" thickBot="1">
      <c r="C7" s="205"/>
      <c r="D7" s="206"/>
      <c r="E7" s="206"/>
      <c r="F7" s="210"/>
      <c r="G7" s="205"/>
      <c r="H7" s="206"/>
      <c r="I7" s="206"/>
      <c r="J7" s="206"/>
      <c r="K7" s="37" t="s">
        <v>113</v>
      </c>
      <c r="L7" s="13" t="s">
        <v>114</v>
      </c>
      <c r="M7" s="13" t="s">
        <v>115</v>
      </c>
      <c r="N7" s="13" t="s">
        <v>116</v>
      </c>
      <c r="O7" s="13" t="s">
        <v>117</v>
      </c>
      <c r="P7" s="108" t="s">
        <v>118</v>
      </c>
      <c r="Q7" s="37" t="s">
        <v>119</v>
      </c>
      <c r="R7" s="13" t="s">
        <v>120</v>
      </c>
      <c r="S7" s="13" t="s">
        <v>121</v>
      </c>
      <c r="T7" s="13" t="s">
        <v>122</v>
      </c>
      <c r="U7" s="228"/>
      <c r="V7" s="108" t="s">
        <v>123</v>
      </c>
      <c r="W7" s="37" t="s">
        <v>124</v>
      </c>
      <c r="X7" s="13" t="s">
        <v>125</v>
      </c>
      <c r="Y7" s="13" t="s">
        <v>126</v>
      </c>
      <c r="Z7" s="13" t="s">
        <v>127</v>
      </c>
      <c r="AA7" s="13" t="s">
        <v>128</v>
      </c>
      <c r="AB7" s="108" t="s">
        <v>129</v>
      </c>
      <c r="AC7" s="37" t="s">
        <v>130</v>
      </c>
      <c r="AD7" s="13" t="s">
        <v>131</v>
      </c>
      <c r="AE7" s="13" t="s">
        <v>132</v>
      </c>
      <c r="AF7" s="13" t="s">
        <v>133</v>
      </c>
      <c r="AG7" s="13" t="s">
        <v>134</v>
      </c>
      <c r="AH7" s="108" t="s">
        <v>135</v>
      </c>
      <c r="AI7" s="37" t="s">
        <v>136</v>
      </c>
      <c r="AJ7" s="13" t="s">
        <v>137</v>
      </c>
      <c r="AK7" s="13" t="s">
        <v>138</v>
      </c>
      <c r="AL7" s="13" t="s">
        <v>139</v>
      </c>
      <c r="AM7" s="13" t="s">
        <v>140</v>
      </c>
      <c r="AN7" s="11" t="s">
        <v>141</v>
      </c>
      <c r="AO7" s="37" t="s">
        <v>142</v>
      </c>
      <c r="AP7" s="13" t="s">
        <v>143</v>
      </c>
      <c r="AQ7" s="13" t="s">
        <v>144</v>
      </c>
      <c r="AR7" s="13" t="s">
        <v>145</v>
      </c>
      <c r="AS7" s="13" t="s">
        <v>146</v>
      </c>
      <c r="AT7" s="108" t="s">
        <v>147</v>
      </c>
      <c r="AU7" s="37" t="s">
        <v>148</v>
      </c>
      <c r="AV7" s="13" t="s">
        <v>149</v>
      </c>
      <c r="AW7" s="13" t="s">
        <v>150</v>
      </c>
      <c r="AX7" s="13" t="s">
        <v>151</v>
      </c>
      <c r="AY7" s="13" t="s">
        <v>152</v>
      </c>
      <c r="AZ7" s="108" t="s">
        <v>153</v>
      </c>
      <c r="BA7" s="15" t="s">
        <v>154</v>
      </c>
      <c r="BB7" s="37">
        <f>IFERROR(VLOOKUP(BA7,'Module Items'!$A$1:$B$2587,2,FALSE),"")</f>
        <v>157511</v>
      </c>
      <c r="BC7" s="44">
        <f>IFERROR(VLOOKUP(BA7,'Monthly Line Picks'!$A$1:$D$2000,4,FALSE),"0")</f>
        <v>10</v>
      </c>
      <c r="BD7" s="47" t="s">
        <v>155</v>
      </c>
      <c r="BE7" s="37">
        <f>IFERROR(VLOOKUP(BD7,'Module Items'!$A$1:$B$2587,2,FALSE),"")</f>
        <v>159040</v>
      </c>
      <c r="BF7" s="44">
        <f>IFERROR(VLOOKUP(BD7,'Monthly Line Picks'!$A$1:$D$2000,4,FALSE),"0")</f>
        <v>10</v>
      </c>
      <c r="BG7" s="47" t="s">
        <v>156</v>
      </c>
      <c r="BH7" s="37">
        <f>IFERROR(VLOOKUP(BG7,'Module Items'!$A$1:$B$2587,2,FALSE),"")</f>
        <v>72374</v>
      </c>
      <c r="BI7" s="44" t="str">
        <f>IFERROR(VLOOKUP(BG7,'Monthly Line Picks'!$A$1:$D$2000,4,FALSE),"0")</f>
        <v>0</v>
      </c>
      <c r="BJ7" s="47" t="s">
        <v>157</v>
      </c>
      <c r="BK7" s="37">
        <f>IFERROR(VLOOKUP(BJ7,'Module Items'!$A$1:$B$2587,2,FALSE),"")</f>
        <v>1527</v>
      </c>
      <c r="BL7" s="44" t="str">
        <f>IFERROR(VLOOKUP(BJ7,'Monthly Line Picks'!$A$1:$D$2000,4,FALSE),"0")</f>
        <v>0</v>
      </c>
      <c r="BM7" s="47" t="s">
        <v>158</v>
      </c>
      <c r="BN7" s="37">
        <f>IFERROR(VLOOKUP(BM7,'Module Items'!$A$1:$B$2587,2,FALSE),"")</f>
        <v>107985</v>
      </c>
      <c r="BO7" s="44">
        <f>IFERROR(VLOOKUP(BM7,'Monthly Line Picks'!$A$1:$D$2000,4,FALSE),"0")</f>
        <v>2</v>
      </c>
      <c r="BP7" s="57" t="s">
        <v>159</v>
      </c>
      <c r="BQ7" s="37">
        <f>IFERROR(VLOOKUP(BP7,'Module Items'!$A$1:$B$2587,2,FALSE),"")</f>
        <v>172026</v>
      </c>
      <c r="BR7" s="44" t="str">
        <f>IFERROR(VLOOKUP(BP7,'Monthly Line Picks'!$A$1:$D$2000,4,FALSE),"0")</f>
        <v>0</v>
      </c>
      <c r="BS7" s="222"/>
      <c r="BT7" s="222"/>
      <c r="BU7" s="223"/>
      <c r="BV7" s="233"/>
      <c r="BW7" s="234"/>
      <c r="BX7" s="235"/>
      <c r="BY7" s="6" t="s">
        <v>160</v>
      </c>
      <c r="BZ7" s="9" t="s">
        <v>161</v>
      </c>
      <c r="CA7" s="9" t="s">
        <v>162</v>
      </c>
      <c r="CB7" s="7" t="s">
        <v>163</v>
      </c>
      <c r="CC7" s="7" t="s">
        <v>164</v>
      </c>
      <c r="CD7" s="8" t="s">
        <v>165</v>
      </c>
      <c r="CE7" s="6" t="s">
        <v>166</v>
      </c>
      <c r="CF7" s="9" t="s">
        <v>167</v>
      </c>
      <c r="CG7" s="9" t="s">
        <v>168</v>
      </c>
      <c r="CH7" s="7" t="s">
        <v>169</v>
      </c>
      <c r="CI7" s="7" t="s">
        <v>170</v>
      </c>
      <c r="CJ7" s="14" t="s">
        <v>171</v>
      </c>
      <c r="CK7" s="39" t="s">
        <v>172</v>
      </c>
      <c r="CL7" s="9" t="s">
        <v>173</v>
      </c>
      <c r="CM7" s="9" t="s">
        <v>174</v>
      </c>
      <c r="CN7" s="7" t="s">
        <v>175</v>
      </c>
      <c r="CO7" s="7" t="s">
        <v>176</v>
      </c>
      <c r="CP7" s="28" t="s">
        <v>177</v>
      </c>
      <c r="CQ7" s="9" t="s">
        <v>178</v>
      </c>
      <c r="CR7" s="9" t="s">
        <v>179</v>
      </c>
      <c r="CS7" s="9" t="s">
        <v>180</v>
      </c>
      <c r="CT7" s="7" t="s">
        <v>181</v>
      </c>
      <c r="CU7" s="7" t="s">
        <v>182</v>
      </c>
      <c r="CV7" s="8" t="s">
        <v>183</v>
      </c>
      <c r="CW7" s="6" t="s">
        <v>184</v>
      </c>
      <c r="CX7" s="9" t="s">
        <v>185</v>
      </c>
      <c r="CY7" s="9" t="s">
        <v>186</v>
      </c>
      <c r="CZ7" s="7" t="s">
        <v>187</v>
      </c>
      <c r="DA7" s="7" t="s">
        <v>188</v>
      </c>
      <c r="DB7" s="14" t="s">
        <v>189</v>
      </c>
      <c r="DC7" s="47" t="s">
        <v>190</v>
      </c>
      <c r="DD7" s="37">
        <f>IFERROR(VLOOKUP(DC7,'Module Items'!$A$1:$B$2587,2,FALSE),"")</f>
        <v>177087</v>
      </c>
      <c r="DE7" s="44">
        <f>IFERROR(VLOOKUP(DC7,'Monthly Line Picks'!$A$1:$D$2000,4,FALSE),"0")</f>
        <v>12</v>
      </c>
      <c r="DF7" s="47" t="s">
        <v>191</v>
      </c>
      <c r="DG7" s="37">
        <f>IFERROR(VLOOKUP(DF7,'Module Items'!$A$1:$B$2587,2,FALSE),"")</f>
        <v>8250</v>
      </c>
      <c r="DH7" s="44" t="str">
        <f>IFERROR(VLOOKUP(DF7,'Monthly Line Picks'!$A$1:$D$2000,4,FALSE),"0")</f>
        <v>0</v>
      </c>
      <c r="DI7" s="47" t="s">
        <v>192</v>
      </c>
      <c r="DJ7" s="37">
        <f>IFERROR(VLOOKUP(DI7,'Module Items'!$A$1:$B$2587,2,FALSE),"")</f>
        <v>177134</v>
      </c>
      <c r="DK7" s="44" t="str">
        <f>IFERROR(VLOOKUP(DI7,'Monthly Line Picks'!$A$1:$D$2000,4,FALSE),"0")</f>
        <v>0</v>
      </c>
      <c r="DL7" s="47" t="s">
        <v>193</v>
      </c>
      <c r="DM7" s="37">
        <f>IFERROR(VLOOKUP(DL7,'Module Items'!$A$1:$B$2587,2,FALSE),"")</f>
        <v>144144</v>
      </c>
      <c r="DN7" s="44">
        <f>IFERROR(VLOOKUP(DL7,'Monthly Line Picks'!$A$1:$D$2000,4,FALSE),"0")</f>
        <v>12</v>
      </c>
      <c r="DO7" s="63" t="s">
        <v>194</v>
      </c>
      <c r="DP7" s="37">
        <f>IFERROR(VLOOKUP(DO7,'Module Items'!$A$1:$B$2587,2,FALSE),"")</f>
        <v>115909</v>
      </c>
      <c r="DQ7" s="44" t="str">
        <f>IFERROR(VLOOKUP(DO7,'Monthly Line Picks'!$A$1:$D$2000,4,FALSE),"0")</f>
        <v>0</v>
      </c>
      <c r="DR7" s="47" t="s">
        <v>195</v>
      </c>
      <c r="DS7" s="37">
        <f>IFERROR(VLOOKUP(DR7,'Module Items'!$A$1:$B$2587,2,FALSE),"")</f>
        <v>156659</v>
      </c>
      <c r="DT7" s="44" t="str">
        <f>IFERROR(VLOOKUP(DR7,'Monthly Line Picks'!$A$1:$D$2000,4,FALSE),"0")</f>
        <v>0</v>
      </c>
    </row>
    <row r="8" spans="3:128" ht="15.95" thickBot="1">
      <c r="C8" s="205"/>
      <c r="D8" s="206"/>
      <c r="E8" s="206"/>
      <c r="F8" s="210"/>
      <c r="G8" s="205"/>
      <c r="H8" s="206"/>
      <c r="I8" s="206"/>
      <c r="J8" s="206"/>
      <c r="K8" s="56">
        <f>IFERROR(VLOOKUP(K7,'Module Items'!$A$1:$B$2587,2,FALSE),"")</f>
        <v>661</v>
      </c>
      <c r="L8" s="47">
        <f>IFERROR(VLOOKUP(L7,'Module Items'!$A$1:$B$2587,2,FALSE),"")</f>
        <v>142657</v>
      </c>
      <c r="M8" s="47">
        <f>IFERROR(VLOOKUP(M7,'Module Items'!$A$1:$B$2587,2,FALSE),"")</f>
        <v>136330</v>
      </c>
      <c r="N8" s="47">
        <f>IFERROR(VLOOKUP(N7,'Module Items'!$A$1:$B$2587,2,FALSE),"")</f>
        <v>77908</v>
      </c>
      <c r="O8" s="47">
        <f>IFERROR(VLOOKUP(O7,'Module Items'!$A$1:$B$2587,2,FALSE),"")</f>
        <v>94840</v>
      </c>
      <c r="P8" s="57">
        <f>IFERROR(VLOOKUP(P7,'Module Items'!$A$1:$B$2587,2,FALSE),"")</f>
        <v>114170</v>
      </c>
      <c r="Q8" s="56">
        <f>IFERROR(VLOOKUP(Q7,'Module Items'!$A$1:$B$2587,2,FALSE),"")</f>
        <v>133639</v>
      </c>
      <c r="R8" s="47">
        <f>IFERROR(VLOOKUP(R7,'Module Items'!$A$1:$B$2587,2,FALSE),"")</f>
        <v>134290</v>
      </c>
      <c r="S8" s="47">
        <f>IFERROR(VLOOKUP(S7,'Module Items'!$A$1:$B$2587,2,FALSE),"")</f>
        <v>160486</v>
      </c>
      <c r="T8" s="47">
        <f>IFERROR(VLOOKUP(T7,'Module Items'!$A$1:$B$2587,2,FALSE),"")</f>
        <v>138510</v>
      </c>
      <c r="U8" s="228"/>
      <c r="V8" s="57">
        <f>IFERROR(VLOOKUP(V7,'Module Items'!$A$1:$B$2587,2,FALSE),"")</f>
        <v>159074</v>
      </c>
      <c r="W8" s="56">
        <f>IFERROR(VLOOKUP(W7,'Module Items'!$A$1:$B$2587,2,FALSE),"")</f>
        <v>104614</v>
      </c>
      <c r="X8" s="47">
        <f>IFERROR(VLOOKUP(X7,'Module Items'!$A$1:$B$2587,2,FALSE),"")</f>
        <v>106380</v>
      </c>
      <c r="Y8" s="47">
        <f>IFERROR(VLOOKUP(Y7,'Module Items'!$A$1:$B$2587,2,FALSE),"")</f>
        <v>108468</v>
      </c>
      <c r="Z8" s="47">
        <f>IFERROR(VLOOKUP(Z7,'Module Items'!$A$1:$B$2587,2,FALSE),"")</f>
        <v>112169</v>
      </c>
      <c r="AA8" s="47">
        <f>IFERROR(VLOOKUP(AA7,'Module Items'!$A$1:$B$2587,2,FALSE),"")</f>
        <v>157430</v>
      </c>
      <c r="AB8" s="57">
        <f>IFERROR(VLOOKUP(AB7,'Module Items'!$A$1:$B$2587,2,FALSE),"")</f>
        <v>12778</v>
      </c>
      <c r="AC8" s="56">
        <f>IFERROR(VLOOKUP(AC7,'Module Items'!$A$1:$B$2587,2,FALSE),"")</f>
        <v>20032</v>
      </c>
      <c r="AD8" s="47">
        <f>IFERROR(VLOOKUP(AD7,'Module Items'!$A$1:$B$2587,2,FALSE),"")</f>
        <v>37393</v>
      </c>
      <c r="AE8" s="47">
        <f>IFERROR(VLOOKUP(AE7,'Module Items'!$A$1:$B$2587,2,FALSE),"")</f>
        <v>42042</v>
      </c>
      <c r="AF8" s="47">
        <f>IFERROR(VLOOKUP(AF7,'Module Items'!$A$1:$B$2587,2,FALSE),"")</f>
        <v>59688</v>
      </c>
      <c r="AG8" s="47">
        <f>IFERROR(VLOOKUP(AG7,'Module Items'!$A$1:$B$2587,2,FALSE),"")</f>
        <v>60152</v>
      </c>
      <c r="AH8" s="57">
        <f>IFERROR(VLOOKUP(AH7,'Module Items'!$A$1:$B$2587,2,FALSE),"")</f>
        <v>101738</v>
      </c>
      <c r="AI8" s="56" t="str">
        <f>IFERROR(VLOOKUP(AI7,'Module Items'!$A$1:$B$2587,2,FALSE),"")</f>
        <v/>
      </c>
      <c r="AJ8" s="47" t="str">
        <f>IFERROR(VLOOKUP(AJ7,'Module Items'!$A$1:$B$2587,2,FALSE),"")</f>
        <v/>
      </c>
      <c r="AK8" s="47">
        <f>IFERROR(VLOOKUP(AK7,'Module Items'!$A$1:$B$2587,2,FALSE),"")</f>
        <v>1398</v>
      </c>
      <c r="AL8" s="47">
        <f>IFERROR(VLOOKUP(AL7,'Module Items'!$A$1:$B$2587,2,FALSE),"")</f>
        <v>177435</v>
      </c>
      <c r="AM8" s="47">
        <f>IFERROR(VLOOKUP(AM7,'Module Items'!$A$1:$B$2587,2,FALSE),"")</f>
        <v>138819</v>
      </c>
      <c r="AN8" s="63">
        <f>IFERROR(VLOOKUP(AN7,'Module Items'!$A$1:$B$2587,2,FALSE),"")</f>
        <v>453</v>
      </c>
      <c r="AO8" s="56" t="str">
        <f>IFERROR(VLOOKUP(AO7,'Module Items'!$A$1:$B$2587,2,FALSE),"")</f>
        <v/>
      </c>
      <c r="AP8" s="47" t="str">
        <f>IFERROR(VLOOKUP(AP7,'Module Items'!$A$1:$B$2587,2,FALSE),"")</f>
        <v/>
      </c>
      <c r="AQ8" s="47">
        <f>IFERROR(VLOOKUP(AQ7,'Module Items'!$A$1:$B$2587,2,FALSE),"")</f>
        <v>157032</v>
      </c>
      <c r="AR8" s="47">
        <f>IFERROR(VLOOKUP(AR7,'Module Items'!$A$1:$B$2587,2,FALSE),"")</f>
        <v>14773</v>
      </c>
      <c r="AS8" s="47">
        <f>IFERROR(VLOOKUP(AS7,'Module Items'!$A$1:$B$2587,2,FALSE),"")</f>
        <v>59358</v>
      </c>
      <c r="AT8" s="57">
        <f>IFERROR(VLOOKUP(AT7,'Module Items'!$A$1:$B$2587,2,FALSE),"")</f>
        <v>35300</v>
      </c>
      <c r="AU8" s="56">
        <f>IFERROR(VLOOKUP(AU7,'Module Items'!$A$1:$B$2587,2,FALSE),"")</f>
        <v>138757</v>
      </c>
      <c r="AV8" s="47">
        <f>IFERROR(VLOOKUP(AV7,'Module Items'!$A$1:$B$2587,2,FALSE),"")</f>
        <v>157017</v>
      </c>
      <c r="AW8" s="47">
        <f>IFERROR(VLOOKUP(AW7,'Module Items'!$A$1:$B$2587,2,FALSE),"")</f>
        <v>109777</v>
      </c>
      <c r="AX8" s="47">
        <f>IFERROR(VLOOKUP(AX7,'Module Items'!$A$1:$B$2587,2,FALSE),"")</f>
        <v>177263</v>
      </c>
      <c r="AY8" s="47" t="str">
        <f>IFERROR(VLOOKUP(AY7,'Module Items'!$A$1:$B$2587,2,FALSE),"")</f>
        <v/>
      </c>
      <c r="AZ8" s="57">
        <f>IFERROR(VLOOKUP(AZ7,'Module Items'!$A$1:$B$2587,2,FALSE),"")</f>
        <v>159072</v>
      </c>
      <c r="BA8" s="15" t="s">
        <v>196</v>
      </c>
      <c r="BB8" s="37">
        <f>IFERROR(VLOOKUP(BA8,'Module Items'!$A$1:$B$2587,2,FALSE),"")</f>
        <v>1963</v>
      </c>
      <c r="BC8" s="44">
        <f>IFERROR(VLOOKUP(BA8,'Monthly Line Picks'!$A$1:$D$2000,4,FALSE),"0")</f>
        <v>8</v>
      </c>
      <c r="BD8" s="47" t="s">
        <v>197</v>
      </c>
      <c r="BE8" s="37">
        <f>IFERROR(VLOOKUP(BD8,'Module Items'!$A$1:$B$2587,2,FALSE),"")</f>
        <v>63509</v>
      </c>
      <c r="BF8" s="44">
        <f>IFERROR(VLOOKUP(BD8,'Monthly Line Picks'!$A$1:$D$2000,4,FALSE),"0")</f>
        <v>1</v>
      </c>
      <c r="BG8" s="47" t="s">
        <v>198</v>
      </c>
      <c r="BH8" s="37">
        <f>IFERROR(VLOOKUP(BG8,'Module Items'!$A$1:$B$2587,2,FALSE),"")</f>
        <v>157858</v>
      </c>
      <c r="BI8" s="44">
        <f>IFERROR(VLOOKUP(BG8,'Monthly Line Picks'!$A$1:$D$2000,4,FALSE),"0")</f>
        <v>2</v>
      </c>
      <c r="BJ8" s="47" t="s">
        <v>199</v>
      </c>
      <c r="BK8" s="37">
        <f>IFERROR(VLOOKUP(BJ8,'Module Items'!$A$1:$B$2587,2,FALSE),"")</f>
        <v>89977</v>
      </c>
      <c r="BL8" s="44" t="str">
        <f>IFERROR(VLOOKUP(BJ8,'Monthly Line Picks'!$A$1:$D$2000,4,FALSE),"0")</f>
        <v>0</v>
      </c>
      <c r="BM8" s="47" t="s">
        <v>200</v>
      </c>
      <c r="BN8" s="37">
        <f>IFERROR(VLOOKUP(BM8,'Module Items'!$A$1:$B$2587,2,FALSE),"")</f>
        <v>105911</v>
      </c>
      <c r="BO8" s="44">
        <f>IFERROR(VLOOKUP(BM8,'Monthly Line Picks'!$A$1:$D$2000,4,FALSE),"0")</f>
        <v>2</v>
      </c>
      <c r="BP8" s="57" t="s">
        <v>201</v>
      </c>
      <c r="BQ8" s="37">
        <f>IFERROR(VLOOKUP(BP8,'Module Items'!$A$1:$B$2587,2,FALSE),"")</f>
        <v>112585</v>
      </c>
      <c r="BR8" s="44" t="str">
        <f>IFERROR(VLOOKUP(BP8,'Monthly Line Picks'!$A$1:$D$2000,4,FALSE),"0")</f>
        <v>0</v>
      </c>
      <c r="BS8" s="222"/>
      <c r="BT8" s="222"/>
      <c r="BU8" s="223"/>
      <c r="BV8" s="233"/>
      <c r="BW8" s="234"/>
      <c r="BX8" s="235"/>
      <c r="BY8" s="46">
        <f>IFERROR(VLOOKUP(BY7,'Module Items'!$A$1:$B$2587,2,FALSE),"")</f>
        <v>37932</v>
      </c>
      <c r="BZ8" s="46">
        <f>IFERROR(VLOOKUP(BZ7,'Module Items'!$A$1:$B$2587,2,FALSE),"")</f>
        <v>1814</v>
      </c>
      <c r="CA8" s="46">
        <f>IFERROR(VLOOKUP(CA7,'Module Items'!$A$1:$B$2587,2,FALSE),"")</f>
        <v>59643</v>
      </c>
      <c r="CB8" s="46">
        <f>IFERROR(VLOOKUP(CB7,'Module Items'!$A$1:$B$2587,2,FALSE),"")</f>
        <v>133699</v>
      </c>
      <c r="CC8" s="46">
        <f>IFERROR(VLOOKUP(CC7,'Module Items'!$A$1:$B$2587,2,FALSE),"")</f>
        <v>27272</v>
      </c>
      <c r="CD8" s="46">
        <f>IFERROR(VLOOKUP(CD7,'Module Items'!$A$1:$B$2587,2,FALSE),"")</f>
        <v>159194</v>
      </c>
      <c r="CE8" s="46">
        <f>IFERROR(VLOOKUP(CE7,'Module Items'!$A$1:$B$2587,2,FALSE),"")</f>
        <v>108955</v>
      </c>
      <c r="CF8" s="46">
        <f>IFERROR(VLOOKUP(CF7,'Module Items'!$A$1:$B$2587,2,FALSE),"")</f>
        <v>110812</v>
      </c>
      <c r="CG8" s="46">
        <f>IFERROR(VLOOKUP(CG7,'Module Items'!$A$1:$B$2587,2,FALSE),"")</f>
        <v>157078</v>
      </c>
      <c r="CH8" s="46">
        <f>IFERROR(VLOOKUP(CH7,'Module Items'!$A$1:$B$2587,2,FALSE),"")</f>
        <v>392</v>
      </c>
      <c r="CI8" s="46">
        <f>IFERROR(VLOOKUP(CI7,'Module Items'!$A$1:$B$2587,2,FALSE),"")</f>
        <v>142658</v>
      </c>
      <c r="CJ8" s="46">
        <f>IFERROR(VLOOKUP(CJ7,'Module Items'!$A$1:$B$2587,2,FALSE),"")</f>
        <v>48850</v>
      </c>
      <c r="CK8" s="46">
        <f>IFERROR(VLOOKUP(CK7,'Module Items'!$A$1:$B$2587,2,FALSE),"")</f>
        <v>100613</v>
      </c>
      <c r="CL8" s="46">
        <f>IFERROR(VLOOKUP(CL7,'Module Items'!$A$1:$B$2587,2,FALSE),"")</f>
        <v>110603</v>
      </c>
      <c r="CM8" s="46">
        <f>IFERROR(VLOOKUP(CM7,'Module Items'!$A$1:$B$2587,2,FALSE),"")</f>
        <v>124941</v>
      </c>
      <c r="CN8" s="46">
        <f>IFERROR(VLOOKUP(CN7,'Module Items'!$A$1:$B$2587,2,FALSE),"")</f>
        <v>104493</v>
      </c>
      <c r="CO8" s="46" t="str">
        <f>IFERROR(VLOOKUP(CO7,'Module Items'!$A$1:$B$2587,2,FALSE),"")</f>
        <v/>
      </c>
      <c r="CP8" s="46">
        <f>IFERROR(VLOOKUP(CP7,'Module Items'!$A$1:$B$2587,2,FALSE),"")</f>
        <v>136872</v>
      </c>
      <c r="CQ8" s="46">
        <f>IFERROR(VLOOKUP(CQ7,'Module Items'!$A$1:$B$2587,2,FALSE),"")</f>
        <v>60997</v>
      </c>
      <c r="CR8" s="46">
        <f>IFERROR(VLOOKUP(CR7,'Module Items'!$A$1:$B$2587,2,FALSE),"")</f>
        <v>144249</v>
      </c>
      <c r="CS8" s="46">
        <f>IFERROR(VLOOKUP(CS7,'Module Items'!$A$1:$B$2587,2,FALSE),"")</f>
        <v>138815</v>
      </c>
      <c r="CT8" s="46">
        <f>IFERROR(VLOOKUP(CT7,'Module Items'!$A$1:$B$2587,2,FALSE),"")</f>
        <v>110502</v>
      </c>
      <c r="CU8" s="46">
        <f>IFERROR(VLOOKUP(CU7,'Module Items'!$A$1:$B$2587,2,FALSE),"")</f>
        <v>138811</v>
      </c>
      <c r="CV8" s="46">
        <f>IFERROR(VLOOKUP(CV7,'Module Items'!$A$1:$B$2587,2,FALSE),"")</f>
        <v>2646</v>
      </c>
      <c r="CW8" s="46">
        <f>IFERROR(VLOOKUP(CW7,'Module Items'!$A$1:$B$2587,2,FALSE),"")</f>
        <v>116652</v>
      </c>
      <c r="CX8" s="46">
        <f>IFERROR(VLOOKUP(CX7,'Module Items'!$A$1:$B$2587,2,FALSE),"")</f>
        <v>99765</v>
      </c>
      <c r="CY8" s="46">
        <f>IFERROR(VLOOKUP(CY7,'Module Items'!$A$1:$B$2587,2,FALSE),"")</f>
        <v>110685</v>
      </c>
      <c r="CZ8" s="46" t="str">
        <f>IFERROR(VLOOKUP(CZ7,'Module Items'!$A$1:$B$2587,2,FALSE),"")</f>
        <v/>
      </c>
      <c r="DA8" s="46" t="str">
        <f>IFERROR(VLOOKUP(DA7,'Module Items'!$A$1:$B$2587,2,FALSE),"")</f>
        <v/>
      </c>
      <c r="DB8" s="101">
        <f>IFERROR(VLOOKUP(DB7,'Module Items'!$A$1:$B$2587,2,FALSE),"")</f>
        <v>100379</v>
      </c>
      <c r="DC8" s="47" t="s">
        <v>202</v>
      </c>
      <c r="DD8" s="37">
        <f>IFERROR(VLOOKUP(DC8,'Module Items'!$A$1:$B$2587,2,FALSE),"")</f>
        <v>107130</v>
      </c>
      <c r="DE8" s="44">
        <f>IFERROR(VLOOKUP(DC8,'Monthly Line Picks'!$A$1:$D$2000,4,FALSE),"0")</f>
        <v>29</v>
      </c>
      <c r="DF8" s="47" t="s">
        <v>203</v>
      </c>
      <c r="DG8" s="37">
        <f>IFERROR(VLOOKUP(DF8,'Module Items'!$A$1:$B$2587,2,FALSE),"")</f>
        <v>192</v>
      </c>
      <c r="DH8" s="44">
        <f>IFERROR(VLOOKUP(DF8,'Monthly Line Picks'!$A$1:$D$2000,4,FALSE),"0")</f>
        <v>7</v>
      </c>
      <c r="DI8" s="47" t="s">
        <v>204</v>
      </c>
      <c r="DJ8" s="37">
        <f>IFERROR(VLOOKUP(DI8,'Module Items'!$A$1:$B$2587,2,FALSE),"")</f>
        <v>127138</v>
      </c>
      <c r="DK8" s="44">
        <f>IFERROR(VLOOKUP(DI8,'Monthly Line Picks'!$A$1:$D$2000,4,FALSE),"0")</f>
        <v>17</v>
      </c>
      <c r="DL8" s="47" t="s">
        <v>205</v>
      </c>
      <c r="DM8" s="37">
        <f>IFERROR(VLOOKUP(DL8,'Module Items'!$A$1:$B$2587,2,FALSE),"")</f>
        <v>100826</v>
      </c>
      <c r="DN8" s="44">
        <f>IFERROR(VLOOKUP(DL8,'Monthly Line Picks'!$A$1:$D$2000,4,FALSE),"0")</f>
        <v>12</v>
      </c>
      <c r="DO8" s="63" t="s">
        <v>206</v>
      </c>
      <c r="DP8" s="37">
        <f>IFERROR(VLOOKUP(DO8,'Module Items'!$A$1:$B$2587,2,FALSE),"")</f>
        <v>172419</v>
      </c>
      <c r="DQ8" s="44" t="str">
        <f>IFERROR(VLOOKUP(DO8,'Monthly Line Picks'!$A$1:$D$2000,4,FALSE),"0")</f>
        <v>0</v>
      </c>
      <c r="DR8" s="47" t="s">
        <v>207</v>
      </c>
      <c r="DS8" s="37">
        <f>IFERROR(VLOOKUP(DR8,'Module Items'!$A$1:$B$2587,2,FALSE),"")</f>
        <v>109160</v>
      </c>
      <c r="DT8" s="44" t="str">
        <f>IFERROR(VLOOKUP(DR8,'Monthly Line Picks'!$A$1:$D$2000,4,FALSE),"0")</f>
        <v>0</v>
      </c>
    </row>
    <row r="9" spans="3:128" ht="15.95" thickBot="1">
      <c r="C9" s="205"/>
      <c r="D9" s="206"/>
      <c r="E9" s="206"/>
      <c r="F9" s="210"/>
      <c r="G9" s="205"/>
      <c r="H9" s="206"/>
      <c r="I9" s="206"/>
      <c r="J9" s="206"/>
      <c r="K9" s="56">
        <f>IFERROR(VLOOKUP(K7,'Monthly Line Picks'!$A$1:$D$2101,4,FALSE),"0")</f>
        <v>97</v>
      </c>
      <c r="L9" s="47">
        <f>IFERROR(VLOOKUP(L7,'Monthly Line Picks'!$A$1:$D$2101,4,FALSE),"0")</f>
        <v>14</v>
      </c>
      <c r="M9" s="47" t="str">
        <f>IFERROR(VLOOKUP(M7,'Monthly Line Picks'!$A$1:$D$2101,4,FALSE),"0")</f>
        <v>0</v>
      </c>
      <c r="N9" s="47">
        <f>IFERROR(VLOOKUP(N7,'Monthly Line Picks'!$A$1:$D$2101,4,FALSE),"0")</f>
        <v>4</v>
      </c>
      <c r="O9" s="47">
        <f>IFERROR(VLOOKUP(O7,'Monthly Line Picks'!$A$1:$D$2101,4,FALSE),"0")</f>
        <v>18</v>
      </c>
      <c r="P9" s="57">
        <f>IFERROR(VLOOKUP(P7,'Monthly Line Picks'!$A$1:$D$2101,4,FALSE),"0")</f>
        <v>33</v>
      </c>
      <c r="Q9" s="56">
        <f>IFERROR(VLOOKUP(Q7,'Monthly Line Picks'!$A$1:$D$2101,4,FALSE),"0")</f>
        <v>1</v>
      </c>
      <c r="R9" s="47">
        <f>IFERROR(VLOOKUP(R7,'Monthly Line Picks'!$A$1:$D$2101,4,FALSE),"0")</f>
        <v>17</v>
      </c>
      <c r="S9" s="47">
        <f>IFERROR(VLOOKUP(S7,'Monthly Line Picks'!$A$1:$D$2101,4,FALSE),"0")</f>
        <v>1</v>
      </c>
      <c r="T9" s="47">
        <f>IFERROR(VLOOKUP(T7,'Monthly Line Picks'!$A$1:$D$2101,4,FALSE),"0")</f>
        <v>19</v>
      </c>
      <c r="U9" s="228"/>
      <c r="V9" s="57">
        <f>IFERROR(VLOOKUP(V7,'Monthly Line Picks'!$A$1:$D$2101,4,FALSE),"0")</f>
        <v>1</v>
      </c>
      <c r="W9" s="56">
        <f>IFERROR(VLOOKUP(W7,'Monthly Line Picks'!$A$1:$D$2101,4,FALSE),"0")</f>
        <v>8</v>
      </c>
      <c r="X9" s="47">
        <f>IFERROR(VLOOKUP(X7,'Monthly Line Picks'!$A$1:$D$2101,4,FALSE),"0")</f>
        <v>8</v>
      </c>
      <c r="Y9" s="47">
        <f>IFERROR(VLOOKUP(Y7,'Monthly Line Picks'!$A$1:$D$2101,4,FALSE),"0")</f>
        <v>6</v>
      </c>
      <c r="Z9" s="47" t="str">
        <f>IFERROR(VLOOKUP(Z7,'Monthly Line Picks'!$A$1:$D$2101,4,FALSE),"0")</f>
        <v>0</v>
      </c>
      <c r="AA9" s="47">
        <f>IFERROR(VLOOKUP(AA7,'Monthly Line Picks'!$A$1:$D$2101,4,FALSE),"0")</f>
        <v>2</v>
      </c>
      <c r="AB9" s="57">
        <f>IFERROR(VLOOKUP(AB7,'Monthly Line Picks'!$A$1:$D$2101,4,FALSE),"0")</f>
        <v>15</v>
      </c>
      <c r="AC9" s="56">
        <f>IFERROR(VLOOKUP(AC7,'Monthly Line Picks'!$A$1:$D$2101,4,FALSE),"0")</f>
        <v>7</v>
      </c>
      <c r="AD9" s="47">
        <f>IFERROR(VLOOKUP(AD7,'Monthly Line Picks'!$A$1:$D$2101,4,FALSE),"0")</f>
        <v>2</v>
      </c>
      <c r="AE9" s="47">
        <f>IFERROR(VLOOKUP(AE7,'Monthly Line Picks'!$A$1:$D$2101,4,FALSE),"0")</f>
        <v>26</v>
      </c>
      <c r="AF9" s="47">
        <f>IFERROR(VLOOKUP(AF7,'Monthly Line Picks'!$A$1:$D$2101,4,FALSE),"0")</f>
        <v>49</v>
      </c>
      <c r="AG9" s="47">
        <f>IFERROR(VLOOKUP(AG7,'Monthly Line Picks'!$A$1:$D$2101,4,FALSE),"0")</f>
        <v>12</v>
      </c>
      <c r="AH9" s="57">
        <f>IFERROR(VLOOKUP(AH7,'Monthly Line Picks'!$A$1:$D$2101,4,FALSE),"0")</f>
        <v>14</v>
      </c>
      <c r="AI9" s="56" t="str">
        <f>IFERROR(VLOOKUP(AI7,'Monthly Line Picks'!$A$1:$D$2101,4,FALSE),"0")</f>
        <v>0</v>
      </c>
      <c r="AJ9" s="47" t="str">
        <f>IFERROR(VLOOKUP(AJ7,'Monthly Line Picks'!$A$1:$D$2101,4,FALSE),"0")</f>
        <v>0</v>
      </c>
      <c r="AK9" s="47" t="str">
        <f>IFERROR(VLOOKUP(AK7,'Monthly Line Picks'!$A$1:$D$2101,4,FALSE),"0")</f>
        <v>0</v>
      </c>
      <c r="AL9" s="47" t="str">
        <f>IFERROR(VLOOKUP(AL7,'Monthly Line Picks'!$A$1:$D$2101,4,FALSE),"0")</f>
        <v>0</v>
      </c>
      <c r="AM9" s="47" t="str">
        <f>IFERROR(VLOOKUP(AM7,'Monthly Line Picks'!$A$1:$D$2101,4,FALSE),"0")</f>
        <v>0</v>
      </c>
      <c r="AN9" s="63" t="str">
        <f>IFERROR(VLOOKUP(AN7,'Monthly Line Picks'!$A$1:$D$2101,4,FALSE),"0")</f>
        <v>0</v>
      </c>
      <c r="AO9" s="56" t="str">
        <f>IFERROR(VLOOKUP(AO7,'Monthly Line Picks'!$A$1:$D$2101,4,FALSE),"0")</f>
        <v>0</v>
      </c>
      <c r="AP9" s="47" t="str">
        <f>IFERROR(VLOOKUP(AP7,'Monthly Line Picks'!$A$1:$D$2101,4,FALSE),"0")</f>
        <v>0</v>
      </c>
      <c r="AQ9" s="47" t="str">
        <f>IFERROR(VLOOKUP(AQ7,'Monthly Line Picks'!$A$1:$D$2101,4,FALSE),"0")</f>
        <v>0</v>
      </c>
      <c r="AR9" s="47" t="str">
        <f>IFERROR(VLOOKUP(AR7,'Monthly Line Picks'!$A$1:$D$2101,4,FALSE),"0")</f>
        <v>0</v>
      </c>
      <c r="AS9" s="47" t="str">
        <f>IFERROR(VLOOKUP(AS7,'Monthly Line Picks'!$A$1:$D$2101,4,FALSE),"0")</f>
        <v>0</v>
      </c>
      <c r="AT9" s="57" t="str">
        <f>IFERROR(VLOOKUP(AT7,'Monthly Line Picks'!$A$1:$D$2101,4,FALSE),"0")</f>
        <v>0</v>
      </c>
      <c r="AU9" s="56">
        <f>IFERROR(VLOOKUP(AU7,'Monthly Line Picks'!$A$1:$D$2101,4,FALSE),"0")</f>
        <v>3</v>
      </c>
      <c r="AV9" s="47">
        <f>IFERROR(VLOOKUP(AV7,'Monthly Line Picks'!$A$1:$D$2101,4,FALSE),"0")</f>
        <v>6</v>
      </c>
      <c r="AW9" s="47">
        <f>IFERROR(VLOOKUP(AW7,'Monthly Line Picks'!$A$1:$D$2101,4,FALSE),"0")</f>
        <v>1</v>
      </c>
      <c r="AX9" s="47">
        <f>IFERROR(VLOOKUP(AX7,'Monthly Line Picks'!$A$1:$D$2101,4,FALSE),"0")</f>
        <v>300</v>
      </c>
      <c r="AY9" s="47" t="str">
        <f>IFERROR(VLOOKUP(AY7,'Monthly Line Picks'!$A$1:$D$2101,4,FALSE),"0")</f>
        <v>0</v>
      </c>
      <c r="AZ9" s="57">
        <f>IFERROR(VLOOKUP(AZ7,'Monthly Line Picks'!$A$1:$D$2101,4,FALSE),"0")</f>
        <v>23</v>
      </c>
      <c r="BA9" s="15" t="s">
        <v>208</v>
      </c>
      <c r="BB9" s="37">
        <f>IFERROR(VLOOKUP(BA9,'Module Items'!$A$1:$B$2587,2,FALSE),"")</f>
        <v>84734</v>
      </c>
      <c r="BC9" s="44">
        <f>IFERROR(VLOOKUP(BA9,'Monthly Line Picks'!$A$1:$D$2000,4,FALSE),"0")</f>
        <v>6</v>
      </c>
      <c r="BD9" s="47" t="s">
        <v>209</v>
      </c>
      <c r="BE9" s="37">
        <f>IFERROR(VLOOKUP(BD9,'Module Items'!$A$1:$B$2587,2,FALSE),"")</f>
        <v>94823</v>
      </c>
      <c r="BF9" s="44">
        <f>IFERROR(VLOOKUP(BD9,'Monthly Line Picks'!$A$1:$D$2000,4,FALSE),"0")</f>
        <v>13</v>
      </c>
      <c r="BG9" s="47" t="s">
        <v>210</v>
      </c>
      <c r="BH9" s="37">
        <f>IFERROR(VLOOKUP(BG9,'Module Items'!$A$1:$B$2587,2,FALSE),"")</f>
        <v>129515</v>
      </c>
      <c r="BI9" s="44">
        <f>IFERROR(VLOOKUP(BG9,'Monthly Line Picks'!$A$1:$D$2000,4,FALSE),"0")</f>
        <v>18</v>
      </c>
      <c r="BJ9" s="47" t="s">
        <v>211</v>
      </c>
      <c r="BK9" s="37">
        <f>IFERROR(VLOOKUP(BJ9,'Module Items'!$A$1:$B$2587,2,FALSE),"")</f>
        <v>160375</v>
      </c>
      <c r="BL9" s="44">
        <f>IFERROR(VLOOKUP(BJ9,'Monthly Line Picks'!$A$1:$D$2000,4,FALSE),"0")</f>
        <v>15</v>
      </c>
      <c r="BM9" s="47" t="s">
        <v>212</v>
      </c>
      <c r="BN9" s="37">
        <f>IFERROR(VLOOKUP(BM9,'Module Items'!$A$1:$B$2587,2,FALSE),"")</f>
        <v>100024</v>
      </c>
      <c r="BO9" s="44">
        <f>IFERROR(VLOOKUP(BM9,'Monthly Line Picks'!$A$1:$D$2000,4,FALSE),"0")</f>
        <v>1</v>
      </c>
      <c r="BP9" s="57" t="s">
        <v>213</v>
      </c>
      <c r="BQ9" s="37">
        <f>IFERROR(VLOOKUP(BP9,'Module Items'!$A$1:$B$2587,2,FALSE),"")</f>
        <v>71469</v>
      </c>
      <c r="BR9" s="44" t="str">
        <f>IFERROR(VLOOKUP(BP9,'Monthly Line Picks'!$A$1:$D$2000,4,FALSE),"0")</f>
        <v>0</v>
      </c>
      <c r="BS9" s="222"/>
      <c r="BT9" s="222"/>
      <c r="BU9" s="223"/>
      <c r="BV9" s="233"/>
      <c r="BW9" s="234"/>
      <c r="BX9" s="235"/>
      <c r="BY9" s="46">
        <f>IFERROR(VLOOKUP(BY7,'Monthly Line Picks'!$A$1:$D$1458,4,FALSE),"0")</f>
        <v>8</v>
      </c>
      <c r="BZ9" s="46">
        <f>IFERROR(VLOOKUP(BZ7,'Monthly Line Picks'!$A$1:$D$1458,4,FALSE),"0")</f>
        <v>14</v>
      </c>
      <c r="CA9" s="46">
        <f>IFERROR(VLOOKUP(CA7,'Monthly Line Picks'!$A$1:$D$1458,4,FALSE),"0")</f>
        <v>28</v>
      </c>
      <c r="CB9" s="46">
        <f>IFERROR(VLOOKUP(CB7,'Monthly Line Picks'!$A$1:$D$1458,4,FALSE),"0")</f>
        <v>54</v>
      </c>
      <c r="CC9" s="46">
        <f>IFERROR(VLOOKUP(CC7,'Monthly Line Picks'!$A$1:$D$1458,4,FALSE),"0")</f>
        <v>10</v>
      </c>
      <c r="CD9" s="46">
        <f>IFERROR(VLOOKUP(CD7,'Monthly Line Picks'!$A$1:$D$1458,4,FALSE),"0")</f>
        <v>45</v>
      </c>
      <c r="CE9" s="46" t="str">
        <f>IFERROR(VLOOKUP(CE7,'Monthly Line Picks'!$A$1:$D$1458,4,FALSE),"0")</f>
        <v>0</v>
      </c>
      <c r="CF9" s="46">
        <f>IFERROR(VLOOKUP(CF7,'Monthly Line Picks'!$A$1:$D$1458,4,FALSE),"0")</f>
        <v>19</v>
      </c>
      <c r="CG9" s="46">
        <f>IFERROR(VLOOKUP(CG7,'Monthly Line Picks'!$A$1:$D$1458,4,FALSE),"0")</f>
        <v>31</v>
      </c>
      <c r="CH9" s="46">
        <f>IFERROR(VLOOKUP(CH7,'Monthly Line Picks'!$A$1:$D$1458,4,FALSE),"0")</f>
        <v>9</v>
      </c>
      <c r="CI9" s="46">
        <f>IFERROR(VLOOKUP(CI7,'Monthly Line Picks'!$A$1:$D$1458,4,FALSE),"0")</f>
        <v>42</v>
      </c>
      <c r="CJ9" s="46">
        <f>IFERROR(VLOOKUP(CJ7,'Monthly Line Picks'!$A$1:$D$1458,4,FALSE),"0")</f>
        <v>12</v>
      </c>
      <c r="CK9" s="46" t="str">
        <f>IFERROR(VLOOKUP(CK7,'Monthly Line Picks'!$A$1:$D$1458,4,FALSE),"0")</f>
        <v>0</v>
      </c>
      <c r="CL9" s="46">
        <f>IFERROR(VLOOKUP(CL7,'Monthly Line Picks'!$A$1:$D$1458,4,FALSE),"0")</f>
        <v>26</v>
      </c>
      <c r="CM9" s="46">
        <f>IFERROR(VLOOKUP(CM7,'Monthly Line Picks'!$A$1:$D$1458,4,FALSE),"0")</f>
        <v>21</v>
      </c>
      <c r="CN9" s="46" t="str">
        <f>IFERROR(VLOOKUP(CN7,'Monthly Line Picks'!$A$1:$D$1458,4,FALSE),"0")</f>
        <v>0</v>
      </c>
      <c r="CO9" s="46">
        <f>IFERROR(VLOOKUP(CO7,'Monthly Line Picks'!$A$1:$D$1458,4,FALSE),"0")</f>
        <v>22</v>
      </c>
      <c r="CP9" s="46" t="str">
        <f>IFERROR(VLOOKUP(CP7,'Monthly Line Picks'!$A$1:$D$1458,4,FALSE),"0")</f>
        <v>0</v>
      </c>
      <c r="CQ9" s="46">
        <f>IFERROR(VLOOKUP(CQ7,'Monthly Line Picks'!$A$1:$D$1458,4,FALSE),"0")</f>
        <v>3</v>
      </c>
      <c r="CR9" s="46">
        <f>IFERROR(VLOOKUP(CR7,'Monthly Line Picks'!$A$1:$D$1458,4,FALSE),"0")</f>
        <v>83</v>
      </c>
      <c r="CS9" s="46" t="str">
        <f>IFERROR(VLOOKUP(CS7,'Monthly Line Picks'!$A$1:$D$1458,4,FALSE),"0")</f>
        <v>0</v>
      </c>
      <c r="CT9" s="46">
        <f>IFERROR(VLOOKUP(CT7,'Monthly Line Picks'!$A$1:$D$1458,4,FALSE),"0")</f>
        <v>153</v>
      </c>
      <c r="CU9" s="46">
        <f>IFERROR(VLOOKUP(CU7,'Monthly Line Picks'!$A$1:$D$1458,4,FALSE),"0")</f>
        <v>12</v>
      </c>
      <c r="CV9" s="46">
        <f>IFERROR(VLOOKUP(CV7,'Monthly Line Picks'!$A$1:$D$1458,4,FALSE),"0")</f>
        <v>29</v>
      </c>
      <c r="CW9" s="46">
        <f>IFERROR(VLOOKUP(CW7,'Monthly Line Picks'!$A$1:$D$1458,4,FALSE),"0")</f>
        <v>12</v>
      </c>
      <c r="CX9" s="46" t="str">
        <f>IFERROR(VLOOKUP(CX7,'Monthly Line Picks'!$A$1:$D$1458,4,FALSE),"0")</f>
        <v>0</v>
      </c>
      <c r="CY9" s="46" t="str">
        <f>IFERROR(VLOOKUP(CY7,'Monthly Line Picks'!$A$1:$D$1458,4,FALSE),"0")</f>
        <v>0</v>
      </c>
      <c r="CZ9" s="46" t="str">
        <f>IFERROR(VLOOKUP(CZ7,'Monthly Line Picks'!$A$1:$D$1458,4,FALSE),"0")</f>
        <v>0</v>
      </c>
      <c r="DA9" s="46" t="str">
        <f>IFERROR(VLOOKUP(DA7,'Monthly Line Picks'!$A$1:$D$1458,4,FALSE),"0")</f>
        <v>0</v>
      </c>
      <c r="DB9" s="101">
        <f>IFERROR(VLOOKUP(DB7,'Monthly Line Picks'!$A$1:$D$1458,4,FALSE),"0")</f>
        <v>255</v>
      </c>
      <c r="DC9" s="47" t="s">
        <v>214</v>
      </c>
      <c r="DD9" s="37">
        <f>IFERROR(VLOOKUP(DC9,'Module Items'!$A$1:$B$2587,2,FALSE),"")</f>
        <v>100134</v>
      </c>
      <c r="DE9" s="44">
        <f>IFERROR(VLOOKUP(DC9,'Monthly Line Picks'!$A$1:$D$2000,4,FALSE),"0")</f>
        <v>1</v>
      </c>
      <c r="DF9" s="47" t="s">
        <v>215</v>
      </c>
      <c r="DG9" s="37">
        <f>IFERROR(VLOOKUP(DF9,'Module Items'!$A$1:$B$2587,2,FALSE),"")</f>
        <v>116911</v>
      </c>
      <c r="DH9" s="44">
        <f>IFERROR(VLOOKUP(DF9,'Monthly Line Picks'!$A$1:$D$2000,4,FALSE),"0")</f>
        <v>20</v>
      </c>
      <c r="DI9" s="47" t="s">
        <v>216</v>
      </c>
      <c r="DJ9" s="37">
        <f>IFERROR(VLOOKUP(DI9,'Module Items'!$A$1:$B$2587,2,FALSE),"")</f>
        <v>59632</v>
      </c>
      <c r="DK9" s="44">
        <f>IFERROR(VLOOKUP(DI9,'Monthly Line Picks'!$A$1:$D$2000,4,FALSE),"0")</f>
        <v>19</v>
      </c>
      <c r="DL9" s="47" t="s">
        <v>217</v>
      </c>
      <c r="DM9" s="37">
        <f>IFERROR(VLOOKUP(DL9,'Module Items'!$A$1:$B$2587,2,FALSE),"")</f>
        <v>61323</v>
      </c>
      <c r="DN9" s="44" t="str">
        <f>IFERROR(VLOOKUP(DL9,'Monthly Line Picks'!$A$1:$D$2000,4,FALSE),"0")</f>
        <v>0</v>
      </c>
      <c r="DO9" s="102" t="s">
        <v>218</v>
      </c>
      <c r="DP9" s="37">
        <f>IFERROR(VLOOKUP(DO9,'Module Items'!$A$1:$B$2587,2,FALSE),"")</f>
        <v>18598</v>
      </c>
      <c r="DQ9" s="44">
        <f>IFERROR(VLOOKUP(DO9,'Monthly Line Picks'!$A$1:$D$2000,4,FALSE),"0")</f>
        <v>2</v>
      </c>
      <c r="DR9" s="47" t="s">
        <v>219</v>
      </c>
      <c r="DS9" s="37">
        <f>IFERROR(VLOOKUP(DR9,'Module Items'!$A$1:$B$2587,2,FALSE),"")</f>
        <v>65803</v>
      </c>
      <c r="DT9" s="44">
        <f>IFERROR(VLOOKUP(DR9,'Monthly Line Picks'!$A$1:$D$2000,4,FALSE),"0")</f>
        <v>10</v>
      </c>
    </row>
    <row r="10" spans="3:128" ht="15.95" thickBot="1">
      <c r="C10" s="205"/>
      <c r="D10" s="206"/>
      <c r="E10" s="206"/>
      <c r="F10" s="210"/>
      <c r="G10" s="205"/>
      <c r="H10" s="206"/>
      <c r="I10" s="206"/>
      <c r="J10" s="206"/>
      <c r="K10" s="37" t="s">
        <v>220</v>
      </c>
      <c r="L10" s="13" t="s">
        <v>221</v>
      </c>
      <c r="M10" s="13" t="s">
        <v>222</v>
      </c>
      <c r="N10" s="13" t="s">
        <v>223</v>
      </c>
      <c r="O10" s="13" t="s">
        <v>224</v>
      </c>
      <c r="P10" s="108" t="s">
        <v>225</v>
      </c>
      <c r="Q10" s="37" t="s">
        <v>226</v>
      </c>
      <c r="R10" s="13" t="s">
        <v>227</v>
      </c>
      <c r="S10" s="13" t="s">
        <v>228</v>
      </c>
      <c r="T10" s="13" t="s">
        <v>229</v>
      </c>
      <c r="U10" s="228"/>
      <c r="V10" s="108" t="s">
        <v>230</v>
      </c>
      <c r="W10" s="37" t="s">
        <v>231</v>
      </c>
      <c r="X10" s="13" t="s">
        <v>232</v>
      </c>
      <c r="Y10" s="13" t="s">
        <v>233</v>
      </c>
      <c r="Z10" s="13" t="s">
        <v>234</v>
      </c>
      <c r="AA10" s="13" t="s">
        <v>235</v>
      </c>
      <c r="AB10" s="108" t="s">
        <v>236</v>
      </c>
      <c r="AC10" s="37" t="s">
        <v>237</v>
      </c>
      <c r="AD10" s="13" t="s">
        <v>238</v>
      </c>
      <c r="AE10" s="13" t="s">
        <v>239</v>
      </c>
      <c r="AF10" s="13" t="s">
        <v>240</v>
      </c>
      <c r="AG10" s="13" t="s">
        <v>241</v>
      </c>
      <c r="AH10" s="108" t="s">
        <v>242</v>
      </c>
      <c r="AI10" s="37" t="s">
        <v>243</v>
      </c>
      <c r="AJ10" s="13" t="s">
        <v>244</v>
      </c>
      <c r="AK10" s="13" t="s">
        <v>245</v>
      </c>
      <c r="AL10" s="13" t="s">
        <v>246</v>
      </c>
      <c r="AM10" s="13" t="s">
        <v>247</v>
      </c>
      <c r="AN10" s="11" t="s">
        <v>248</v>
      </c>
      <c r="AO10" s="37" t="s">
        <v>249</v>
      </c>
      <c r="AP10" s="13" t="s">
        <v>250</v>
      </c>
      <c r="AQ10" s="13" t="s">
        <v>251</v>
      </c>
      <c r="AR10" s="13" t="s">
        <v>252</v>
      </c>
      <c r="AS10" s="13" t="s">
        <v>253</v>
      </c>
      <c r="AT10" s="108" t="s">
        <v>254</v>
      </c>
      <c r="AU10" s="37" t="s">
        <v>255</v>
      </c>
      <c r="AV10" s="13" t="s">
        <v>256</v>
      </c>
      <c r="AW10" s="13" t="s">
        <v>257</v>
      </c>
      <c r="AX10" s="13" t="s">
        <v>258</v>
      </c>
      <c r="AY10" s="13" t="s">
        <v>259</v>
      </c>
      <c r="AZ10" s="108" t="s">
        <v>260</v>
      </c>
      <c r="BA10" s="15" t="s">
        <v>261</v>
      </c>
      <c r="BB10" s="37">
        <f>IFERROR(VLOOKUP(BA10,'Module Items'!$A$1:$B$2587,2,FALSE),"")</f>
        <v>903</v>
      </c>
      <c r="BC10" s="44">
        <f>IFERROR(VLOOKUP(BA10,'Monthly Line Picks'!$A$1:$D$2000,4,FALSE),"0")</f>
        <v>8</v>
      </c>
      <c r="BD10" s="47" t="s">
        <v>262</v>
      </c>
      <c r="BE10" s="37">
        <f>IFERROR(VLOOKUP(BD10,'Module Items'!$A$1:$B$2587,2,FALSE),"")</f>
        <v>1470</v>
      </c>
      <c r="BF10" s="44" t="str">
        <f>IFERROR(VLOOKUP(BD10,'Monthly Line Picks'!$A$1:$D$2000,4,FALSE),"0")</f>
        <v>0</v>
      </c>
      <c r="BG10" s="47" t="s">
        <v>263</v>
      </c>
      <c r="BH10" s="37">
        <f>IFERROR(VLOOKUP(BG10,'Module Items'!$A$1:$B$2587,2,FALSE),"")</f>
        <v>61324</v>
      </c>
      <c r="BI10" s="44" t="str">
        <f>IFERROR(VLOOKUP(BG10,'Monthly Line Picks'!$A$1:$D$2000,4,FALSE),"0")</f>
        <v>0</v>
      </c>
      <c r="BJ10" s="47" t="s">
        <v>264</v>
      </c>
      <c r="BK10" s="37">
        <f>IFERROR(VLOOKUP(BJ10,'Module Items'!$A$1:$B$2587,2,FALSE),"")</f>
        <v>142571</v>
      </c>
      <c r="BL10" s="44" t="str">
        <f>IFERROR(VLOOKUP(BJ10,'Monthly Line Picks'!$A$1:$D$2000,4,FALSE),"0")</f>
        <v>0</v>
      </c>
      <c r="BM10" s="47" t="s">
        <v>265</v>
      </c>
      <c r="BN10" s="37">
        <f>IFERROR(VLOOKUP(BM10,'Module Items'!$A$1:$B$2587,2,FALSE),"")</f>
        <v>74609</v>
      </c>
      <c r="BO10" s="44">
        <f>IFERROR(VLOOKUP(BM10,'Monthly Line Picks'!$A$1:$D$2000,4,FALSE),"0")</f>
        <v>2</v>
      </c>
      <c r="BP10" s="57" t="s">
        <v>266</v>
      </c>
      <c r="BQ10" s="37">
        <f>IFERROR(VLOOKUP(BP10,'Module Items'!$A$1:$B$2587,2,FALSE),"")</f>
        <v>82792</v>
      </c>
      <c r="BR10" s="44">
        <f>IFERROR(VLOOKUP(BP10,'Monthly Line Picks'!$A$1:$D$2000,4,FALSE),"0")</f>
        <v>3</v>
      </c>
      <c r="BS10" s="222"/>
      <c r="BT10" s="222"/>
      <c r="BU10" s="223"/>
      <c r="BV10" s="233"/>
      <c r="BW10" s="234"/>
      <c r="BX10" s="235"/>
      <c r="BY10" s="6" t="s">
        <v>267</v>
      </c>
      <c r="BZ10" s="9" t="s">
        <v>268</v>
      </c>
      <c r="CA10" s="9" t="s">
        <v>269</v>
      </c>
      <c r="CB10" s="7" t="s">
        <v>270</v>
      </c>
      <c r="CC10" s="7" t="s">
        <v>271</v>
      </c>
      <c r="CD10" s="8" t="s">
        <v>272</v>
      </c>
      <c r="CE10" s="6" t="s">
        <v>273</v>
      </c>
      <c r="CF10" s="9" t="s">
        <v>274</v>
      </c>
      <c r="CG10" s="9" t="s">
        <v>275</v>
      </c>
      <c r="CH10" s="7" t="s">
        <v>276</v>
      </c>
      <c r="CI10" s="7" t="s">
        <v>277</v>
      </c>
      <c r="CJ10" s="14" t="s">
        <v>278</v>
      </c>
      <c r="CK10" s="39" t="s">
        <v>279</v>
      </c>
      <c r="CL10" s="9" t="s">
        <v>280</v>
      </c>
      <c r="CM10" s="9" t="s">
        <v>281</v>
      </c>
      <c r="CN10" s="7" t="s">
        <v>282</v>
      </c>
      <c r="CO10" s="7" t="s">
        <v>283</v>
      </c>
      <c r="CP10" s="28" t="s">
        <v>284</v>
      </c>
      <c r="CQ10" s="9" t="s">
        <v>285</v>
      </c>
      <c r="CR10" s="9" t="s">
        <v>286</v>
      </c>
      <c r="CS10" s="9" t="s">
        <v>287</v>
      </c>
      <c r="CT10" s="7" t="s">
        <v>288</v>
      </c>
      <c r="CU10" s="7" t="s">
        <v>289</v>
      </c>
      <c r="CV10" s="8" t="s">
        <v>290</v>
      </c>
      <c r="CW10" s="6" t="s">
        <v>291</v>
      </c>
      <c r="CX10" s="9" t="s">
        <v>292</v>
      </c>
      <c r="CY10" s="9" t="s">
        <v>293</v>
      </c>
      <c r="CZ10" s="7" t="s">
        <v>294</v>
      </c>
      <c r="DA10" s="7" t="s">
        <v>295</v>
      </c>
      <c r="DB10" s="14" t="s">
        <v>296</v>
      </c>
      <c r="DC10" s="47" t="s">
        <v>297</v>
      </c>
      <c r="DD10" s="37">
        <f>IFERROR(VLOOKUP(DC10,'Module Items'!$A$1:$B$2587,2,FALSE),"")</f>
        <v>65257</v>
      </c>
      <c r="DE10" s="44">
        <f>IFERROR(VLOOKUP(DC10,'Monthly Line Picks'!$A$1:$D$2000,4,FALSE),"0")</f>
        <v>7</v>
      </c>
      <c r="DF10" s="47" t="s">
        <v>298</v>
      </c>
      <c r="DG10" s="37">
        <f>IFERROR(VLOOKUP(DF10,'Module Items'!$A$1:$B$2587,2,FALSE),"")</f>
        <v>63153</v>
      </c>
      <c r="DH10" s="44">
        <f>IFERROR(VLOOKUP(DF10,'Monthly Line Picks'!$A$1:$D$2000,4,FALSE),"0")</f>
        <v>23</v>
      </c>
      <c r="DI10" s="47" t="s">
        <v>299</v>
      </c>
      <c r="DJ10" s="37" t="str">
        <f>IFERROR(VLOOKUP(DI10,'Module Items'!$A$1:$B$2587,2,FALSE),"")</f>
        <v/>
      </c>
      <c r="DK10" s="44" t="str">
        <f>IFERROR(VLOOKUP(DI10,'Monthly Line Picks'!$A$1:$D$2000,4,FALSE),"0")</f>
        <v>0</v>
      </c>
      <c r="DL10" s="47" t="s">
        <v>300</v>
      </c>
      <c r="DM10" s="37">
        <f>IFERROR(VLOOKUP(DL10,'Module Items'!$A$1:$B$2587,2,FALSE),"")</f>
        <v>157703</v>
      </c>
      <c r="DN10" s="44">
        <f>IFERROR(VLOOKUP(DL10,'Monthly Line Picks'!$A$1:$D$2000,4,FALSE),"0")</f>
        <v>2</v>
      </c>
      <c r="DO10" s="63" t="s">
        <v>301</v>
      </c>
      <c r="DP10" s="37">
        <f>IFERROR(VLOOKUP(DO10,'Module Items'!$A$1:$B$2587,2,FALSE),"")</f>
        <v>127265</v>
      </c>
      <c r="DQ10" s="44">
        <f>IFERROR(VLOOKUP(DO10,'Monthly Line Picks'!$A$1:$D$2000,4,FALSE),"0")</f>
        <v>52</v>
      </c>
      <c r="DR10" s="47" t="s">
        <v>302</v>
      </c>
      <c r="DS10" s="37">
        <f>IFERROR(VLOOKUP(DR10,'Module Items'!$A$1:$B$2587,2,FALSE),"")</f>
        <v>11552</v>
      </c>
      <c r="DT10" s="44">
        <f>IFERROR(VLOOKUP(DR10,'Monthly Line Picks'!$A$1:$D$2000,4,FALSE),"0")</f>
        <v>8</v>
      </c>
    </row>
    <row r="11" spans="3:128" ht="15.95" thickBot="1">
      <c r="C11" s="205"/>
      <c r="D11" s="206"/>
      <c r="E11" s="206"/>
      <c r="F11" s="210"/>
      <c r="G11" s="205"/>
      <c r="H11" s="206"/>
      <c r="I11" s="206"/>
      <c r="J11" s="206"/>
      <c r="K11" s="56">
        <f>IFERROR(VLOOKUP(K10,'Module Items'!$A$1:$B$2587,2,FALSE),"")</f>
        <v>95995</v>
      </c>
      <c r="L11" s="47">
        <f>IFERROR(VLOOKUP(L10,'Module Items'!$A$1:$B$2587,2,FALSE),"")</f>
        <v>1966</v>
      </c>
      <c r="M11" s="47">
        <f>IFERROR(VLOOKUP(M10,'Module Items'!$A$1:$B$2587,2,FALSE),"")</f>
        <v>116845</v>
      </c>
      <c r="N11" s="47">
        <f>IFERROR(VLOOKUP(N10,'Module Items'!$A$1:$B$2587,2,FALSE),"")</f>
        <v>88216</v>
      </c>
      <c r="O11" s="47">
        <f>IFERROR(VLOOKUP(O10,'Module Items'!$A$1:$B$2587,2,FALSE),"")</f>
        <v>119975</v>
      </c>
      <c r="P11" s="57">
        <f>IFERROR(VLOOKUP(P10,'Module Items'!$A$1:$B$2587,2,FALSE),"")</f>
        <v>84582</v>
      </c>
      <c r="Q11" s="56">
        <f>IFERROR(VLOOKUP(Q10,'Module Items'!$A$1:$B$2587,2,FALSE),"")</f>
        <v>138946</v>
      </c>
      <c r="R11" s="47">
        <f>IFERROR(VLOOKUP(R10,'Module Items'!$A$1:$B$2587,2,FALSE),"")</f>
        <v>139050</v>
      </c>
      <c r="S11" s="47">
        <f>IFERROR(VLOOKUP(S10,'Module Items'!$A$1:$B$2587,2,FALSE),"")</f>
        <v>139736</v>
      </c>
      <c r="T11" s="47">
        <f>IFERROR(VLOOKUP(T10,'Module Items'!$A$1:$B$2587,2,FALSE),"")</f>
        <v>126103</v>
      </c>
      <c r="U11" s="228"/>
      <c r="V11" s="57">
        <f>IFERROR(VLOOKUP(V10,'Module Items'!$A$1:$B$2587,2,FALSE),"")</f>
        <v>116906</v>
      </c>
      <c r="W11" s="56" t="str">
        <f>IFERROR(VLOOKUP(W10,'Module Items'!$A$1:$B$2587,2,FALSE),"")</f>
        <v/>
      </c>
      <c r="X11" s="47">
        <f>IFERROR(VLOOKUP(X10,'Module Items'!$A$1:$B$2587,2,FALSE),"")</f>
        <v>97706</v>
      </c>
      <c r="Y11" s="47">
        <f>IFERROR(VLOOKUP(Y10,'Module Items'!$A$1:$B$2587,2,FALSE),"")</f>
        <v>1030</v>
      </c>
      <c r="Z11" s="47">
        <f>IFERROR(VLOOKUP(Z10,'Module Items'!$A$1:$B$2587,2,FALSE),"")</f>
        <v>118443</v>
      </c>
      <c r="AA11" s="47">
        <f>IFERROR(VLOOKUP(AA10,'Module Items'!$A$1:$B$2587,2,FALSE),"")</f>
        <v>1461</v>
      </c>
      <c r="AB11" s="57">
        <f>IFERROR(VLOOKUP(AB10,'Module Items'!$A$1:$B$2587,2,FALSE),"")</f>
        <v>124940</v>
      </c>
      <c r="AC11" s="56">
        <f>IFERROR(VLOOKUP(AC10,'Module Items'!$A$1:$B$2587,2,FALSE),"")</f>
        <v>68068</v>
      </c>
      <c r="AD11" s="47">
        <f>IFERROR(VLOOKUP(AD10,'Module Items'!$A$1:$B$2587,2,FALSE),"")</f>
        <v>74434</v>
      </c>
      <c r="AE11" s="47">
        <f>IFERROR(VLOOKUP(AE10,'Module Items'!$A$1:$B$2587,2,FALSE),"")</f>
        <v>178357</v>
      </c>
      <c r="AF11" s="47">
        <f>IFERROR(VLOOKUP(AF10,'Module Items'!$A$1:$B$2587,2,FALSE),"")</f>
        <v>131598</v>
      </c>
      <c r="AG11" s="47">
        <f>IFERROR(VLOOKUP(AG10,'Module Items'!$A$1:$B$2587,2,FALSE),"")</f>
        <v>79183</v>
      </c>
      <c r="AH11" s="57">
        <f>IFERROR(VLOOKUP(AH10,'Module Items'!$A$1:$B$2587,2,FALSE),"")</f>
        <v>126105</v>
      </c>
      <c r="AI11" s="56">
        <f>IFERROR(VLOOKUP(AI10,'Module Items'!$A$1:$B$2587,2,FALSE),"")</f>
        <v>2490</v>
      </c>
      <c r="AJ11" s="47">
        <f>IFERROR(VLOOKUP(AJ10,'Module Items'!$A$1:$B$2587,2,FALSE),"")</f>
        <v>4643</v>
      </c>
      <c r="AK11" s="47">
        <f>IFERROR(VLOOKUP(AK10,'Module Items'!$A$1:$B$2587,2,FALSE),"")</f>
        <v>6061</v>
      </c>
      <c r="AL11" s="47" t="str">
        <f>IFERROR(VLOOKUP(AL10,'Module Items'!$A$1:$B$2587,2,FALSE),"")</f>
        <v/>
      </c>
      <c r="AM11" s="47" t="str">
        <f>IFERROR(VLOOKUP(AM10,'Module Items'!$A$1:$B$2587,2,FALSE),"")</f>
        <v/>
      </c>
      <c r="AN11" s="63">
        <f>IFERROR(VLOOKUP(AN10,'Module Items'!$A$1:$B$2587,2,FALSE),"")</f>
        <v>209353</v>
      </c>
      <c r="AO11" s="56">
        <f>IFERROR(VLOOKUP(AO10,'Module Items'!$A$1:$B$2587,2,FALSE),"")</f>
        <v>60924</v>
      </c>
      <c r="AP11" s="47">
        <f>IFERROR(VLOOKUP(AP10,'Module Items'!$A$1:$B$2587,2,FALSE),"")</f>
        <v>175924</v>
      </c>
      <c r="AQ11" s="47">
        <f>IFERROR(VLOOKUP(AQ10,'Module Items'!$A$1:$B$2587,2,FALSE),"")</f>
        <v>177434</v>
      </c>
      <c r="AR11" s="47">
        <f>IFERROR(VLOOKUP(AR10,'Module Items'!$A$1:$B$2587,2,FALSE),"")</f>
        <v>138956</v>
      </c>
      <c r="AS11" s="47" t="str">
        <f>IFERROR(VLOOKUP(AS10,'Module Items'!$A$1:$B$2587,2,FALSE),"")</f>
        <v/>
      </c>
      <c r="AT11" s="57">
        <f>IFERROR(VLOOKUP(AT10,'Module Items'!$A$1:$B$2587,2,FALSE),"")</f>
        <v>157034</v>
      </c>
      <c r="AU11" s="56">
        <f>IFERROR(VLOOKUP(AU10,'Module Items'!$A$1:$B$2587,2,FALSE),"")</f>
        <v>111857</v>
      </c>
      <c r="AV11" s="47">
        <f>IFERROR(VLOOKUP(AV10,'Module Items'!$A$1:$B$2587,2,FALSE),"")</f>
        <v>111856</v>
      </c>
      <c r="AW11" s="47">
        <f>IFERROR(VLOOKUP(AW10,'Module Items'!$A$1:$B$2587,2,FALSE),"")</f>
        <v>112545</v>
      </c>
      <c r="AX11" s="47">
        <f>IFERROR(VLOOKUP(AX10,'Module Items'!$A$1:$B$2587,2,FALSE),"")</f>
        <v>3009</v>
      </c>
      <c r="AY11" s="47">
        <f>IFERROR(VLOOKUP(AY10,'Module Items'!$A$1:$B$2587,2,FALSE),"")</f>
        <v>139612</v>
      </c>
      <c r="AZ11" s="57">
        <f>IFERROR(VLOOKUP(AZ10,'Module Items'!$A$1:$B$2587,2,FALSE),"")</f>
        <v>102965</v>
      </c>
      <c r="BA11" s="15" t="s">
        <v>303</v>
      </c>
      <c r="BB11" s="37">
        <f>IFERROR(VLOOKUP(BA11,'Module Items'!$A$1:$B$2587,2,FALSE),"")</f>
        <v>101391</v>
      </c>
      <c r="BC11" s="44">
        <f>IFERROR(VLOOKUP(BA11,'Monthly Line Picks'!$A$1:$D$2000,4,FALSE),"0")</f>
        <v>13</v>
      </c>
      <c r="BD11" s="47" t="s">
        <v>304</v>
      </c>
      <c r="BE11" s="37">
        <f>IFERROR(VLOOKUP(BD11,'Module Items'!$A$1:$B$2587,2,FALSE),"")</f>
        <v>173039</v>
      </c>
      <c r="BF11" s="44">
        <f>IFERROR(VLOOKUP(BD11,'Monthly Line Picks'!$A$1:$D$2000,4,FALSE),"0")</f>
        <v>49</v>
      </c>
      <c r="BG11" s="187" t="s">
        <v>305</v>
      </c>
      <c r="BH11" s="187"/>
      <c r="BI11" s="187"/>
      <c r="BJ11" s="187"/>
      <c r="BK11" s="53" t="str">
        <f>IFERROR(VLOOKUP(BJ11,'Module Items'!$A$1:$B$2587,2,FALSE),"")</f>
        <v/>
      </c>
      <c r="BL11" s="53" t="str">
        <f>IFERROR(VLOOKUP(BJ11,'Monthly Line Picks'!$A$1:$D$2101,4,FALSE),"")</f>
        <v/>
      </c>
      <c r="BM11" s="47" t="s">
        <v>306</v>
      </c>
      <c r="BN11" s="37">
        <f>IFERROR(VLOOKUP(BM11,'Module Items'!$A$1:$B$2587,2,FALSE),"")</f>
        <v>83463</v>
      </c>
      <c r="BO11" s="44">
        <f>IFERROR(VLOOKUP(BM11,'Monthly Line Picks'!$A$1:$D$2000,4,FALSE),"0")</f>
        <v>3</v>
      </c>
      <c r="BP11" s="57" t="s">
        <v>307</v>
      </c>
      <c r="BQ11" s="37">
        <f>IFERROR(VLOOKUP(BP11,'Module Items'!$A$1:$B$2587,2,FALSE),"")</f>
        <v>2236</v>
      </c>
      <c r="BR11" s="44" t="str">
        <f>IFERROR(VLOOKUP(BP11,'Monthly Line Picks'!$A$1:$D$2000,4,FALSE),"0")</f>
        <v>0</v>
      </c>
      <c r="BS11" s="222"/>
      <c r="BT11" s="222"/>
      <c r="BU11" s="223"/>
      <c r="BV11" s="233"/>
      <c r="BW11" s="234"/>
      <c r="BX11" s="235"/>
      <c r="BY11" s="46">
        <f>IFERROR(VLOOKUP(BY10,'Module Items'!$A$1:$B$2587,2,FALSE),"")</f>
        <v>86760</v>
      </c>
      <c r="BZ11" s="46">
        <f>IFERROR(VLOOKUP(BZ10,'Module Items'!$A$1:$B$2587,2,FALSE),"")</f>
        <v>114048</v>
      </c>
      <c r="CA11" s="46">
        <f>IFERROR(VLOOKUP(CA10,'Module Items'!$A$1:$B$2587,2,FALSE),"")</f>
        <v>159056</v>
      </c>
      <c r="CB11" s="46">
        <f>IFERROR(VLOOKUP(CB10,'Module Items'!$A$1:$B$2587,2,FALSE),"")</f>
        <v>118835</v>
      </c>
      <c r="CC11" s="46">
        <f>IFERROR(VLOOKUP(CC10,'Module Items'!$A$1:$B$2587,2,FALSE),"")</f>
        <v>113391</v>
      </c>
      <c r="CD11" s="46">
        <f>IFERROR(VLOOKUP(CD10,'Module Items'!$A$1:$B$2587,2,FALSE),"")</f>
        <v>142421</v>
      </c>
      <c r="CE11" s="46">
        <f>IFERROR(VLOOKUP(CE10,'Module Items'!$A$1:$B$2587,2,FALSE),"")</f>
        <v>101017</v>
      </c>
      <c r="CF11" s="46">
        <f>IFERROR(VLOOKUP(CF10,'Module Items'!$A$1:$B$2587,2,FALSE),"")</f>
        <v>49170</v>
      </c>
      <c r="CG11" s="46">
        <f>IFERROR(VLOOKUP(CG10,'Module Items'!$A$1:$B$2587,2,FALSE),"")</f>
        <v>138662</v>
      </c>
      <c r="CH11" s="46">
        <f>IFERROR(VLOOKUP(CH10,'Module Items'!$A$1:$B$2587,2,FALSE),"")</f>
        <v>102830</v>
      </c>
      <c r="CI11" s="46">
        <f>IFERROR(VLOOKUP(CI10,'Module Items'!$A$1:$B$2587,2,FALSE),"")</f>
        <v>77273</v>
      </c>
      <c r="CJ11" s="46">
        <f>IFERROR(VLOOKUP(CJ10,'Module Items'!$A$1:$B$2587,2,FALSE),"")</f>
        <v>78499</v>
      </c>
      <c r="CK11" s="46">
        <f>IFERROR(VLOOKUP(CK10,'Module Items'!$A$1:$B$2587,2,FALSE),"")</f>
        <v>138814</v>
      </c>
      <c r="CL11" s="46">
        <f>IFERROR(VLOOKUP(CL10,'Module Items'!$A$1:$B$2587,2,FALSE),"")</f>
        <v>158112</v>
      </c>
      <c r="CM11" s="46">
        <f>IFERROR(VLOOKUP(CM10,'Module Items'!$A$1:$B$2587,2,FALSE),"")</f>
        <v>116905</v>
      </c>
      <c r="CN11" s="46">
        <f>IFERROR(VLOOKUP(CN10,'Module Items'!$A$1:$B$2587,2,FALSE),"")</f>
        <v>176789</v>
      </c>
      <c r="CO11" s="46">
        <f>IFERROR(VLOOKUP(CO10,'Module Items'!$A$1:$B$2587,2,FALSE),"")</f>
        <v>139657</v>
      </c>
      <c r="CP11" s="46">
        <f>IFERROR(VLOOKUP(CP10,'Module Items'!$A$1:$B$2587,2,FALSE),"")</f>
        <v>5308</v>
      </c>
      <c r="CQ11" s="46">
        <f>IFERROR(VLOOKUP(CQ10,'Module Items'!$A$1:$B$2587,2,FALSE),"")</f>
        <v>177763</v>
      </c>
      <c r="CR11" s="46">
        <f>IFERROR(VLOOKUP(CR10,'Module Items'!$A$1:$B$2587,2,FALSE),"")</f>
        <v>136456</v>
      </c>
      <c r="CS11" s="46">
        <f>IFERROR(VLOOKUP(CS10,'Module Items'!$A$1:$B$2587,2,FALSE),"")</f>
        <v>140675</v>
      </c>
      <c r="CT11" s="46">
        <f>IFERROR(VLOOKUP(CT10,'Module Items'!$A$1:$B$2587,2,FALSE),"")</f>
        <v>160510</v>
      </c>
      <c r="CU11" s="46">
        <f>IFERROR(VLOOKUP(CU10,'Module Items'!$A$1:$B$2587,2,FALSE),"")</f>
        <v>4531</v>
      </c>
      <c r="CV11" s="46">
        <f>IFERROR(VLOOKUP(CV10,'Module Items'!$A$1:$B$2587,2,FALSE),"")</f>
        <v>110503</v>
      </c>
      <c r="CW11" s="46">
        <f>IFERROR(VLOOKUP(CW10,'Module Items'!$A$1:$B$2587,2,FALSE),"")</f>
        <v>116913</v>
      </c>
      <c r="CX11" s="46">
        <f>IFERROR(VLOOKUP(CX10,'Module Items'!$A$1:$B$2587,2,FALSE),"")</f>
        <v>160508</v>
      </c>
      <c r="CY11" s="46">
        <f>IFERROR(VLOOKUP(CY10,'Module Items'!$A$1:$B$2587,2,FALSE),"")</f>
        <v>108438</v>
      </c>
      <c r="CZ11" s="46">
        <f>IFERROR(VLOOKUP(CZ10,'Module Items'!$A$1:$B$2587,2,FALSE),"")</f>
        <v>110684</v>
      </c>
      <c r="DA11" s="46">
        <f>IFERROR(VLOOKUP(DA10,'Module Items'!$A$1:$B$2587,2,FALSE),"")</f>
        <v>105917</v>
      </c>
      <c r="DB11" s="101">
        <f>IFERROR(VLOOKUP(DB10,'Module Items'!$A$1:$B$2587,2,FALSE),"")</f>
        <v>177644</v>
      </c>
      <c r="DC11" s="47" t="s">
        <v>308</v>
      </c>
      <c r="DD11" s="37">
        <f>IFERROR(VLOOKUP(DC11,'Module Items'!$A$1:$B$2587,2,FALSE),"")</f>
        <v>120173</v>
      </c>
      <c r="DE11" s="44">
        <f>IFERROR(VLOOKUP(DC11,'Monthly Line Picks'!$A$1:$D$2000,4,FALSE),"0")</f>
        <v>28</v>
      </c>
      <c r="DF11" s="47" t="s">
        <v>309</v>
      </c>
      <c r="DG11" s="37">
        <f>IFERROR(VLOOKUP(DF11,'Module Items'!$A$1:$B$2587,2,FALSE),"")</f>
        <v>95684</v>
      </c>
      <c r="DH11" s="44">
        <f>IFERROR(VLOOKUP(DF11,'Monthly Line Picks'!$A$1:$D$2000,4,FALSE),"0")</f>
        <v>5</v>
      </c>
      <c r="DI11" s="189" t="s">
        <v>305</v>
      </c>
      <c r="DJ11" s="191"/>
      <c r="DK11" s="47"/>
      <c r="DL11" s="47" t="s">
        <v>310</v>
      </c>
      <c r="DM11" s="37">
        <f>IFERROR(VLOOKUP(DL11,'Module Items'!$A$1:$B$2587,2,FALSE),"")</f>
        <v>1811</v>
      </c>
      <c r="DN11" s="44">
        <f>IFERROR(VLOOKUP(DL11,'Monthly Line Picks'!$A$1:$D$2000,4,FALSE),"0")</f>
        <v>159</v>
      </c>
      <c r="DO11" s="63" t="s">
        <v>311</v>
      </c>
      <c r="DP11" s="37">
        <f>IFERROR(VLOOKUP(DO11,'Module Items'!$A$1:$B$2587,2,FALSE),"")</f>
        <v>1428</v>
      </c>
      <c r="DQ11" s="44">
        <f>IFERROR(VLOOKUP(DO11,'Monthly Line Picks'!$A$1:$D$2000,4,FALSE),"0")</f>
        <v>7</v>
      </c>
      <c r="DR11" s="95"/>
      <c r="DS11" s="37" t="str">
        <f>IFERROR(VLOOKUP(DR11,'Module Items'!$A$1:$B$2587,2,FALSE),"")</f>
        <v/>
      </c>
      <c r="DT11" s="44"/>
    </row>
    <row r="12" spans="3:128" ht="15.95" thickBot="1">
      <c r="C12" s="207"/>
      <c r="D12" s="208"/>
      <c r="E12" s="208"/>
      <c r="F12" s="211"/>
      <c r="G12" s="207"/>
      <c r="H12" s="208"/>
      <c r="I12" s="208"/>
      <c r="J12" s="208"/>
      <c r="K12" s="58">
        <f>IFERROR(VLOOKUP(K10,'Monthly Line Picks'!$A$1:$D$2101,4,FALSE),"0")</f>
        <v>6</v>
      </c>
      <c r="L12" s="50">
        <f>IFERROR(VLOOKUP(L10,'Monthly Line Picks'!$A$1:$D$2101,4,FALSE),"0")</f>
        <v>12</v>
      </c>
      <c r="M12" s="50">
        <f>IFERROR(VLOOKUP(M10,'Monthly Line Picks'!$A$1:$D$2101,4,FALSE),"0")</f>
        <v>40</v>
      </c>
      <c r="N12" s="50">
        <f>IFERROR(VLOOKUP(N10,'Monthly Line Picks'!$A$1:$D$2101,4,FALSE),"0")</f>
        <v>3</v>
      </c>
      <c r="O12" s="50">
        <f>IFERROR(VLOOKUP(O10,'Monthly Line Picks'!$A$1:$D$2101,4,FALSE),"0")</f>
        <v>21</v>
      </c>
      <c r="P12" s="59">
        <f>IFERROR(VLOOKUP(P10,'Monthly Line Picks'!$A$1:$D$2101,4,FALSE),"0")</f>
        <v>5</v>
      </c>
      <c r="Q12" s="58">
        <f>IFERROR(VLOOKUP(Q10,'Monthly Line Picks'!$A$1:$D$2101,4,FALSE),"0")</f>
        <v>56</v>
      </c>
      <c r="R12" s="50">
        <f>IFERROR(VLOOKUP(R10,'Monthly Line Picks'!$A$1:$D$2101,4,FALSE),"0")</f>
        <v>6</v>
      </c>
      <c r="S12" s="50">
        <f>IFERROR(VLOOKUP(S10,'Monthly Line Picks'!$A$1:$D$2101,4,FALSE),"0")</f>
        <v>9</v>
      </c>
      <c r="T12" s="50">
        <f>IFERROR(VLOOKUP(T10,'Monthly Line Picks'!$A$1:$D$2101,4,FALSE),"0")</f>
        <v>12</v>
      </c>
      <c r="U12" s="229"/>
      <c r="V12" s="59">
        <f>IFERROR(VLOOKUP(V10,'Monthly Line Picks'!$A$1:$D$2101,4,FALSE),"0")</f>
        <v>14</v>
      </c>
      <c r="W12" s="58">
        <f>IFERROR(VLOOKUP(W10,'Monthly Line Picks'!$A$1:$D$2101,4,FALSE),"0")</f>
        <v>231</v>
      </c>
      <c r="X12" s="50" t="str">
        <f>IFERROR(VLOOKUP(X10,'Monthly Line Picks'!$A$1:$D$2101,4,FALSE),"0")</f>
        <v>0</v>
      </c>
      <c r="Y12" s="50">
        <f>IFERROR(VLOOKUP(Y10,'Monthly Line Picks'!$A$1:$D$2101,4,FALSE),"0")</f>
        <v>4</v>
      </c>
      <c r="Z12" s="50">
        <f>IFERROR(VLOOKUP(Z10,'Monthly Line Picks'!$A$1:$D$2101,4,FALSE),"0")</f>
        <v>14</v>
      </c>
      <c r="AA12" s="50" t="str">
        <f>IFERROR(VLOOKUP(AA10,'Monthly Line Picks'!$A$1:$D$2101,4,FALSE),"0")</f>
        <v>0</v>
      </c>
      <c r="AB12" s="59">
        <f>IFERROR(VLOOKUP(AB10,'Monthly Line Picks'!$A$1:$D$2101,4,FALSE),"0")</f>
        <v>7</v>
      </c>
      <c r="AC12" s="58">
        <f>IFERROR(VLOOKUP(AC10,'Monthly Line Picks'!$A$1:$D$2101,4,FALSE),"0")</f>
        <v>8</v>
      </c>
      <c r="AD12" s="50">
        <f>IFERROR(VLOOKUP(AD10,'Monthly Line Picks'!$A$1:$D$2101,4,FALSE),"0")</f>
        <v>16</v>
      </c>
      <c r="AE12" s="50">
        <f>IFERROR(VLOOKUP(AE10,'Monthly Line Picks'!$A$1:$D$2101,4,FALSE),"0")</f>
        <v>2</v>
      </c>
      <c r="AF12" s="50">
        <f>IFERROR(VLOOKUP(AF10,'Monthly Line Picks'!$A$1:$D$2101,4,FALSE),"0")</f>
        <v>3</v>
      </c>
      <c r="AG12" s="50">
        <f>IFERROR(VLOOKUP(AG10,'Monthly Line Picks'!$A$1:$D$2101,4,FALSE),"0")</f>
        <v>25</v>
      </c>
      <c r="AH12" s="59">
        <f>IFERROR(VLOOKUP(AH10,'Monthly Line Picks'!$A$1:$D$2101,4,FALSE),"0")</f>
        <v>5</v>
      </c>
      <c r="AI12" s="58" t="str">
        <f>IFERROR(VLOOKUP(AI10,'Monthly Line Picks'!$A$1:$D$2101,4,FALSE),"0")</f>
        <v>0</v>
      </c>
      <c r="AJ12" s="50" t="str">
        <f>IFERROR(VLOOKUP(AJ10,'Monthly Line Picks'!$A$1:$D$2101,4,FALSE),"0")</f>
        <v>0</v>
      </c>
      <c r="AK12" s="50" t="str">
        <f>IFERROR(VLOOKUP(AK10,'Monthly Line Picks'!$A$1:$D$2101,4,FALSE),"0")</f>
        <v>0</v>
      </c>
      <c r="AL12" s="50" t="str">
        <f>IFERROR(VLOOKUP(AL10,'Monthly Line Picks'!$A$1:$D$2101,4,FALSE),"0")</f>
        <v>0</v>
      </c>
      <c r="AM12" s="50" t="str">
        <f>IFERROR(VLOOKUP(AM10,'Monthly Line Picks'!$A$1:$D$2101,4,FALSE),"0")</f>
        <v>0</v>
      </c>
      <c r="AN12" s="50" t="str">
        <f>IFERROR(VLOOKUP(AN10,'Monthly Line Picks'!$A$1:$D$2101,4,FALSE),"0")</f>
        <v>0</v>
      </c>
      <c r="AO12" s="58" t="str">
        <f>IFERROR(VLOOKUP(AO10,'Monthly Line Picks'!$A$1:$D$2101,4,FALSE),"0")</f>
        <v>0</v>
      </c>
      <c r="AP12" s="50" t="str">
        <f>IFERROR(VLOOKUP(AP10,'Monthly Line Picks'!$A$1:$D$2101,4,FALSE),"0")</f>
        <v>0</v>
      </c>
      <c r="AQ12" s="50" t="str">
        <f>IFERROR(VLOOKUP(AQ10,'Monthly Line Picks'!$A$1:$D$2101,4,FALSE),"0")</f>
        <v>0</v>
      </c>
      <c r="AR12" s="50" t="str">
        <f>IFERROR(VLOOKUP(AR10,'Monthly Line Picks'!$A$1:$D$2101,4,FALSE),"0")</f>
        <v>0</v>
      </c>
      <c r="AS12" s="50" t="str">
        <f>IFERROR(VLOOKUP(AS10,'Monthly Line Picks'!$A$1:$D$2101,4,FALSE),"0")</f>
        <v>0</v>
      </c>
      <c r="AT12" s="59" t="str">
        <f>IFERROR(VLOOKUP(AT10,'Monthly Line Picks'!$A$1:$D$2101,4,FALSE),"0")</f>
        <v>0</v>
      </c>
      <c r="AU12" s="58">
        <f>IFERROR(VLOOKUP(AU10,'Monthly Line Picks'!$A$1:$D$2101,4,FALSE),"0")</f>
        <v>28</v>
      </c>
      <c r="AV12" s="50">
        <f>IFERROR(VLOOKUP(AV10,'Monthly Line Picks'!$A$1:$D$2101,4,FALSE),"0")</f>
        <v>52</v>
      </c>
      <c r="AW12" s="50" t="str">
        <f>IFERROR(VLOOKUP(AW10,'Monthly Line Picks'!$A$1:$D$2101,4,FALSE),"0")</f>
        <v>0</v>
      </c>
      <c r="AX12" s="50">
        <f>IFERROR(VLOOKUP(AX10,'Monthly Line Picks'!$A$1:$D$2101,4,FALSE),"0")</f>
        <v>42</v>
      </c>
      <c r="AY12" s="50" t="str">
        <f>IFERROR(VLOOKUP(AY10,'Monthly Line Picks'!$A$1:$D$2101,4,FALSE),"0")</f>
        <v>0</v>
      </c>
      <c r="AZ12" s="59">
        <f>IFERROR(VLOOKUP(AZ10,'Monthly Line Picks'!$A$1:$D$2101,4,FALSE),"0")</f>
        <v>27</v>
      </c>
      <c r="BA12" s="62" t="s">
        <v>312</v>
      </c>
      <c r="BB12" s="37">
        <f>IFERROR(VLOOKUP(BA12,'Module Items'!$A$1:$B$2587,2,FALSE),"")</f>
        <v>109387</v>
      </c>
      <c r="BC12" s="44">
        <f>IFERROR(VLOOKUP(BA12,'Monthly Line Picks'!$A$1:$D$2000,4,FALSE),"0")</f>
        <v>17</v>
      </c>
      <c r="BD12" s="50" t="s">
        <v>313</v>
      </c>
      <c r="BE12" s="37">
        <f>IFERROR(VLOOKUP(BD12,'Module Items'!$A$1:$B$2587,2,FALSE),"")</f>
        <v>335</v>
      </c>
      <c r="BF12" s="44">
        <f>IFERROR(VLOOKUP(BD12,'Monthly Line Picks'!$A$1:$D$2000,4,FALSE),"0")</f>
        <v>11</v>
      </c>
      <c r="BG12" s="188"/>
      <c r="BH12" s="188"/>
      <c r="BI12" s="188"/>
      <c r="BJ12" s="188"/>
      <c r="BK12" s="53" t="str">
        <f>IFERROR(VLOOKUP(BJ12,'Module Items'!$A$1:$B$2587,2,FALSE),"")</f>
        <v/>
      </c>
      <c r="BL12" s="53" t="str">
        <f>IFERROR(VLOOKUP(BJ12,'Monthly Line Picks'!$A$1:$D$2101,4,FALSE),"")</f>
        <v/>
      </c>
      <c r="BM12" s="50" t="s">
        <v>314</v>
      </c>
      <c r="BN12" s="37">
        <f>IFERROR(VLOOKUP(BM12,'Module Items'!$A$1:$B$2587,2,FALSE),"")</f>
        <v>160071</v>
      </c>
      <c r="BO12" s="44">
        <f>IFERROR(VLOOKUP(BM12,'Monthly Line Picks'!$A$1:$D$2000,4,FALSE),"0")</f>
        <v>35</v>
      </c>
      <c r="BP12" s="59" t="s">
        <v>315</v>
      </c>
      <c r="BQ12" s="37">
        <f>IFERROR(VLOOKUP(BP12,'Module Items'!$A$1:$B$2587,2,FALSE),"")</f>
        <v>82322</v>
      </c>
      <c r="BR12" s="44" t="str">
        <f>IFERROR(VLOOKUP(BP12,'Monthly Line Picks'!$A$1:$D$2000,4,FALSE),"0")</f>
        <v>0</v>
      </c>
      <c r="BS12" s="222"/>
      <c r="BT12" s="222"/>
      <c r="BU12" s="223"/>
      <c r="BV12" s="233"/>
      <c r="BW12" s="234"/>
      <c r="BX12" s="235"/>
      <c r="BY12" s="46">
        <f>IFERROR(VLOOKUP(BY10,'Monthly Line Picks'!$A$1:$D$1458,4,FALSE),"0")</f>
        <v>28</v>
      </c>
      <c r="BZ12" s="46">
        <f>IFERROR(VLOOKUP(BZ10,'Monthly Line Picks'!$A$1:$D$1458,4,FALSE),"0")</f>
        <v>42</v>
      </c>
      <c r="CA12" s="46">
        <f>IFERROR(VLOOKUP(CA10,'Monthly Line Picks'!$A$1:$D$1458,4,FALSE),"0")</f>
        <v>21</v>
      </c>
      <c r="CB12" s="46">
        <f>IFERROR(VLOOKUP(CB10,'Monthly Line Picks'!$A$1:$D$1458,4,FALSE),"0")</f>
        <v>10</v>
      </c>
      <c r="CC12" s="46">
        <f>IFERROR(VLOOKUP(CC10,'Monthly Line Picks'!$A$1:$D$1458,4,FALSE),"0")</f>
        <v>15</v>
      </c>
      <c r="CD12" s="46">
        <f>IFERROR(VLOOKUP(CD10,'Monthly Line Picks'!$A$1:$D$1458,4,FALSE),"0")</f>
        <v>21</v>
      </c>
      <c r="CE12" s="46">
        <f>IFERROR(VLOOKUP(CE10,'Monthly Line Picks'!$A$1:$D$1458,4,FALSE),"0")</f>
        <v>3</v>
      </c>
      <c r="CF12" s="46" t="str">
        <f>IFERROR(VLOOKUP(CF10,'Monthly Line Picks'!$A$1:$D$1458,4,FALSE),"0")</f>
        <v>0</v>
      </c>
      <c r="CG12" s="46" t="str">
        <f>IFERROR(VLOOKUP(CG10,'Monthly Line Picks'!$A$1:$D$1458,4,FALSE),"0")</f>
        <v>0</v>
      </c>
      <c r="CH12" s="46">
        <f>IFERROR(VLOOKUP(CH10,'Monthly Line Picks'!$A$1:$D$1458,4,FALSE),"0")</f>
        <v>52</v>
      </c>
      <c r="CI12" s="46">
        <f>IFERROR(VLOOKUP(CI10,'Monthly Line Picks'!$A$1:$D$1458,4,FALSE),"0")</f>
        <v>8</v>
      </c>
      <c r="CJ12" s="46">
        <f>IFERROR(VLOOKUP(CJ10,'Monthly Line Picks'!$A$1:$D$1458,4,FALSE),"0")</f>
        <v>5</v>
      </c>
      <c r="CK12" s="46">
        <f>IFERROR(VLOOKUP(CK10,'Monthly Line Picks'!$A$1:$D$1458,4,FALSE),"0")</f>
        <v>18</v>
      </c>
      <c r="CL12" s="46" t="str">
        <f>IFERROR(VLOOKUP(CL10,'Monthly Line Picks'!$A$1:$D$1458,4,FALSE),"0")</f>
        <v>0</v>
      </c>
      <c r="CM12" s="46">
        <f>IFERROR(VLOOKUP(CM10,'Monthly Line Picks'!$A$1:$D$1458,4,FALSE),"0")</f>
        <v>12</v>
      </c>
      <c r="CN12" s="46">
        <f>IFERROR(VLOOKUP(CN10,'Monthly Line Picks'!$A$1:$D$1458,4,FALSE),"0")</f>
        <v>11</v>
      </c>
      <c r="CO12" s="46">
        <f>IFERROR(VLOOKUP(CO10,'Monthly Line Picks'!$A$1:$D$1458,4,FALSE),"0")</f>
        <v>6</v>
      </c>
      <c r="CP12" s="46">
        <f>IFERROR(VLOOKUP(CP10,'Monthly Line Picks'!$A$1:$D$1458,4,FALSE),"0")</f>
        <v>13</v>
      </c>
      <c r="CQ12" s="46" t="str">
        <f>IFERROR(VLOOKUP(CQ10,'Monthly Line Picks'!$A$1:$D$1458,4,FALSE),"0")</f>
        <v>0</v>
      </c>
      <c r="CR12" s="46">
        <f>IFERROR(VLOOKUP(CR10,'Monthly Line Picks'!$A$1:$D$1458,4,FALSE),"0")</f>
        <v>43</v>
      </c>
      <c r="CS12" s="46" t="str">
        <f>IFERROR(VLOOKUP(CS10,'Monthly Line Picks'!$A$1:$D$1458,4,FALSE),"0")</f>
        <v>0</v>
      </c>
      <c r="CT12" s="46">
        <f>IFERROR(VLOOKUP(CT10,'Monthly Line Picks'!$A$1:$D$1458,4,FALSE),"0")</f>
        <v>4</v>
      </c>
      <c r="CU12" s="46">
        <f>IFERROR(VLOOKUP(CU10,'Monthly Line Picks'!$A$1:$D$1458,4,FALSE),"0")</f>
        <v>9</v>
      </c>
      <c r="CV12" s="46">
        <f>IFERROR(VLOOKUP(CV10,'Monthly Line Picks'!$A$1:$D$1458,4,FALSE),"0")</f>
        <v>72</v>
      </c>
      <c r="CW12" s="46">
        <f>IFERROR(VLOOKUP(CW10,'Monthly Line Picks'!$A$1:$D$1458,4,FALSE),"0")</f>
        <v>34</v>
      </c>
      <c r="CX12" s="46">
        <f>IFERROR(VLOOKUP(CX10,'Monthly Line Picks'!$A$1:$D$1458,4,FALSE),"0")</f>
        <v>35</v>
      </c>
      <c r="CY12" s="46">
        <f>IFERROR(VLOOKUP(CY10,'Monthly Line Picks'!$A$1:$D$1458,4,FALSE),"0")</f>
        <v>7</v>
      </c>
      <c r="CZ12" s="46" t="str">
        <f>IFERROR(VLOOKUP(CZ10,'Monthly Line Picks'!$A$1:$D$1458,4,FALSE),"0")</f>
        <v>0</v>
      </c>
      <c r="DA12" s="46">
        <f>IFERROR(VLOOKUP(DA10,'Monthly Line Picks'!$A$1:$D$1458,4,FALSE),"0")</f>
        <v>6</v>
      </c>
      <c r="DB12" s="101">
        <f>IFERROR(VLOOKUP(DB10,'Monthly Line Picks'!$A$1:$D$1458,4,FALSE),"0")</f>
        <v>69</v>
      </c>
      <c r="DC12" s="47" t="s">
        <v>316</v>
      </c>
      <c r="DD12" s="37">
        <f>IFERROR(VLOOKUP(DC12,'Module Items'!$A$1:$B$2587,2,FALSE),"")</f>
        <v>108911</v>
      </c>
      <c r="DE12" s="44">
        <f>IFERROR(VLOOKUP(DC12,'Monthly Line Picks'!$A$1:$D$2000,4,FALSE),"0")</f>
        <v>83</v>
      </c>
      <c r="DF12" s="47" t="s">
        <v>317</v>
      </c>
      <c r="DG12" s="37">
        <f>IFERROR(VLOOKUP(DF12,'Module Items'!$A$1:$B$2587,2,FALSE),"")</f>
        <v>18602</v>
      </c>
      <c r="DH12" s="44">
        <f>IFERROR(VLOOKUP(DF12,'Monthly Line Picks'!$A$1:$D$2000,4,FALSE),"0")</f>
        <v>2</v>
      </c>
      <c r="DI12" s="192"/>
      <c r="DJ12" s="194"/>
      <c r="DK12" s="50"/>
      <c r="DL12" s="50" t="s">
        <v>318</v>
      </c>
      <c r="DM12" s="37">
        <f>IFERROR(VLOOKUP(DL12,'Module Items'!$A$1:$B$2587,2,FALSE),"")</f>
        <v>13164</v>
      </c>
      <c r="DN12" s="44" t="str">
        <f>IFERROR(VLOOKUP(DL12,'Monthly Line Picks'!$A$1:$D$2000,4,FALSE),"0")</f>
        <v>0</v>
      </c>
      <c r="DO12" s="51" t="s">
        <v>319</v>
      </c>
      <c r="DP12" s="37">
        <f>IFERROR(VLOOKUP(DO12,'Module Items'!$A$1:$B$2587,2,FALSE),"")</f>
        <v>28728</v>
      </c>
      <c r="DQ12" s="44">
        <f>IFERROR(VLOOKUP(DO12,'Monthly Line Picks'!$A$1:$D$2000,4,FALSE),"0")</f>
        <v>9</v>
      </c>
      <c r="DR12" s="95"/>
      <c r="DS12" s="37" t="str">
        <f>IFERROR(VLOOKUP(DR12,'Module Items'!$A$1:$B$2587,2,FALSE),"")</f>
        <v/>
      </c>
      <c r="DT12" s="44"/>
    </row>
    <row r="13" spans="3:128" ht="17.100000000000001" thickTop="1" thickBot="1">
      <c r="J13" s="24"/>
      <c r="K13" s="111" t="s">
        <v>320</v>
      </c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3"/>
      <c r="BQ13" s="97"/>
      <c r="BR13" s="97"/>
      <c r="BS13" s="224"/>
      <c r="BT13" s="225"/>
      <c r="BU13" s="226"/>
      <c r="BV13" s="236"/>
      <c r="BW13" s="237"/>
      <c r="BX13" s="238"/>
      <c r="BY13" s="134" t="s">
        <v>321</v>
      </c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6"/>
      <c r="DD13" s="136"/>
      <c r="DE13" s="136"/>
      <c r="DF13" s="136"/>
      <c r="DG13" s="136"/>
      <c r="DH13" s="137"/>
    </row>
    <row r="14" spans="3:128" ht="15.95" thickBot="1"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T14" s="16"/>
      <c r="AU14" s="16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</row>
    <row r="15" spans="3:128" ht="18.75" customHeight="1" thickBot="1">
      <c r="K15" s="114" t="s">
        <v>322</v>
      </c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00"/>
      <c r="BR15" s="100"/>
      <c r="BS15" s="230" t="s">
        <v>52</v>
      </c>
      <c r="BT15" s="231"/>
      <c r="BU15" s="232"/>
      <c r="BV15" s="131" t="s">
        <v>323</v>
      </c>
      <c r="BW15" s="131"/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1"/>
      <c r="DB15" s="131"/>
      <c r="DC15" s="131"/>
      <c r="DD15" s="131"/>
      <c r="DE15" s="131"/>
      <c r="DF15" s="131"/>
      <c r="DG15" s="132"/>
      <c r="DH15" s="133"/>
    </row>
    <row r="16" spans="3:128" ht="15.75" customHeight="1" thickTop="1" thickBot="1">
      <c r="C16" s="203" t="s">
        <v>2</v>
      </c>
      <c r="D16" s="204"/>
      <c r="E16" s="204"/>
      <c r="F16" s="209"/>
      <c r="G16" s="212"/>
      <c r="H16" s="213"/>
      <c r="I16" s="195"/>
      <c r="J16" s="196"/>
      <c r="K16" s="44">
        <f>IFERROR(VLOOKUP(K18,'Monthly Line Picks'!$A$1:$D$1458,4,FALSE),"0")</f>
        <v>9</v>
      </c>
      <c r="L16" s="42">
        <f>IFERROR(VLOOKUP(L18,'Monthly Line Picks'!$A$1:$D$1458,4,FALSE),"0")</f>
        <v>15</v>
      </c>
      <c r="M16" s="42">
        <f>IFERROR(VLOOKUP(M18,'Monthly Line Picks'!$A$1:$D$1458,4,FALSE),"0")</f>
        <v>15</v>
      </c>
      <c r="N16" s="42">
        <f>IFERROR(VLOOKUP(N18,'Monthly Line Picks'!$A$1:$D$1458,4,FALSE),"0")</f>
        <v>6</v>
      </c>
      <c r="O16" s="42" t="str">
        <f>IFERROR(VLOOKUP(O18,'Monthly Line Picks'!$A$1:$D$1458,4,FALSE),"0")</f>
        <v>0</v>
      </c>
      <c r="P16" s="45">
        <f>IFERROR(VLOOKUP(P18,'Monthly Line Picks'!$A$1:$D$1458,4,FALSE),"0")</f>
        <v>15</v>
      </c>
      <c r="Q16" s="44">
        <f>IFERROR(VLOOKUP(Q18,'Monthly Line Picks'!$A$1:$D$1458,4,FALSE),"0")</f>
        <v>4</v>
      </c>
      <c r="R16" s="42">
        <f>IFERROR(VLOOKUP(R18,'Monthly Line Picks'!$A$1:$D$1458,4,FALSE),"0")</f>
        <v>9</v>
      </c>
      <c r="S16" s="42">
        <f>IFERROR(VLOOKUP(S18,'Monthly Line Picks'!$A$1:$D$1458,4,FALSE),"0")</f>
        <v>6</v>
      </c>
      <c r="T16" s="42">
        <f>IFERROR(VLOOKUP(T18,'Monthly Line Picks'!$A$1:$D$1458,4,FALSE),"0")</f>
        <v>7</v>
      </c>
      <c r="U16" s="42">
        <f>IFERROR(VLOOKUP(U18,'Monthly Line Picks'!$A$1:$D$1458,4,FALSE),"0")</f>
        <v>16</v>
      </c>
      <c r="V16" s="45">
        <f>IFERROR(VLOOKUP(V18,'Monthly Line Picks'!$A$1:$D$1458,4,FALSE),"0")</f>
        <v>11</v>
      </c>
      <c r="W16" s="44" t="str">
        <f>IFERROR(VLOOKUP(W18,'Monthly Line Picks'!$A$1:$D$1458,4,FALSE),"0")</f>
        <v>0</v>
      </c>
      <c r="X16" s="42">
        <f>IFERROR(VLOOKUP(X18,'Monthly Line Picks'!$A$1:$D$1458,4,FALSE),"0")</f>
        <v>4</v>
      </c>
      <c r="Y16" s="42">
        <f>IFERROR(VLOOKUP(Y18,'Monthly Line Picks'!$A$1:$D$1458,4,FALSE),"0")</f>
        <v>4</v>
      </c>
      <c r="Z16" s="42">
        <f>IFERROR(VLOOKUP(Z18,'Monthly Line Picks'!$A$1:$D$1458,4,FALSE),"0")</f>
        <v>12</v>
      </c>
      <c r="AA16" s="42">
        <f>IFERROR(VLOOKUP(AA18,'Monthly Line Picks'!$A$1:$D$1458,4,FALSE),"0")</f>
        <v>134</v>
      </c>
      <c r="AB16" s="45">
        <f>IFERROR(VLOOKUP(AB18,'Monthly Line Picks'!$A$1:$D$1458,4,FALSE),"0")</f>
        <v>20</v>
      </c>
      <c r="AC16" s="44">
        <f>IFERROR(VLOOKUP(AC18,'Monthly Line Picks'!$A$1:$D$1458,4,FALSE),"0")</f>
        <v>225</v>
      </c>
      <c r="AD16" s="42">
        <f>IFERROR(VLOOKUP(AD18,'Monthly Line Picks'!$A$1:$D$1458,4,FALSE),"0")</f>
        <v>10</v>
      </c>
      <c r="AE16" s="42">
        <f>IFERROR(VLOOKUP(AE18,'Monthly Line Picks'!$A$1:$D$1458,4,FALSE),"0")</f>
        <v>21</v>
      </c>
      <c r="AF16" s="42" t="str">
        <f>IFERROR(VLOOKUP(AF18,'Monthly Line Picks'!$A$1:$D$1458,4,FALSE),"0")</f>
        <v>0</v>
      </c>
      <c r="AG16" s="42">
        <f>IFERROR(VLOOKUP(AG18,'Monthly Line Picks'!$A$1:$D$1458,4,FALSE),"0")</f>
        <v>54</v>
      </c>
      <c r="AH16" s="45">
        <f>IFERROR(VLOOKUP(AH18,'Monthly Line Picks'!$A$1:$D$1458,4,FALSE),"0")</f>
        <v>7</v>
      </c>
      <c r="AI16" s="44">
        <f>IFERROR(VLOOKUP(AI18,'Monthly Line Picks'!$A$1:$D$1458,4,FALSE),"0")</f>
        <v>18</v>
      </c>
      <c r="AJ16" s="42" t="str">
        <f>IFERROR(VLOOKUP(AJ18,'Monthly Line Picks'!$A$1:$D$1458,4,FALSE),"0")</f>
        <v>0</v>
      </c>
      <c r="AK16" s="42">
        <f>IFERROR(VLOOKUP(AK18,'Monthly Line Picks'!$A$1:$D$1458,4,FALSE),"0")</f>
        <v>15</v>
      </c>
      <c r="AL16" s="42" t="str">
        <f>IFERROR(VLOOKUP(AL18,'Monthly Line Picks'!$A$1:$D$1458,4,FALSE),"0")</f>
        <v>0</v>
      </c>
      <c r="AM16" s="42">
        <f>IFERROR(VLOOKUP(AM18,'Monthly Line Picks'!$A$1:$D$1458,4,FALSE),"0")</f>
        <v>28</v>
      </c>
      <c r="AN16" s="45">
        <f>IFERROR(VLOOKUP(AN18,'Monthly Line Picks'!$A$1:$D$1458,4,FALSE),"0")</f>
        <v>22</v>
      </c>
      <c r="AO16" s="44" t="str">
        <f>IFERROR(VLOOKUP(AO18,'Monthly Line Picks'!$A$1:$D$1458,4,FALSE),"0")</f>
        <v>0</v>
      </c>
      <c r="AP16" s="42">
        <f>IFERROR(VLOOKUP(AP18,'Monthly Line Picks'!$A$1:$D$1458,4,FALSE),"0")</f>
        <v>31</v>
      </c>
      <c r="AQ16" s="42">
        <f>IFERROR(VLOOKUP(AQ18,'Monthly Line Picks'!$A$1:$D$1458,4,FALSE),"0")</f>
        <v>13</v>
      </c>
      <c r="AR16" s="42">
        <f>IFERROR(VLOOKUP(AR18,'Monthly Line Picks'!$A$1:$D$1458,4,FALSE),"0")</f>
        <v>19</v>
      </c>
      <c r="AS16" s="42" t="str">
        <f>IFERROR(VLOOKUP(AS18,'Monthly Line Picks'!$A$1:$D$1458,4,FALSE),"0")</f>
        <v>0</v>
      </c>
      <c r="AT16" s="45">
        <f>IFERROR(VLOOKUP(AT18,'Monthly Line Picks'!$A$1:$D$1458,4,FALSE),"0")</f>
        <v>51</v>
      </c>
      <c r="AU16" s="44">
        <f>IFERROR(VLOOKUP(AU18,'Monthly Line Picks'!$A$1:$D$1458,4,FALSE),"0")</f>
        <v>7</v>
      </c>
      <c r="AV16" s="42">
        <f>IFERROR(VLOOKUP(AV18,'Monthly Line Picks'!$A$1:$D$1458,4,FALSE),"0")</f>
        <v>4</v>
      </c>
      <c r="AW16" s="42" t="str">
        <f>IFERROR(VLOOKUP(AW18,'Monthly Line Picks'!$A$1:$D$1458,4,FALSE),"0")</f>
        <v>0</v>
      </c>
      <c r="AX16" s="42" t="str">
        <f>IFERROR(VLOOKUP(AX18,'Monthly Line Picks'!$A$1:$D$1458,4,FALSE),"0")</f>
        <v>0</v>
      </c>
      <c r="AY16" s="42" t="str">
        <f>IFERROR(VLOOKUP(AY18,'Monthly Line Picks'!$A$1:$D$1458,4,FALSE),"0")</f>
        <v>0</v>
      </c>
      <c r="AZ16" s="45">
        <f>IFERROR(VLOOKUP(AZ18,'Monthly Line Picks'!$A$1:$D$1458,4,FALSE),"0")</f>
        <v>6</v>
      </c>
      <c r="BA16" s="53" t="s">
        <v>324</v>
      </c>
      <c r="BB16" s="37">
        <f>IFERROR(VLOOKUP(BA16,'Module Items'!$A$1:$B$2587,2,FALSE),"")</f>
        <v>18561</v>
      </c>
      <c r="BC16" s="44" t="str">
        <f>IFERROR(VLOOKUP(BA16,'Monthly Line Picks'!$A$1:$D$2000,4,FALSE),"0")</f>
        <v>0</v>
      </c>
      <c r="BD16" s="42" t="s">
        <v>325</v>
      </c>
      <c r="BE16" s="37">
        <f>IFERROR(VLOOKUP(BD16,'Module Items'!$A$1:$B$2587,2,FALSE),"")</f>
        <v>100034</v>
      </c>
      <c r="BF16" s="44" t="str">
        <f>IFERROR(VLOOKUP(BD16,'Monthly Line Picks'!$A$1:$D$2000,4,FALSE),"0")</f>
        <v>0</v>
      </c>
      <c r="BG16" s="214" t="s">
        <v>305</v>
      </c>
      <c r="BH16" s="215"/>
      <c r="BI16" s="215"/>
      <c r="BJ16" s="216"/>
      <c r="BK16" s="53" t="str">
        <f>IFERROR(VLOOKUP(BJ16,'Module Items'!$A$1:$B$2587,2,FALSE),"")</f>
        <v/>
      </c>
      <c r="BL16" s="53" t="str">
        <f>IFERROR(VLOOKUP(BJ16,'Monthly Line Picks'!$A$1:$D$2101,4,FALSE),"")</f>
        <v/>
      </c>
      <c r="BM16" s="42" t="s">
        <v>326</v>
      </c>
      <c r="BN16" s="37">
        <f>IFERROR(VLOOKUP(BM16,'Module Items'!$A$1:$B$2587,2,FALSE),"")</f>
        <v>100055</v>
      </c>
      <c r="BO16" s="44" t="str">
        <f>IFERROR(VLOOKUP(BM16,'Monthly Line Picks'!$A$1:$D$2000,4,FALSE),"0")</f>
        <v>0</v>
      </c>
      <c r="BP16" s="45" t="s">
        <v>327</v>
      </c>
      <c r="BQ16" s="37">
        <f>IFERROR(VLOOKUP(BP16,'Module Items'!$A$1:$B$2587,2,FALSE),"")</f>
        <v>105593</v>
      </c>
      <c r="BR16" s="44" t="str">
        <f>IFERROR(VLOOKUP(BP16,'Monthly Line Picks'!$A$1:$D$2000,4,FALSE),"0")</f>
        <v>0</v>
      </c>
      <c r="BS16" s="233"/>
      <c r="BT16" s="234"/>
      <c r="BU16" s="235"/>
      <c r="BV16" s="44">
        <f>IFERROR(VLOOKUP(BV18,'Monthly Line Picks'!$A$1:$D$1458,4,FALSE),"0")</f>
        <v>13</v>
      </c>
      <c r="BW16" s="44">
        <f>IFERROR(VLOOKUP(BW18,'Monthly Line Picks'!$A$1:$D$1458,4,FALSE),"0")</f>
        <v>9</v>
      </c>
      <c r="BX16" s="44">
        <f>IFERROR(VLOOKUP(BX18,'Monthly Line Picks'!$A$1:$D$1458,4,FALSE),"0")</f>
        <v>17</v>
      </c>
      <c r="BY16" s="44" t="str">
        <f>IFERROR(VLOOKUP(BY18,'Monthly Line Picks'!$A$1:$D$1458,4,FALSE),"0")</f>
        <v>0</v>
      </c>
      <c r="BZ16" s="44" t="str">
        <f>IFERROR(VLOOKUP(BZ18,'Monthly Line Picks'!$A$1:$D$1458,4,FALSE),"0")</f>
        <v>0</v>
      </c>
      <c r="CA16" s="44" t="str">
        <f>IFERROR(VLOOKUP(CA18,'Monthly Line Picks'!$A$1:$D$1458,4,FALSE),"0")</f>
        <v>0</v>
      </c>
      <c r="CB16" s="44" t="str">
        <f>IFERROR(VLOOKUP(CB18,'Monthly Line Picks'!$A$1:$D$1458,4,FALSE),"0")</f>
        <v>0</v>
      </c>
      <c r="CC16" s="44">
        <f>IFERROR(VLOOKUP(CC18,'Monthly Line Picks'!$A$1:$D$1458,4,FALSE),"0")</f>
        <v>563</v>
      </c>
      <c r="CD16" s="44">
        <f>IFERROR(VLOOKUP(CD18,'Monthly Line Picks'!$A$1:$D$1458,4,FALSE),"0")</f>
        <v>434</v>
      </c>
      <c r="CE16" s="44" t="str">
        <f>IFERROR(VLOOKUP(CE18,'Monthly Line Picks'!$A$1:$D$1458,4,FALSE),"0")</f>
        <v>0</v>
      </c>
      <c r="CF16" s="44" t="str">
        <f>IFERROR(VLOOKUP(CF18,'Monthly Line Picks'!$A$1:$D$1458,4,FALSE),"0")</f>
        <v>0</v>
      </c>
      <c r="CG16" s="44" t="str">
        <f>IFERROR(VLOOKUP(CG18,'Monthly Line Picks'!$A$1:$D$1458,4,FALSE),"0")</f>
        <v>0</v>
      </c>
      <c r="CH16" s="44" t="str">
        <f>IFERROR(VLOOKUP(CH18,'Monthly Line Picks'!$A$1:$D$1458,4,FALSE),"0")</f>
        <v>0</v>
      </c>
      <c r="CI16" s="44">
        <f>IFERROR(VLOOKUP(CI18,'Monthly Line Picks'!$A$1:$D$1458,4,FALSE),"0")</f>
        <v>325</v>
      </c>
      <c r="CJ16" s="44">
        <f>IFERROR(VLOOKUP(CJ18,'Monthly Line Picks'!$A$1:$D$1458,4,FALSE),"0")</f>
        <v>495</v>
      </c>
      <c r="CK16" s="44" t="str">
        <f>IFERROR(VLOOKUP(CK18,'Monthly Line Picks'!$A$1:$D$1458,4,FALSE),"0")</f>
        <v>0</v>
      </c>
      <c r="CL16" s="44" t="str">
        <f>IFERROR(VLOOKUP(CL18,'Monthly Line Picks'!$A$1:$D$1458,4,FALSE),"0")</f>
        <v>0</v>
      </c>
      <c r="CM16" s="44" t="str">
        <f>IFERROR(VLOOKUP(CM18,'Monthly Line Picks'!$A$1:$D$1458,4,FALSE),"0")</f>
        <v>0</v>
      </c>
      <c r="CN16" s="44" t="str">
        <f>IFERROR(VLOOKUP(CN18,'Monthly Line Picks'!$A$1:$D$1458,4,FALSE),"0")</f>
        <v>0</v>
      </c>
      <c r="CO16" s="44">
        <f>IFERROR(VLOOKUP(CO18,'Monthly Line Picks'!$A$1:$D$1458,4,FALSE),"0")</f>
        <v>573</v>
      </c>
      <c r="CP16" s="44">
        <f>IFERROR(VLOOKUP(CP18,'Monthly Line Picks'!$A$1:$D$1458,4,FALSE),"0")</f>
        <v>822</v>
      </c>
      <c r="CQ16" s="44" t="str">
        <f>IFERROR(VLOOKUP(CQ18,'Monthly Line Picks'!$A$1:$D$1458,4,FALSE),"0")</f>
        <v>0</v>
      </c>
      <c r="CR16" s="44" t="str">
        <f>IFERROR(VLOOKUP(CR18,'Monthly Line Picks'!$A$1:$D$1458,4,FALSE),"0")</f>
        <v>0</v>
      </c>
      <c r="CS16" s="44" t="str">
        <f>IFERROR(VLOOKUP(CS18,'Monthly Line Picks'!$A$1:$D$1458,4,FALSE),"0")</f>
        <v>0</v>
      </c>
      <c r="CT16" s="44" t="str">
        <f>IFERROR(VLOOKUP(CT18,'Monthly Line Picks'!$A$1:$D$1458,4,FALSE),"0")</f>
        <v>0</v>
      </c>
      <c r="CU16" s="44">
        <f>IFERROR(VLOOKUP(CU18,'Monthly Line Picks'!$A$1:$D$1458,4,FALSE),"0")</f>
        <v>675</v>
      </c>
      <c r="CV16" s="44">
        <f>IFERROR(VLOOKUP(CV18,'Monthly Line Picks'!$A$1:$D$1458,4,FALSE),"0")</f>
        <v>359</v>
      </c>
      <c r="CW16" s="44">
        <f>IFERROR(VLOOKUP(CW18,'Monthly Line Picks'!$A$1:$D$1458,4,FALSE),"0")</f>
        <v>11</v>
      </c>
      <c r="CX16" s="44">
        <f>IFERROR(VLOOKUP(CX18,'Monthly Line Picks'!$A$1:$D$1458,4,FALSE),"0")</f>
        <v>74</v>
      </c>
      <c r="CY16" s="44">
        <f>IFERROR(VLOOKUP(CY18,'Monthly Line Picks'!$A$1:$D$1458,4,FALSE),"0")</f>
        <v>15</v>
      </c>
      <c r="CZ16" s="44">
        <f>IFERROR(VLOOKUP(CZ18,'Monthly Line Picks'!$A$1:$D$1458,4,FALSE),"0")</f>
        <v>5</v>
      </c>
      <c r="DA16" s="44">
        <f>IFERROR(VLOOKUP(DA18,'Monthly Line Picks'!$A$1:$D$1458,4,FALSE),"0")</f>
        <v>16</v>
      </c>
      <c r="DB16" s="44">
        <f>IFERROR(VLOOKUP(DB18,'Monthly Line Picks'!$A$1:$D$1458,4,FALSE),"0")</f>
        <v>27</v>
      </c>
      <c r="DC16" s="44" t="s">
        <v>328</v>
      </c>
      <c r="DD16" s="37">
        <f>IFERROR(VLOOKUP(DC16,'Module Items'!$A$1:$B$2587,2,FALSE),"")</f>
        <v>1961</v>
      </c>
      <c r="DE16" s="44" t="str">
        <f>IFERROR(VLOOKUP(DC16,'Monthly Line Picks'!$A$1:$D$2000,4,FALSE),"0")</f>
        <v>0</v>
      </c>
      <c r="DF16" s="42" t="s">
        <v>329</v>
      </c>
      <c r="DG16" s="37">
        <f>IFERROR(VLOOKUP(DF16,'Module Items'!$A$1:$B$2587,2,FALSE),"")</f>
        <v>39949</v>
      </c>
      <c r="DH16" s="44" t="str">
        <f>IFERROR(VLOOKUP(DF16,'Monthly Line Picks'!$A$1:$D$2000,4,FALSE),"0")</f>
        <v>0</v>
      </c>
      <c r="DI16" s="187" t="s">
        <v>305</v>
      </c>
      <c r="DJ16" s="187"/>
      <c r="DK16" s="96"/>
      <c r="DL16" s="96"/>
      <c r="DM16" s="96"/>
      <c r="DN16" s="96"/>
      <c r="DO16" s="42" t="s">
        <v>330</v>
      </c>
      <c r="DP16" s="37">
        <f>IFERROR(VLOOKUP(DO16,'Module Items'!$A$1:$B$2587,2,FALSE),"")</f>
        <v>88150</v>
      </c>
      <c r="DQ16" s="44">
        <f>IFERROR(VLOOKUP(DO16,'Monthly Line Picks'!$A$1:$D$2000,4,FALSE),"0")</f>
        <v>17</v>
      </c>
      <c r="DR16" s="45" t="s">
        <v>331</v>
      </c>
      <c r="DS16" s="37">
        <f>IFERROR(VLOOKUP(DR16,'Module Items'!$A$1:$B$2587,2,FALSE),"")</f>
        <v>23505</v>
      </c>
      <c r="DT16" s="44">
        <f>IFERROR(VLOOKUP(DR16,'Monthly Line Picks'!$A$1:$D$2000,4,FALSE),"0")</f>
        <v>2</v>
      </c>
      <c r="DU16" s="212"/>
      <c r="DV16" s="213"/>
      <c r="DW16" s="195"/>
      <c r="DX16" s="241"/>
    </row>
    <row r="17" spans="3:128" ht="15.95" thickBot="1">
      <c r="C17" s="205"/>
      <c r="D17" s="206"/>
      <c r="E17" s="206"/>
      <c r="F17" s="210"/>
      <c r="G17" s="196"/>
      <c r="H17" s="196"/>
      <c r="I17" s="195"/>
      <c r="J17" s="196"/>
      <c r="K17" s="37">
        <f>IFERROR(VLOOKUP(K18,'Module Items'!$A$1:$B$2587,2,FALSE),"")</f>
        <v>77307</v>
      </c>
      <c r="L17" s="13">
        <f>IFERROR(VLOOKUP(L18,'Module Items'!$A$1:$B$2587,2,FALSE),"")</f>
        <v>177436</v>
      </c>
      <c r="M17" s="13">
        <f>IFERROR(VLOOKUP(M18,'Module Items'!$A$1:$B$2587,2,FALSE),"")</f>
        <v>35294</v>
      </c>
      <c r="N17" s="13">
        <f>IFERROR(VLOOKUP(N18,'Module Items'!$A$1:$B$2587,2,FALSE),"")</f>
        <v>176167</v>
      </c>
      <c r="O17" s="13">
        <f>IFERROR(VLOOKUP(O18,'Module Items'!$A$1:$B$2587,2,FALSE),"")</f>
        <v>1045</v>
      </c>
      <c r="P17" s="108">
        <f>IFERROR(VLOOKUP(P18,'Module Items'!$A$1:$B$2587,2,FALSE),"")</f>
        <v>223313</v>
      </c>
      <c r="Q17" s="37">
        <f>IFERROR(VLOOKUP(Q18,'Module Items'!$A$1:$B$2587,2,FALSE),"")</f>
        <v>155908</v>
      </c>
      <c r="R17" s="13">
        <f>IFERROR(VLOOKUP(R18,'Module Items'!$A$1:$B$2587,2,FALSE),"")</f>
        <v>125447</v>
      </c>
      <c r="S17" s="13">
        <f>IFERROR(VLOOKUP(S18,'Module Items'!$A$1:$B$2587,2,FALSE),"")</f>
        <v>84486</v>
      </c>
      <c r="T17" s="13">
        <f>IFERROR(VLOOKUP(T18,'Module Items'!$A$1:$B$2587,2,FALSE),"")</f>
        <v>60575</v>
      </c>
      <c r="U17" s="13">
        <f>IFERROR(VLOOKUP(U18,'Module Items'!$A$1:$B$2587,2,FALSE),"")</f>
        <v>140189</v>
      </c>
      <c r="V17" s="108">
        <f>IFERROR(VLOOKUP(V18,'Module Items'!$A$1:$B$2587,2,FALSE),"")</f>
        <v>138557</v>
      </c>
      <c r="W17" s="37">
        <f>IFERROR(VLOOKUP(W18,'Module Items'!$A$1:$B$2587,2,FALSE),"")</f>
        <v>156820</v>
      </c>
      <c r="X17" s="13">
        <f>IFERROR(VLOOKUP(X18,'Module Items'!$A$1:$B$2587,2,FALSE),"")</f>
        <v>156819</v>
      </c>
      <c r="Y17" s="13">
        <f>IFERROR(VLOOKUP(Y18,'Module Items'!$A$1:$B$2587,2,FALSE),"")</f>
        <v>86991</v>
      </c>
      <c r="Z17" s="13">
        <f>IFERROR(VLOOKUP(Z18,'Module Items'!$A$1:$B$2587,2,FALSE),"")</f>
        <v>112675</v>
      </c>
      <c r="AA17" s="13">
        <f>IFERROR(VLOOKUP(AA18,'Module Items'!$A$1:$B$2587,2,FALSE),"")</f>
        <v>174179</v>
      </c>
      <c r="AB17" s="108">
        <f>IFERROR(VLOOKUP(AB18,'Module Items'!$A$1:$B$2587,2,FALSE),"")</f>
        <v>1523</v>
      </c>
      <c r="AC17" s="37">
        <f>IFERROR(VLOOKUP(AC18,'Module Items'!$A$1:$B$2587,2,FALSE),"")</f>
        <v>388</v>
      </c>
      <c r="AD17" s="13">
        <f>IFERROR(VLOOKUP(AD18,'Module Items'!$A$1:$B$2587,2,FALSE),"")</f>
        <v>91603</v>
      </c>
      <c r="AE17" s="13">
        <f>IFERROR(VLOOKUP(AE18,'Module Items'!$A$1:$B$2587,2,FALSE),"")</f>
        <v>113439</v>
      </c>
      <c r="AF17" s="13">
        <f>IFERROR(VLOOKUP(AF18,'Module Items'!$A$1:$B$2587,2,FALSE),"")</f>
        <v>176611</v>
      </c>
      <c r="AG17" s="13">
        <f>IFERROR(VLOOKUP(AG18,'Module Items'!$A$1:$B$2587,2,FALSE),"")</f>
        <v>114251</v>
      </c>
      <c r="AH17" s="108">
        <f>IFERROR(VLOOKUP(AH18,'Module Items'!$A$1:$B$2587,2,FALSE),"")</f>
        <v>27578</v>
      </c>
      <c r="AI17" s="37">
        <f>IFERROR(VLOOKUP(AI18,'Module Items'!$A$1:$B$2587,2,FALSE),"")</f>
        <v>64491</v>
      </c>
      <c r="AJ17" s="13">
        <f>IFERROR(VLOOKUP(AJ18,'Module Items'!$A$1:$B$2587,2,FALSE),"")</f>
        <v>17967</v>
      </c>
      <c r="AK17" s="13">
        <f>IFERROR(VLOOKUP(AK18,'Module Items'!$A$1:$B$2587,2,FALSE),"")</f>
        <v>27577</v>
      </c>
      <c r="AL17" s="13">
        <f>IFERROR(VLOOKUP(AL18,'Module Items'!$A$1:$B$2587,2,FALSE),"")</f>
        <v>130156</v>
      </c>
      <c r="AM17" s="13">
        <f>IFERROR(VLOOKUP(AM18,'Module Items'!$A$1:$B$2587,2,FALSE),"")</f>
        <v>87481</v>
      </c>
      <c r="AN17" s="108">
        <f>IFERROR(VLOOKUP(AN18,'Module Items'!$A$1:$B$2587,2,FALSE),"")</f>
        <v>131705</v>
      </c>
      <c r="AO17" s="37">
        <f>IFERROR(VLOOKUP(AO18,'Module Items'!$A$1:$B$2587,2,FALSE),"")</f>
        <v>135745</v>
      </c>
      <c r="AP17" s="13">
        <f>IFERROR(VLOOKUP(AP18,'Module Items'!$A$1:$B$2587,2,FALSE),"")</f>
        <v>134366</v>
      </c>
      <c r="AQ17" s="13">
        <f>IFERROR(VLOOKUP(AQ18,'Module Items'!$A$1:$B$2587,2,FALSE),"")</f>
        <v>39529</v>
      </c>
      <c r="AR17" s="13">
        <f>IFERROR(VLOOKUP(AR18,'Module Items'!$A$1:$B$2587,2,FALSE),"")</f>
        <v>177161</v>
      </c>
      <c r="AS17" s="13">
        <f>IFERROR(VLOOKUP(AS18,'Module Items'!$A$1:$B$2587,2,FALSE),"")</f>
        <v>110680</v>
      </c>
      <c r="AT17" s="108">
        <f>IFERROR(VLOOKUP(AT18,'Module Items'!$A$1:$B$2587,2,FALSE),"")</f>
        <v>131860</v>
      </c>
      <c r="AU17" s="37">
        <f>IFERROR(VLOOKUP(AU18,'Module Items'!$A$1:$B$2587,2,FALSE),"")</f>
        <v>139159</v>
      </c>
      <c r="AV17" s="13">
        <f>IFERROR(VLOOKUP(AV18,'Module Items'!$A$1:$B$2587,2,FALSE),"")</f>
        <v>83929</v>
      </c>
      <c r="AW17" s="13">
        <f>IFERROR(VLOOKUP(AW18,'Module Items'!$A$1:$B$2587,2,FALSE),"")</f>
        <v>87760</v>
      </c>
      <c r="AX17" s="13">
        <f>IFERROR(VLOOKUP(AX18,'Module Items'!$A$1:$B$2587,2,FALSE),"")</f>
        <v>87756</v>
      </c>
      <c r="AY17" s="13">
        <f>IFERROR(VLOOKUP(AY18,'Module Items'!$A$1:$B$2587,2,FALSE),"")</f>
        <v>110677</v>
      </c>
      <c r="AZ17" s="108">
        <f>IFERROR(VLOOKUP(AZ18,'Module Items'!$A$1:$B$2587,2,FALSE),"")</f>
        <v>131599</v>
      </c>
      <c r="BA17" s="54" t="s">
        <v>332</v>
      </c>
      <c r="BB17" s="37">
        <f>IFERROR(VLOOKUP(BA17,'Module Items'!$A$1:$B$2587,2,FALSE),"")</f>
        <v>83415</v>
      </c>
      <c r="BC17" s="44">
        <f>IFERROR(VLOOKUP(BA17,'Monthly Line Picks'!$A$1:$D$2000,4,FALSE),"0")</f>
        <v>1</v>
      </c>
      <c r="BD17" s="47" t="s">
        <v>333</v>
      </c>
      <c r="BE17" s="37">
        <f>IFERROR(VLOOKUP(BD17,'Module Items'!$A$1:$B$2587,2,FALSE),"")</f>
        <v>105354</v>
      </c>
      <c r="BF17" s="44" t="str">
        <f>IFERROR(VLOOKUP(BD17,'Monthly Line Picks'!$A$1:$D$2000,4,FALSE),"0")</f>
        <v>0</v>
      </c>
      <c r="BG17" s="217"/>
      <c r="BH17" s="218"/>
      <c r="BI17" s="218"/>
      <c r="BJ17" s="219"/>
      <c r="BK17" s="53" t="str">
        <f>IFERROR(VLOOKUP(BJ17,'Module Items'!$A$1:$B$2587,2,FALSE),"")</f>
        <v/>
      </c>
      <c r="BL17" s="53" t="str">
        <f>IFERROR(VLOOKUP(BJ17,'Monthly Line Picks'!$A$1:$D$2101,4,FALSE),"")</f>
        <v/>
      </c>
      <c r="BM17" s="43" t="s">
        <v>334</v>
      </c>
      <c r="BN17" s="37">
        <f>IFERROR(VLOOKUP(BM17,'Module Items'!$A$1:$B$2587,2,FALSE),"")</f>
        <v>101120</v>
      </c>
      <c r="BO17" s="44" t="str">
        <f>IFERROR(VLOOKUP(BM17,'Monthly Line Picks'!$A$1:$D$2000,4,FALSE),"0")</f>
        <v>0</v>
      </c>
      <c r="BP17" s="48" t="s">
        <v>335</v>
      </c>
      <c r="BQ17" s="37">
        <f>IFERROR(VLOOKUP(BP17,'Module Items'!$A$1:$B$2587,2,FALSE),"")</f>
        <v>4133</v>
      </c>
      <c r="BR17" s="44">
        <f>IFERROR(VLOOKUP(BP17,'Monthly Line Picks'!$A$1:$D$2000,4,FALSE),"0")</f>
        <v>8</v>
      </c>
      <c r="BS17" s="233"/>
      <c r="BT17" s="234"/>
      <c r="BU17" s="235"/>
      <c r="BV17" s="39">
        <f>IFERROR(VLOOKUP(BV18,'Module Items'!$A$1:$B$2587,2,FALSE),"")</f>
        <v>178520</v>
      </c>
      <c r="BW17" s="39">
        <f>IFERROR(VLOOKUP(BW18,'Module Items'!$A$1:$B$2587,2,FALSE),"")</f>
        <v>130155</v>
      </c>
      <c r="BX17" s="39">
        <f>IFERROR(VLOOKUP(BX18,'Module Items'!$A$1:$B$2587,2,FALSE),"")</f>
        <v>132826</v>
      </c>
      <c r="BY17" s="39" t="str">
        <f>IFERROR(VLOOKUP(BY18,'Module Items'!$A$1:$B$2587,2,FALSE),"")</f>
        <v/>
      </c>
      <c r="BZ17" s="39" t="str">
        <f>IFERROR(VLOOKUP(BZ18,'Module Items'!$A$1:$B$2587,2,FALSE),"")</f>
        <v/>
      </c>
      <c r="CA17" s="39" t="str">
        <f>IFERROR(VLOOKUP(CA18,'Module Items'!$A$1:$B$2587,2,FALSE),"")</f>
        <v/>
      </c>
      <c r="CB17" s="39" t="str">
        <f>IFERROR(VLOOKUP(CB18,'Module Items'!$A$1:$B$2587,2,FALSE),"")</f>
        <v/>
      </c>
      <c r="CC17" s="39">
        <f>IFERROR(VLOOKUP(CC18,'Module Items'!$A$1:$B$2587,2,FALSE),"")</f>
        <v>111867</v>
      </c>
      <c r="CD17" s="39">
        <f>IFERROR(VLOOKUP(CD18,'Module Items'!$A$1:$B$2587,2,FALSE),"")</f>
        <v>160086</v>
      </c>
      <c r="CE17" s="39" t="str">
        <f>IFERROR(VLOOKUP(CE18,'Module Items'!$A$1:$B$2587,2,FALSE),"")</f>
        <v/>
      </c>
      <c r="CF17" s="39" t="str">
        <f>IFERROR(VLOOKUP(CF18,'Module Items'!$A$1:$B$2587,2,FALSE),"")</f>
        <v/>
      </c>
      <c r="CG17" s="39" t="str">
        <f>IFERROR(VLOOKUP(CG18,'Module Items'!$A$1:$B$2587,2,FALSE),"")</f>
        <v/>
      </c>
      <c r="CH17" s="39" t="str">
        <f>IFERROR(VLOOKUP(CH18,'Module Items'!$A$1:$B$2587,2,FALSE),"")</f>
        <v/>
      </c>
      <c r="CI17" s="39">
        <f>IFERROR(VLOOKUP(CI18,'Module Items'!$A$1:$B$2587,2,FALSE),"")</f>
        <v>174195</v>
      </c>
      <c r="CJ17" s="39">
        <f>IFERROR(VLOOKUP(CJ18,'Module Items'!$A$1:$B$2587,2,FALSE),"")</f>
        <v>176166</v>
      </c>
      <c r="CK17" s="39" t="str">
        <f>IFERROR(VLOOKUP(CK18,'Module Items'!$A$1:$B$2587,2,FALSE),"")</f>
        <v/>
      </c>
      <c r="CL17" s="39" t="str">
        <f>IFERROR(VLOOKUP(CL18,'Module Items'!$A$1:$B$2587,2,FALSE),"")</f>
        <v/>
      </c>
      <c r="CM17" s="39" t="str">
        <f>IFERROR(VLOOKUP(CM18,'Module Items'!$A$1:$B$2587,2,FALSE),"")</f>
        <v/>
      </c>
      <c r="CN17" s="39" t="str">
        <f>IFERROR(VLOOKUP(CN18,'Module Items'!$A$1:$B$2587,2,FALSE),"")</f>
        <v/>
      </c>
      <c r="CO17" s="39">
        <f>IFERROR(VLOOKUP(CO18,'Module Items'!$A$1:$B$2587,2,FALSE),"")</f>
        <v>116916</v>
      </c>
      <c r="CP17" s="39">
        <f>IFERROR(VLOOKUP(CP18,'Module Items'!$A$1:$B$2587,2,FALSE),"")</f>
        <v>111868</v>
      </c>
      <c r="CQ17" s="39" t="str">
        <f>IFERROR(VLOOKUP(CQ18,'Module Items'!$A$1:$B$2587,2,FALSE),"")</f>
        <v/>
      </c>
      <c r="CR17" s="39" t="str">
        <f>IFERROR(VLOOKUP(CR18,'Module Items'!$A$1:$B$2587,2,FALSE),"")</f>
        <v/>
      </c>
      <c r="CS17" s="39" t="str">
        <f>IFERROR(VLOOKUP(CS18,'Module Items'!$A$1:$B$2587,2,FALSE),"")</f>
        <v/>
      </c>
      <c r="CT17" s="39" t="str">
        <f>IFERROR(VLOOKUP(CT18,'Module Items'!$A$1:$B$2587,2,FALSE),"")</f>
        <v/>
      </c>
      <c r="CU17" s="39">
        <f>IFERROR(VLOOKUP(CU18,'Module Items'!$A$1:$B$2587,2,FALSE),"")</f>
        <v>157426</v>
      </c>
      <c r="CV17" s="39">
        <f>IFERROR(VLOOKUP(CV18,'Module Items'!$A$1:$B$2587,2,FALSE),"")</f>
        <v>156698</v>
      </c>
      <c r="CW17" s="39">
        <f>IFERROR(VLOOKUP(CW18,'Module Items'!$A$1:$B$2587,2,FALSE),"")</f>
        <v>100567</v>
      </c>
      <c r="CX17" s="39">
        <f>IFERROR(VLOOKUP(CX18,'Module Items'!$A$1:$B$2587,2,FALSE),"")</f>
        <v>178124</v>
      </c>
      <c r="CY17" s="39">
        <f>IFERROR(VLOOKUP(CY18,'Module Items'!$A$1:$B$2587,2,FALSE),"")</f>
        <v>155719</v>
      </c>
      <c r="CZ17" s="39">
        <f>IFERROR(VLOOKUP(CZ18,'Module Items'!$A$1:$B$2587,2,FALSE),"")</f>
        <v>118598</v>
      </c>
      <c r="DA17" s="39">
        <f>IFERROR(VLOOKUP(DA18,'Module Items'!$A$1:$B$2587,2,FALSE),"")</f>
        <v>86906</v>
      </c>
      <c r="DB17" s="39">
        <f>IFERROR(VLOOKUP(DB18,'Module Items'!$A$1:$B$2587,2,FALSE),"")</f>
        <v>137870</v>
      </c>
      <c r="DC17" s="46" t="s">
        <v>336</v>
      </c>
      <c r="DD17" s="37">
        <f>IFERROR(VLOOKUP(DC17,'Module Items'!$A$1:$B$2587,2,FALSE),"")</f>
        <v>849</v>
      </c>
      <c r="DE17" s="44">
        <f>IFERROR(VLOOKUP(DC17,'Monthly Line Picks'!$A$1:$D$2000,4,FALSE),"0")</f>
        <v>1</v>
      </c>
      <c r="DF17" s="47" t="s">
        <v>337</v>
      </c>
      <c r="DG17" s="37">
        <f>IFERROR(VLOOKUP(DF17,'Module Items'!$A$1:$B$2587,2,FALSE),"")</f>
        <v>112422</v>
      </c>
      <c r="DH17" s="44">
        <f>IFERROR(VLOOKUP(DF17,'Monthly Line Picks'!$A$1:$D$2000,4,FALSE),"0")</f>
        <v>12</v>
      </c>
      <c r="DI17" s="187"/>
      <c r="DJ17" s="187"/>
      <c r="DK17" s="96"/>
      <c r="DL17" s="96"/>
      <c r="DM17" s="96"/>
      <c r="DN17" s="96"/>
      <c r="DO17" s="43" t="s">
        <v>338</v>
      </c>
      <c r="DP17" s="37">
        <f>IFERROR(VLOOKUP(DO17,'Module Items'!$A$1:$B$2587,2,FALSE),"")</f>
        <v>109336</v>
      </c>
      <c r="DQ17" s="44" t="str">
        <f>IFERROR(VLOOKUP(DO17,'Monthly Line Picks'!$A$1:$D$2000,4,FALSE),"0")</f>
        <v>0</v>
      </c>
      <c r="DR17" s="48" t="s">
        <v>339</v>
      </c>
      <c r="DS17" s="37">
        <f>IFERROR(VLOOKUP(DR17,'Module Items'!$A$1:$B$2587,2,FALSE),"")</f>
        <v>157507</v>
      </c>
      <c r="DT17" s="44">
        <f>IFERROR(VLOOKUP(DR17,'Monthly Line Picks'!$A$1:$D$2000,4,FALSE),"0")</f>
        <v>24</v>
      </c>
      <c r="DU17" s="196"/>
      <c r="DV17" s="196"/>
      <c r="DW17" s="195"/>
      <c r="DX17" s="241"/>
    </row>
    <row r="18" spans="3:128" ht="15.95" thickBot="1">
      <c r="C18" s="205"/>
      <c r="D18" s="206"/>
      <c r="E18" s="206"/>
      <c r="F18" s="210"/>
      <c r="G18" s="196"/>
      <c r="H18" s="196"/>
      <c r="I18" s="195"/>
      <c r="J18" s="196"/>
      <c r="K18" s="37" t="s">
        <v>340</v>
      </c>
      <c r="L18" s="13" t="s">
        <v>341</v>
      </c>
      <c r="M18" s="13" t="s">
        <v>342</v>
      </c>
      <c r="N18" s="13" t="s">
        <v>343</v>
      </c>
      <c r="O18" s="13" t="s">
        <v>344</v>
      </c>
      <c r="P18" s="108" t="s">
        <v>345</v>
      </c>
      <c r="Q18" s="37" t="s">
        <v>346</v>
      </c>
      <c r="R18" s="13" t="s">
        <v>347</v>
      </c>
      <c r="S18" s="13" t="s">
        <v>348</v>
      </c>
      <c r="T18" s="13" t="s">
        <v>349</v>
      </c>
      <c r="U18" s="13" t="s">
        <v>350</v>
      </c>
      <c r="V18" s="108" t="s">
        <v>351</v>
      </c>
      <c r="W18" s="37" t="s">
        <v>352</v>
      </c>
      <c r="X18" s="13" t="s">
        <v>353</v>
      </c>
      <c r="Y18" s="13" t="s">
        <v>354</v>
      </c>
      <c r="Z18" s="13" t="s">
        <v>355</v>
      </c>
      <c r="AA18" s="13" t="s">
        <v>356</v>
      </c>
      <c r="AB18" s="108" t="s">
        <v>357</v>
      </c>
      <c r="AC18" s="37" t="s">
        <v>358</v>
      </c>
      <c r="AD18" s="13" t="s">
        <v>359</v>
      </c>
      <c r="AE18" s="13" t="s">
        <v>360</v>
      </c>
      <c r="AF18" s="13" t="s">
        <v>361</v>
      </c>
      <c r="AG18" s="13" t="s">
        <v>362</v>
      </c>
      <c r="AH18" s="108" t="s">
        <v>363</v>
      </c>
      <c r="AI18" s="37" t="s">
        <v>364</v>
      </c>
      <c r="AJ18" s="13" t="s">
        <v>365</v>
      </c>
      <c r="AK18" s="13" t="s">
        <v>366</v>
      </c>
      <c r="AL18" s="13" t="s">
        <v>367</v>
      </c>
      <c r="AM18" s="13" t="s">
        <v>368</v>
      </c>
      <c r="AN18" s="108" t="s">
        <v>369</v>
      </c>
      <c r="AO18" s="37" t="s">
        <v>370</v>
      </c>
      <c r="AP18" s="13" t="s">
        <v>371</v>
      </c>
      <c r="AQ18" s="13" t="s">
        <v>372</v>
      </c>
      <c r="AR18" s="13" t="s">
        <v>373</v>
      </c>
      <c r="AS18" s="13" t="s">
        <v>374</v>
      </c>
      <c r="AT18" s="108" t="s">
        <v>375</v>
      </c>
      <c r="AU18" s="37" t="s">
        <v>376</v>
      </c>
      <c r="AV18" s="13" t="s">
        <v>377</v>
      </c>
      <c r="AW18" s="13" t="s">
        <v>378</v>
      </c>
      <c r="AX18" s="13" t="s">
        <v>379</v>
      </c>
      <c r="AY18" s="13" t="s">
        <v>380</v>
      </c>
      <c r="AZ18" s="108" t="s">
        <v>381</v>
      </c>
      <c r="BA18" s="54" t="s">
        <v>382</v>
      </c>
      <c r="BB18" s="37" t="str">
        <f>IFERROR(VLOOKUP(BA18,'Module Items'!$A$1:$B$2587,2,FALSE),"")</f>
        <v/>
      </c>
      <c r="BC18" s="44" t="str">
        <f>IFERROR(VLOOKUP(BA18,'Monthly Line Picks'!$A$1:$D$2000,4,FALSE),"0")</f>
        <v>0</v>
      </c>
      <c r="BD18" s="47" t="s">
        <v>383</v>
      </c>
      <c r="BE18" s="37">
        <f>IFERROR(VLOOKUP(BD18,'Module Items'!$A$1:$B$2587,2,FALSE),"")</f>
        <v>61719</v>
      </c>
      <c r="BF18" s="44">
        <f>IFERROR(VLOOKUP(BD18,'Monthly Line Picks'!$A$1:$D$2000,4,FALSE),"0")</f>
        <v>2</v>
      </c>
      <c r="BG18" s="47" t="s">
        <v>384</v>
      </c>
      <c r="BH18" s="37">
        <f>IFERROR(VLOOKUP(BG18,'Module Items'!$A$1:$B$2587,2,FALSE),"")</f>
        <v>105207</v>
      </c>
      <c r="BI18" s="44" t="str">
        <f>IFERROR(VLOOKUP(BG18,'Monthly Line Picks'!$A$1:$D$2000,4,FALSE),"0")</f>
        <v>0</v>
      </c>
      <c r="BJ18" s="47" t="s">
        <v>385</v>
      </c>
      <c r="BK18" s="37">
        <f>IFERROR(VLOOKUP(BJ18,'Module Items'!$A$1:$B$2587,2,FALSE),"")</f>
        <v>109392</v>
      </c>
      <c r="BL18" s="44">
        <f>IFERROR(VLOOKUP(BJ18,'Monthly Line Picks'!$A$1:$D$2000,4,FALSE),"0")</f>
        <v>3</v>
      </c>
      <c r="BM18" s="43" t="s">
        <v>386</v>
      </c>
      <c r="BN18" s="37">
        <f>IFERROR(VLOOKUP(BM18,'Module Items'!$A$1:$B$2587,2,FALSE),"")</f>
        <v>101296</v>
      </c>
      <c r="BO18" s="44" t="str">
        <f>IFERROR(VLOOKUP(BM18,'Monthly Line Picks'!$A$1:$D$2000,4,FALSE),"0")</f>
        <v>0</v>
      </c>
      <c r="BP18" s="48" t="s">
        <v>387</v>
      </c>
      <c r="BQ18" s="37">
        <f>IFERROR(VLOOKUP(BP18,'Module Items'!$A$1:$B$2587,2,FALSE),"")</f>
        <v>101571</v>
      </c>
      <c r="BR18" s="44">
        <f>IFERROR(VLOOKUP(BP18,'Monthly Line Picks'!$A$1:$D$2000,4,FALSE),"0")</f>
        <v>1</v>
      </c>
      <c r="BS18" s="233"/>
      <c r="BT18" s="234"/>
      <c r="BU18" s="235"/>
      <c r="BV18" s="9" t="s">
        <v>388</v>
      </c>
      <c r="BW18" s="12" t="s">
        <v>389</v>
      </c>
      <c r="BX18" s="8" t="s">
        <v>390</v>
      </c>
      <c r="BY18" s="6" t="s">
        <v>391</v>
      </c>
      <c r="BZ18" s="9" t="s">
        <v>392</v>
      </c>
      <c r="CA18" s="9" t="s">
        <v>393</v>
      </c>
      <c r="CB18" s="7" t="s">
        <v>394</v>
      </c>
      <c r="CC18" s="7" t="s">
        <v>395</v>
      </c>
      <c r="CD18" s="8" t="s">
        <v>396</v>
      </c>
      <c r="CE18" s="6" t="s">
        <v>397</v>
      </c>
      <c r="CF18" s="9" t="s">
        <v>398</v>
      </c>
      <c r="CG18" s="9" t="s">
        <v>399</v>
      </c>
      <c r="CH18" s="7" t="s">
        <v>400</v>
      </c>
      <c r="CI18" s="7" t="s">
        <v>401</v>
      </c>
      <c r="CJ18" s="8" t="s">
        <v>402</v>
      </c>
      <c r="CK18" s="6" t="s">
        <v>403</v>
      </c>
      <c r="CL18" s="9" t="s">
        <v>404</v>
      </c>
      <c r="CM18" s="9" t="s">
        <v>405</v>
      </c>
      <c r="CN18" s="7" t="s">
        <v>406</v>
      </c>
      <c r="CO18" s="7" t="s">
        <v>407</v>
      </c>
      <c r="CP18" s="8" t="s">
        <v>408</v>
      </c>
      <c r="CQ18" s="6" t="s">
        <v>409</v>
      </c>
      <c r="CR18" s="9" t="s">
        <v>410</v>
      </c>
      <c r="CS18" s="9" t="s">
        <v>411</v>
      </c>
      <c r="CT18" s="7" t="s">
        <v>412</v>
      </c>
      <c r="CU18" s="7" t="s">
        <v>413</v>
      </c>
      <c r="CV18" s="8" t="s">
        <v>414</v>
      </c>
      <c r="CW18" s="6" t="s">
        <v>415</v>
      </c>
      <c r="CX18" s="9" t="s">
        <v>416</v>
      </c>
      <c r="CY18" s="9" t="s">
        <v>417</v>
      </c>
      <c r="CZ18" s="7" t="s">
        <v>418</v>
      </c>
      <c r="DA18" s="7" t="s">
        <v>419</v>
      </c>
      <c r="DB18" s="14" t="s">
        <v>420</v>
      </c>
      <c r="DC18" s="46" t="s">
        <v>421</v>
      </c>
      <c r="DD18" s="37">
        <f>IFERROR(VLOOKUP(DC18,'Module Items'!$A$1:$B$2587,2,FALSE),"")</f>
        <v>17407</v>
      </c>
      <c r="DE18" s="44">
        <f>IFERROR(VLOOKUP(DC18,'Monthly Line Picks'!$A$1:$D$2000,4,FALSE),"0")</f>
        <v>1</v>
      </c>
      <c r="DF18" s="47" t="s">
        <v>422</v>
      </c>
      <c r="DG18" s="37">
        <f>IFERROR(VLOOKUP(DF18,'Module Items'!$A$1:$B$2587,2,FALSE),"")</f>
        <v>174180</v>
      </c>
      <c r="DH18" s="44" t="str">
        <f>IFERROR(VLOOKUP(DF18,'Monthly Line Picks'!$A$1:$D$2000,4,FALSE),"0")</f>
        <v>0</v>
      </c>
      <c r="DI18" s="47" t="s">
        <v>423</v>
      </c>
      <c r="DJ18" s="37">
        <f>IFERROR(VLOOKUP(DI18,'Module Items'!$A$1:$B$2587,2,FALSE),"")</f>
        <v>158069</v>
      </c>
      <c r="DK18" s="44">
        <f>IFERROR(VLOOKUP(DI18,'Monthly Line Picks'!$A$1:$D$2000,4,FALSE),"0")</f>
        <v>2</v>
      </c>
      <c r="DL18" s="47" t="s">
        <v>424</v>
      </c>
      <c r="DM18" s="37">
        <f>IFERROR(VLOOKUP(DL18,'Module Items'!$A$1:$B$2587,2,FALSE),"")</f>
        <v>82462</v>
      </c>
      <c r="DN18" s="44">
        <f>IFERROR(VLOOKUP(DL18,'Monthly Line Picks'!$A$1:$D$2000,4,FALSE),"0")</f>
        <v>5</v>
      </c>
      <c r="DO18" s="43" t="s">
        <v>425</v>
      </c>
      <c r="DP18" s="37">
        <f>IFERROR(VLOOKUP(DO18,'Module Items'!$A$1:$B$2587,2,FALSE),"")</f>
        <v>177102</v>
      </c>
      <c r="DQ18" s="44" t="str">
        <f>IFERROR(VLOOKUP(DO18,'Monthly Line Picks'!$A$1:$D$2000,4,FALSE),"0")</f>
        <v>0</v>
      </c>
      <c r="DR18" s="48" t="s">
        <v>426</v>
      </c>
      <c r="DS18" s="37">
        <f>IFERROR(VLOOKUP(DR18,'Module Items'!$A$1:$B$2587,2,FALSE),"")</f>
        <v>365</v>
      </c>
      <c r="DT18" s="44">
        <f>IFERROR(VLOOKUP(DR18,'Monthly Line Picks'!$A$1:$D$2000,4,FALSE),"0")</f>
        <v>9</v>
      </c>
      <c r="DU18" s="196"/>
      <c r="DV18" s="196"/>
      <c r="DW18" s="195"/>
      <c r="DX18" s="241"/>
    </row>
    <row r="19" spans="3:128" ht="15.95" thickBot="1">
      <c r="C19" s="205"/>
      <c r="D19" s="206"/>
      <c r="E19" s="206"/>
      <c r="F19" s="210"/>
      <c r="G19" s="196"/>
      <c r="H19" s="196"/>
      <c r="I19" s="195"/>
      <c r="J19" s="196"/>
      <c r="K19" s="56">
        <f>IFERROR(VLOOKUP(K21,'Monthly Line Picks'!$A$1:$D$1458,4,FALSE),"0")</f>
        <v>21</v>
      </c>
      <c r="L19" s="47">
        <f>IFERROR(VLOOKUP(L21,'Monthly Line Picks'!$A$1:$D$1458,4,FALSE),"0")</f>
        <v>15</v>
      </c>
      <c r="M19" s="47">
        <f>IFERROR(VLOOKUP(M21,'Monthly Line Picks'!$A$1:$D$1458,4,FALSE),"0")</f>
        <v>42</v>
      </c>
      <c r="N19" s="47">
        <f>IFERROR(VLOOKUP(N21,'Monthly Line Picks'!$A$1:$D$1458,4,FALSE),"0")</f>
        <v>37</v>
      </c>
      <c r="O19" s="47">
        <f>IFERROR(VLOOKUP(O21,'Monthly Line Picks'!$A$1:$D$1458,4,FALSE),"0")</f>
        <v>374</v>
      </c>
      <c r="P19" s="57">
        <f>IFERROR(VLOOKUP(P21,'Monthly Line Picks'!$A$1:$D$1458,4,FALSE),"0")</f>
        <v>94</v>
      </c>
      <c r="Q19" s="56">
        <f>IFERROR(VLOOKUP(Q21,'Monthly Line Picks'!$A$1:$D$1458,4,FALSE),"0")</f>
        <v>19</v>
      </c>
      <c r="R19" s="47" t="str">
        <f>IFERROR(VLOOKUP(R21,'Monthly Line Picks'!$A$1:$D$1458,4,FALSE),"0")</f>
        <v>0</v>
      </c>
      <c r="S19" s="47">
        <f>IFERROR(VLOOKUP(S21,'Monthly Line Picks'!$A$1:$D$1458,4,FALSE),"0")</f>
        <v>77</v>
      </c>
      <c r="T19" s="47" t="str">
        <f>IFERROR(VLOOKUP(T21,'Monthly Line Picks'!$A$1:$D$1458,4,FALSE),"0")</f>
        <v>0</v>
      </c>
      <c r="U19" s="47" t="str">
        <f>IFERROR(VLOOKUP(U21,'Monthly Line Picks'!$A$1:$D$1458,4,FALSE),"0")</f>
        <v>0</v>
      </c>
      <c r="V19" s="57">
        <f>IFERROR(VLOOKUP(V21,'Monthly Line Picks'!$A$1:$D$1458,4,FALSE),"0")</f>
        <v>11</v>
      </c>
      <c r="W19" s="56" t="str">
        <f>IFERROR(VLOOKUP(W21,'Monthly Line Picks'!$A$1:$D$1458,4,FALSE),"0")</f>
        <v>0</v>
      </c>
      <c r="X19" s="47">
        <f>IFERROR(VLOOKUP(X21,'Monthly Line Picks'!$A$1:$D$1458,4,FALSE),"0")</f>
        <v>24</v>
      </c>
      <c r="Y19" s="47">
        <f>IFERROR(VLOOKUP(Y21,'Monthly Line Picks'!$A$1:$D$1458,4,FALSE),"0")</f>
        <v>30</v>
      </c>
      <c r="Z19" s="47" t="str">
        <f>IFERROR(VLOOKUP(Z21,'Monthly Line Picks'!$A$1:$D$1458,4,FALSE),"0")</f>
        <v>0</v>
      </c>
      <c r="AA19" s="47">
        <f>IFERROR(VLOOKUP(AA21,'Monthly Line Picks'!$A$1:$D$1458,4,FALSE),"0")</f>
        <v>21</v>
      </c>
      <c r="AB19" s="57" t="str">
        <f>IFERROR(VLOOKUP(AB21,'Monthly Line Picks'!$A$1:$D$1458,4,FALSE),"0")</f>
        <v>0</v>
      </c>
      <c r="AC19" s="56">
        <f>IFERROR(VLOOKUP(AC21,'Monthly Line Picks'!$A$1:$D$1458,4,FALSE),"0")</f>
        <v>64</v>
      </c>
      <c r="AD19" s="47" t="str">
        <f>IFERROR(VLOOKUP(AD21,'Monthly Line Picks'!$A$1:$D$1458,4,FALSE),"0")</f>
        <v>0</v>
      </c>
      <c r="AE19" s="47">
        <f>IFERROR(VLOOKUP(AE21,'Monthly Line Picks'!$A$1:$D$1458,4,FALSE),"0")</f>
        <v>5</v>
      </c>
      <c r="AF19" s="47">
        <f>IFERROR(VLOOKUP(AF21,'Monthly Line Picks'!$A$1:$D$1458,4,FALSE),"0")</f>
        <v>83</v>
      </c>
      <c r="AG19" s="47">
        <f>IFERROR(VLOOKUP(AG21,'Monthly Line Picks'!$A$1:$D$1458,4,FALSE),"0")</f>
        <v>5</v>
      </c>
      <c r="AH19" s="57">
        <f>IFERROR(VLOOKUP(AH21,'Monthly Line Picks'!$A$1:$D$1458,4,FALSE),"0")</f>
        <v>17</v>
      </c>
      <c r="AI19" s="56">
        <f>IFERROR(VLOOKUP(AI21,'Monthly Line Picks'!$A$1:$D$1458,4,FALSE),"0")</f>
        <v>4</v>
      </c>
      <c r="AJ19" s="47">
        <f>IFERROR(VLOOKUP(AJ21,'Monthly Line Picks'!$A$1:$D$1458,4,FALSE),"0")</f>
        <v>77</v>
      </c>
      <c r="AK19" s="47">
        <f>IFERROR(VLOOKUP(AK21,'Monthly Line Picks'!$A$1:$D$1458,4,FALSE),"0")</f>
        <v>3</v>
      </c>
      <c r="AL19" s="47">
        <f>IFERROR(VLOOKUP(AL21,'Monthly Line Picks'!$A$1:$D$1458,4,FALSE),"0")</f>
        <v>59</v>
      </c>
      <c r="AM19" s="47">
        <f>IFERROR(VLOOKUP(AM21,'Monthly Line Picks'!$A$1:$D$1458,4,FALSE),"0")</f>
        <v>23</v>
      </c>
      <c r="AN19" s="57">
        <f>IFERROR(VLOOKUP(AN21,'Monthly Line Picks'!$A$1:$D$1458,4,FALSE),"0")</f>
        <v>16</v>
      </c>
      <c r="AO19" s="56" t="str">
        <f>IFERROR(VLOOKUP(AO21,'Monthly Line Picks'!$A$1:$D$1458,4,FALSE),"0")</f>
        <v>0</v>
      </c>
      <c r="AP19" s="47">
        <f>IFERROR(VLOOKUP(AP21,'Monthly Line Picks'!$A$1:$D$1458,4,FALSE),"0")</f>
        <v>60</v>
      </c>
      <c r="AQ19" s="47">
        <f>IFERROR(VLOOKUP(AQ21,'Monthly Line Picks'!$A$1:$D$1458,4,FALSE),"0")</f>
        <v>19</v>
      </c>
      <c r="AR19" s="47" t="str">
        <f>IFERROR(VLOOKUP(AR21,'Monthly Line Picks'!$A$1:$D$1458,4,FALSE),"0")</f>
        <v>0</v>
      </c>
      <c r="AS19" s="47">
        <f>IFERROR(VLOOKUP(AS21,'Monthly Line Picks'!$A$1:$D$1458,4,FALSE),"0")</f>
        <v>8</v>
      </c>
      <c r="AT19" s="57">
        <f>IFERROR(VLOOKUP(AT21,'Monthly Line Picks'!$A$1:$D$1458,4,FALSE),"0")</f>
        <v>39</v>
      </c>
      <c r="AU19" s="56" t="str">
        <f>IFERROR(VLOOKUP(AU21,'Monthly Line Picks'!$A$1:$D$1458,4,FALSE),"0")</f>
        <v>0</v>
      </c>
      <c r="AV19" s="47">
        <f>IFERROR(VLOOKUP(AV21,'Monthly Line Picks'!$A$1:$D$1458,4,FALSE),"0")</f>
        <v>8</v>
      </c>
      <c r="AW19" s="47">
        <f>IFERROR(VLOOKUP(AW21,'Monthly Line Picks'!$A$1:$D$1458,4,FALSE),"0")</f>
        <v>5</v>
      </c>
      <c r="AX19" s="47" t="str">
        <f>IFERROR(VLOOKUP(AX21,'Monthly Line Picks'!$A$1:$D$1458,4,FALSE),"0")</f>
        <v>0</v>
      </c>
      <c r="AY19" s="47">
        <f>IFERROR(VLOOKUP(AY21,'Monthly Line Picks'!$A$1:$D$1458,4,FALSE),"0")</f>
        <v>22</v>
      </c>
      <c r="AZ19" s="57">
        <f>IFERROR(VLOOKUP(AZ21,'Monthly Line Picks'!$A$1:$D$1458,4,FALSE),"0")</f>
        <v>297</v>
      </c>
      <c r="BA19" s="54" t="s">
        <v>427</v>
      </c>
      <c r="BB19" s="37">
        <f>IFERROR(VLOOKUP(BA19,'Module Items'!$A$1:$B$2587,2,FALSE),"")</f>
        <v>81887</v>
      </c>
      <c r="BC19" s="44" t="str">
        <f>IFERROR(VLOOKUP(BA19,'Monthly Line Picks'!$A$1:$D$2000,4,FALSE),"0")</f>
        <v>0</v>
      </c>
      <c r="BD19" s="47" t="s">
        <v>428</v>
      </c>
      <c r="BE19" s="37">
        <f>IFERROR(VLOOKUP(BD19,'Module Items'!$A$1:$B$2587,2,FALSE),"")</f>
        <v>100681</v>
      </c>
      <c r="BF19" s="44">
        <f>IFERROR(VLOOKUP(BD19,'Monthly Line Picks'!$A$1:$D$2000,4,FALSE),"0")</f>
        <v>1</v>
      </c>
      <c r="BG19" s="43" t="s">
        <v>429</v>
      </c>
      <c r="BH19" s="37">
        <f>IFERROR(VLOOKUP(BG19,'Module Items'!$A$1:$B$2587,2,FALSE),"")</f>
        <v>105901</v>
      </c>
      <c r="BI19" s="44">
        <f>IFERROR(VLOOKUP(BG19,'Monthly Line Picks'!$A$1:$D$2000,4,FALSE),"0")</f>
        <v>1</v>
      </c>
      <c r="BJ19" s="47" t="s">
        <v>430</v>
      </c>
      <c r="BK19" s="37">
        <f>IFERROR(VLOOKUP(BJ19,'Module Items'!$A$1:$B$2587,2,FALSE),"")</f>
        <v>3939</v>
      </c>
      <c r="BL19" s="44" t="str">
        <f>IFERROR(VLOOKUP(BJ19,'Monthly Line Picks'!$A$1:$D$2000,4,FALSE),"0")</f>
        <v>0</v>
      </c>
      <c r="BM19" s="43" t="s">
        <v>431</v>
      </c>
      <c r="BN19" s="37">
        <f>IFERROR(VLOOKUP(BM19,'Module Items'!$A$1:$B$2587,2,FALSE),"")</f>
        <v>105893</v>
      </c>
      <c r="BO19" s="44">
        <f>IFERROR(VLOOKUP(BM19,'Monthly Line Picks'!$A$1:$D$2000,4,FALSE),"0")</f>
        <v>2</v>
      </c>
      <c r="BP19" s="48" t="s">
        <v>432</v>
      </c>
      <c r="BQ19" s="37">
        <f>IFERROR(VLOOKUP(BP19,'Module Items'!$A$1:$B$2587,2,FALSE),"")</f>
        <v>82236</v>
      </c>
      <c r="BR19" s="44" t="str">
        <f>IFERROR(VLOOKUP(BP19,'Monthly Line Picks'!$A$1:$D$2000,4,FALSE),"0")</f>
        <v>0</v>
      </c>
      <c r="BS19" s="233"/>
      <c r="BT19" s="234"/>
      <c r="BU19" s="235"/>
      <c r="BV19" s="44">
        <f>IFERROR(VLOOKUP(BV21,'Monthly Line Picks'!$A$1:$D$1458,4,FALSE),"0")</f>
        <v>8</v>
      </c>
      <c r="BW19" s="44">
        <f>IFERROR(VLOOKUP(BW21,'Monthly Line Picks'!$A$1:$D$1458,4,FALSE),"0")</f>
        <v>12</v>
      </c>
      <c r="BX19" s="44">
        <f>IFERROR(VLOOKUP(BX21,'Monthly Line Picks'!$A$1:$D$1458,4,FALSE),"0")</f>
        <v>7</v>
      </c>
      <c r="BY19" s="44" t="str">
        <f>IFERROR(VLOOKUP(BY21,'Monthly Line Picks'!$A$1:$D$1458,4,FALSE),"0")</f>
        <v>0</v>
      </c>
      <c r="BZ19" s="44" t="str">
        <f>IFERROR(VLOOKUP(BZ21,'Monthly Line Picks'!$A$1:$D$1458,4,FALSE),"0")</f>
        <v>0</v>
      </c>
      <c r="CA19" s="44" t="str">
        <f>IFERROR(VLOOKUP(CA21,'Monthly Line Picks'!$A$1:$D$1458,4,FALSE),"0")</f>
        <v>0</v>
      </c>
      <c r="CB19" s="44" t="str">
        <f>IFERROR(VLOOKUP(CB21,'Monthly Line Picks'!$A$1:$D$1458,4,FALSE),"0")</f>
        <v>0</v>
      </c>
      <c r="CC19" s="44" t="str">
        <f>IFERROR(VLOOKUP(CC21,'Monthly Line Picks'!$A$1:$D$1458,4,FALSE),"0")</f>
        <v>0</v>
      </c>
      <c r="CD19" s="44" t="str">
        <f>IFERROR(VLOOKUP(CD21,'Monthly Line Picks'!$A$1:$D$1458,4,FALSE),"0")</f>
        <v>0</v>
      </c>
      <c r="CE19" s="44" t="str">
        <f>IFERROR(VLOOKUP(CE21,'Monthly Line Picks'!$A$1:$D$1458,4,FALSE),"0")</f>
        <v>0</v>
      </c>
      <c r="CF19" s="44" t="str">
        <f>IFERROR(VLOOKUP(CF21,'Monthly Line Picks'!$A$1:$D$1458,4,FALSE),"0")</f>
        <v>0</v>
      </c>
      <c r="CG19" s="44" t="str">
        <f>IFERROR(VLOOKUP(CG21,'Monthly Line Picks'!$A$1:$D$1458,4,FALSE),"0")</f>
        <v>0</v>
      </c>
      <c r="CH19" s="44" t="str">
        <f>IFERROR(VLOOKUP(CH21,'Monthly Line Picks'!$A$1:$D$1458,4,FALSE),"0")</f>
        <v>0</v>
      </c>
      <c r="CI19" s="44" t="str">
        <f>IFERROR(VLOOKUP(CI21,'Monthly Line Picks'!$A$1:$D$1458,4,FALSE),"0")</f>
        <v>0</v>
      </c>
      <c r="CJ19" s="44" t="str">
        <f>IFERROR(VLOOKUP(CJ21,'Monthly Line Picks'!$A$1:$D$1458,4,FALSE),"0")</f>
        <v>0</v>
      </c>
      <c r="CK19" s="44" t="str">
        <f>IFERROR(VLOOKUP(CK21,'Monthly Line Picks'!$A$1:$D$1458,4,FALSE),"0")</f>
        <v>0</v>
      </c>
      <c r="CL19" s="44" t="str">
        <f>IFERROR(VLOOKUP(CL21,'Monthly Line Picks'!$A$1:$D$1458,4,FALSE),"0")</f>
        <v>0</v>
      </c>
      <c r="CM19" s="44" t="str">
        <f>IFERROR(VLOOKUP(CM21,'Monthly Line Picks'!$A$1:$D$1458,4,FALSE),"0")</f>
        <v>0</v>
      </c>
      <c r="CN19" s="44" t="str">
        <f>IFERROR(VLOOKUP(CN21,'Monthly Line Picks'!$A$1:$D$1458,4,FALSE),"0")</f>
        <v>0</v>
      </c>
      <c r="CO19" s="44" t="str">
        <f>IFERROR(VLOOKUP(CO21,'Monthly Line Picks'!$A$1:$D$1458,4,FALSE),"0")</f>
        <v>0</v>
      </c>
      <c r="CP19" s="44" t="str">
        <f>IFERROR(VLOOKUP(CP21,'Monthly Line Picks'!$A$1:$D$1458,4,FALSE),"0")</f>
        <v>0</v>
      </c>
      <c r="CQ19" s="44" t="str">
        <f>IFERROR(VLOOKUP(CQ21,'Monthly Line Picks'!$A$1:$D$1458,4,FALSE),"0")</f>
        <v>0</v>
      </c>
      <c r="CR19" s="44" t="str">
        <f>IFERROR(VLOOKUP(CR21,'Monthly Line Picks'!$A$1:$D$1458,4,FALSE),"0")</f>
        <v>0</v>
      </c>
      <c r="CS19" s="44" t="str">
        <f>IFERROR(VLOOKUP(CS21,'Monthly Line Picks'!$A$1:$D$1458,4,FALSE),"0")</f>
        <v>0</v>
      </c>
      <c r="CT19" s="44" t="str">
        <f>IFERROR(VLOOKUP(CT21,'Monthly Line Picks'!$A$1:$D$1458,4,FALSE),"0")</f>
        <v>0</v>
      </c>
      <c r="CU19" s="44" t="str">
        <f>IFERROR(VLOOKUP(CU21,'Monthly Line Picks'!$A$1:$D$1458,4,FALSE),"0")</f>
        <v>0</v>
      </c>
      <c r="CV19" s="44" t="str">
        <f>IFERROR(VLOOKUP(CV21,'Monthly Line Picks'!$A$1:$D$1458,4,FALSE),"0")</f>
        <v>0</v>
      </c>
      <c r="CW19" s="44">
        <f>IFERROR(VLOOKUP(CW21,'Monthly Line Picks'!$A$1:$D$1458,4,FALSE),"0")</f>
        <v>9</v>
      </c>
      <c r="CX19" s="44">
        <f>IFERROR(VLOOKUP(CX21,'Monthly Line Picks'!$A$1:$D$1458,4,FALSE),"0")</f>
        <v>19</v>
      </c>
      <c r="CY19" s="44">
        <f>IFERROR(VLOOKUP(CY21,'Monthly Line Picks'!$A$1:$D$1458,4,FALSE),"0")</f>
        <v>33</v>
      </c>
      <c r="CZ19" s="44">
        <f>IFERROR(VLOOKUP(CZ21,'Monthly Line Picks'!$A$1:$D$1458,4,FALSE),"0")</f>
        <v>14</v>
      </c>
      <c r="DA19" s="44">
        <f>IFERROR(VLOOKUP(DA21,'Monthly Line Picks'!$A$1:$D$1458,4,FALSE),"0")</f>
        <v>22</v>
      </c>
      <c r="DB19" s="44">
        <f>IFERROR(VLOOKUP(DB21,'Monthly Line Picks'!$A$1:$D$1458,4,FALSE),"0")</f>
        <v>13</v>
      </c>
      <c r="DC19" s="46" t="s">
        <v>433</v>
      </c>
      <c r="DD19" s="37">
        <f>IFERROR(VLOOKUP(DC19,'Module Items'!$A$1:$B$2587,2,FALSE),"")</f>
        <v>82494</v>
      </c>
      <c r="DE19" s="44">
        <f>IFERROR(VLOOKUP(DC19,'Monthly Line Picks'!$A$1:$D$2000,4,FALSE),"0")</f>
        <v>4</v>
      </c>
      <c r="DF19" s="47" t="s">
        <v>434</v>
      </c>
      <c r="DG19" s="37">
        <f>IFERROR(VLOOKUP(DF19,'Module Items'!$A$1:$B$2587,2,FALSE),"")</f>
        <v>158121</v>
      </c>
      <c r="DH19" s="44">
        <f>IFERROR(VLOOKUP(DF19,'Monthly Line Picks'!$A$1:$D$2000,4,FALSE),"0")</f>
        <v>1</v>
      </c>
      <c r="DI19" s="47" t="s">
        <v>435</v>
      </c>
      <c r="DJ19" s="37">
        <f>IFERROR(VLOOKUP(DI19,'Module Items'!$A$1:$B$2587,2,FALSE),"")</f>
        <v>157431</v>
      </c>
      <c r="DK19" s="44">
        <f>IFERROR(VLOOKUP(DI19,'Monthly Line Picks'!$A$1:$D$2000,4,FALSE),"0")</f>
        <v>2</v>
      </c>
      <c r="DL19" s="47" t="s">
        <v>436</v>
      </c>
      <c r="DM19" s="37">
        <f>IFERROR(VLOOKUP(DL19,'Module Items'!$A$1:$B$2587,2,FALSE),"")</f>
        <v>141049</v>
      </c>
      <c r="DN19" s="44">
        <f>IFERROR(VLOOKUP(DL19,'Monthly Line Picks'!$A$1:$D$2000,4,FALSE),"0")</f>
        <v>5</v>
      </c>
      <c r="DO19" s="43" t="s">
        <v>437</v>
      </c>
      <c r="DP19" s="37">
        <f>IFERROR(VLOOKUP(DO19,'Module Items'!$A$1:$B$2587,2,FALSE),"")</f>
        <v>134469</v>
      </c>
      <c r="DQ19" s="44" t="str">
        <f>IFERROR(VLOOKUP(DO19,'Monthly Line Picks'!$A$1:$D$2000,4,FALSE),"0")</f>
        <v>0</v>
      </c>
      <c r="DR19" s="48" t="s">
        <v>438</v>
      </c>
      <c r="DS19" s="37">
        <f>IFERROR(VLOOKUP(DR19,'Module Items'!$A$1:$B$2587,2,FALSE),"")</f>
        <v>72343</v>
      </c>
      <c r="DT19" s="44" t="str">
        <f>IFERROR(VLOOKUP(DR19,'Monthly Line Picks'!$A$1:$D$2000,4,FALSE),"0")</f>
        <v>0</v>
      </c>
      <c r="DU19" s="196"/>
      <c r="DV19" s="196"/>
      <c r="DW19" s="195"/>
      <c r="DX19" s="241"/>
    </row>
    <row r="20" spans="3:128" ht="15.95" thickBot="1">
      <c r="C20" s="205"/>
      <c r="D20" s="206"/>
      <c r="E20" s="206"/>
      <c r="F20" s="210"/>
      <c r="G20" s="196"/>
      <c r="H20" s="196"/>
      <c r="I20" s="195"/>
      <c r="J20" s="196"/>
      <c r="K20" s="37">
        <f>IFERROR(VLOOKUP(K21,'Module Items'!$A$1:$B$2587,2,FALSE),"")</f>
        <v>141177</v>
      </c>
      <c r="L20" s="13">
        <f>IFERROR(VLOOKUP(L21,'Module Items'!$A$1:$B$2587,2,FALSE),"")</f>
        <v>97690</v>
      </c>
      <c r="M20" s="13">
        <f>IFERROR(VLOOKUP(M21,'Module Items'!$A$1:$B$2587,2,FALSE),"")</f>
        <v>172563</v>
      </c>
      <c r="N20" s="13">
        <f>IFERROR(VLOOKUP(N21,'Module Items'!$A$1:$B$2587,2,FALSE),"")</f>
        <v>120005</v>
      </c>
      <c r="O20" s="13">
        <f>IFERROR(VLOOKUP(O21,'Module Items'!$A$1:$B$2587,2,FALSE),"")</f>
        <v>100771</v>
      </c>
      <c r="P20" s="108">
        <f>IFERROR(VLOOKUP(P21,'Module Items'!$A$1:$B$2587,2,FALSE),"")</f>
        <v>177009</v>
      </c>
      <c r="Q20" s="37">
        <f>IFERROR(VLOOKUP(Q21,'Module Items'!$A$1:$B$2587,2,FALSE),"")</f>
        <v>18869</v>
      </c>
      <c r="R20" s="13">
        <f>IFERROR(VLOOKUP(R21,'Module Items'!$A$1:$B$2587,2,FALSE),"")</f>
        <v>155913</v>
      </c>
      <c r="S20" s="13">
        <f>IFERROR(VLOOKUP(S21,'Module Items'!$A$1:$B$2587,2,FALSE),"")</f>
        <v>68</v>
      </c>
      <c r="T20" s="13">
        <f>IFERROR(VLOOKUP(T21,'Module Items'!$A$1:$B$2587,2,FALSE),"")</f>
        <v>116097</v>
      </c>
      <c r="U20" s="13">
        <f>IFERROR(VLOOKUP(U21,'Module Items'!$A$1:$B$2587,2,FALSE),"")</f>
        <v>100409</v>
      </c>
      <c r="V20" s="108">
        <f>IFERROR(VLOOKUP(V21,'Module Items'!$A$1:$B$2587,2,FALSE),"")</f>
        <v>139776</v>
      </c>
      <c r="W20" s="37">
        <f>IFERROR(VLOOKUP(W21,'Module Items'!$A$1:$B$2587,2,FALSE),"")</f>
        <v>93343</v>
      </c>
      <c r="X20" s="13">
        <f>IFERROR(VLOOKUP(X21,'Module Items'!$A$1:$B$2587,2,FALSE),"")</f>
        <v>132721</v>
      </c>
      <c r="Y20" s="13">
        <f>IFERROR(VLOOKUP(Y21,'Module Items'!$A$1:$B$2587,2,FALSE),"")</f>
        <v>137029</v>
      </c>
      <c r="Z20" s="13">
        <f>IFERROR(VLOOKUP(Z21,'Module Items'!$A$1:$B$2587,2,FALSE),"")</f>
        <v>158211</v>
      </c>
      <c r="AA20" s="13">
        <f>IFERROR(VLOOKUP(AA21,'Module Items'!$A$1:$B$2587,2,FALSE),"")</f>
        <v>53285</v>
      </c>
      <c r="AB20" s="108">
        <f>IFERROR(VLOOKUP(AB21,'Module Items'!$A$1:$B$2587,2,FALSE),"")</f>
        <v>173006</v>
      </c>
      <c r="AC20" s="37">
        <f>IFERROR(VLOOKUP(AC21,'Module Items'!$A$1:$B$2587,2,FALSE),"")</f>
        <v>140837</v>
      </c>
      <c r="AD20" s="13">
        <f>IFERROR(VLOOKUP(AD21,'Module Items'!$A$1:$B$2587,2,FALSE),"")</f>
        <v>135983</v>
      </c>
      <c r="AE20" s="13">
        <f>IFERROR(VLOOKUP(AE21,'Module Items'!$A$1:$B$2587,2,FALSE),"")</f>
        <v>159279</v>
      </c>
      <c r="AF20" s="13">
        <f>IFERROR(VLOOKUP(AF21,'Module Items'!$A$1:$B$2587,2,FALSE),"")</f>
        <v>48964</v>
      </c>
      <c r="AG20" s="13">
        <f>IFERROR(VLOOKUP(AG21,'Module Items'!$A$1:$B$2587,2,FALSE),"")</f>
        <v>126059</v>
      </c>
      <c r="AH20" s="108">
        <f>IFERROR(VLOOKUP(AH21,'Module Items'!$A$1:$B$2587,2,FALSE),"")</f>
        <v>147</v>
      </c>
      <c r="AI20" s="37">
        <f>IFERROR(VLOOKUP(AI21,'Module Items'!$A$1:$B$2587,2,FALSE),"")</f>
        <v>132598</v>
      </c>
      <c r="AJ20" s="13">
        <f>IFERROR(VLOOKUP(AJ21,'Module Items'!$A$1:$B$2587,2,FALSE),"")</f>
        <v>114252</v>
      </c>
      <c r="AK20" s="13" t="str">
        <f>IFERROR(VLOOKUP(AK21,'Module Items'!$A$1:$B$2587,2,FALSE),"")</f>
        <v/>
      </c>
      <c r="AL20" s="13">
        <f>IFERROR(VLOOKUP(AL21,'Module Items'!$A$1:$B$2587,2,FALSE),"")</f>
        <v>107</v>
      </c>
      <c r="AM20" s="13">
        <f>IFERROR(VLOOKUP(AM21,'Module Items'!$A$1:$B$2587,2,FALSE),"")</f>
        <v>9208</v>
      </c>
      <c r="AN20" s="108">
        <f>IFERROR(VLOOKUP(AN21,'Module Items'!$A$1:$B$2587,2,FALSE),"")</f>
        <v>35193</v>
      </c>
      <c r="AO20" s="37">
        <f>IFERROR(VLOOKUP(AO21,'Module Items'!$A$1:$B$2587,2,FALSE),"")</f>
        <v>155999</v>
      </c>
      <c r="AP20" s="13" t="str">
        <f>IFERROR(VLOOKUP(AP21,'Module Items'!$A$1:$B$2587,2,FALSE),"")</f>
        <v>OPEN</v>
      </c>
      <c r="AQ20" s="13">
        <f>IFERROR(VLOOKUP(AQ21,'Module Items'!$A$1:$B$2587,2,FALSE),"")</f>
        <v>138519</v>
      </c>
      <c r="AR20" s="13">
        <f>IFERROR(VLOOKUP(AR21,'Module Items'!$A$1:$B$2587,2,FALSE),"")</f>
        <v>132706</v>
      </c>
      <c r="AS20" s="13">
        <f>IFERROR(VLOOKUP(AS21,'Module Items'!$A$1:$B$2587,2,FALSE),"")</f>
        <v>1822</v>
      </c>
      <c r="AT20" s="108">
        <f>IFERROR(VLOOKUP(AT21,'Module Items'!$A$1:$B$2587,2,FALSE),"")</f>
        <v>177437</v>
      </c>
      <c r="AU20" s="37">
        <f>IFERROR(VLOOKUP(AU21,'Module Items'!$A$1:$B$2587,2,FALSE),"")</f>
        <v>61369</v>
      </c>
      <c r="AV20" s="13">
        <f>IFERROR(VLOOKUP(AV21,'Module Items'!$A$1:$B$2587,2,FALSE),"")</f>
        <v>39346</v>
      </c>
      <c r="AW20" s="13">
        <f>IFERROR(VLOOKUP(AW21,'Module Items'!$A$1:$B$2587,2,FALSE),"")</f>
        <v>141154</v>
      </c>
      <c r="AX20" s="13">
        <f>IFERROR(VLOOKUP(AX21,'Module Items'!$A$1:$B$2587,2,FALSE),"")</f>
        <v>37154</v>
      </c>
      <c r="AY20" s="13">
        <f>IFERROR(VLOOKUP(AY21,'Module Items'!$A$1:$B$2587,2,FALSE),"")</f>
        <v>100970</v>
      </c>
      <c r="AZ20" s="108">
        <f>IFERROR(VLOOKUP(AZ21,'Module Items'!$A$1:$B$2587,2,FALSE),"")</f>
        <v>178640</v>
      </c>
      <c r="BA20" s="54" t="s">
        <v>439</v>
      </c>
      <c r="BB20" s="37">
        <f>IFERROR(VLOOKUP(BA20,'Module Items'!$A$1:$B$2587,2,FALSE),"")</f>
        <v>108160</v>
      </c>
      <c r="BC20" s="44" t="str">
        <f>IFERROR(VLOOKUP(BA20,'Monthly Line Picks'!$A$1:$D$2000,4,FALSE),"0")</f>
        <v>0</v>
      </c>
      <c r="BD20" s="47" t="s">
        <v>440</v>
      </c>
      <c r="BE20" s="37">
        <f>IFERROR(VLOOKUP(BD20,'Module Items'!$A$1:$B$2587,2,FALSE),"")</f>
        <v>58217</v>
      </c>
      <c r="BF20" s="44">
        <f>IFERROR(VLOOKUP(BD20,'Monthly Line Picks'!$A$1:$D$2000,4,FALSE),"0")</f>
        <v>4</v>
      </c>
      <c r="BG20" s="47" t="s">
        <v>441</v>
      </c>
      <c r="BH20" s="37">
        <f>IFERROR(VLOOKUP(BG20,'Module Items'!$A$1:$B$2587,2,FALSE),"")</f>
        <v>71465</v>
      </c>
      <c r="BI20" s="44" t="str">
        <f>IFERROR(VLOOKUP(BG20,'Monthly Line Picks'!$A$1:$D$2000,4,FALSE),"0")</f>
        <v>0</v>
      </c>
      <c r="BJ20" s="47" t="s">
        <v>442</v>
      </c>
      <c r="BK20" s="37">
        <f>IFERROR(VLOOKUP(BJ20,'Module Items'!$A$1:$B$2587,2,FALSE),"")</f>
        <v>65310</v>
      </c>
      <c r="BL20" s="44" t="str">
        <f>IFERROR(VLOOKUP(BJ20,'Monthly Line Picks'!$A$1:$D$2000,4,FALSE),"0")</f>
        <v>0</v>
      </c>
      <c r="BM20" s="43" t="s">
        <v>443</v>
      </c>
      <c r="BN20" s="37">
        <f>IFERROR(VLOOKUP(BM20,'Module Items'!$A$1:$B$2587,2,FALSE),"")</f>
        <v>66660</v>
      </c>
      <c r="BO20" s="44">
        <f>IFERROR(VLOOKUP(BM20,'Monthly Line Picks'!$A$1:$D$2000,4,FALSE),"0")</f>
        <v>2</v>
      </c>
      <c r="BP20" s="48" t="s">
        <v>444</v>
      </c>
      <c r="BQ20" s="37">
        <f>IFERROR(VLOOKUP(BP20,'Module Items'!$A$1:$B$2587,2,FALSE),"")</f>
        <v>132333</v>
      </c>
      <c r="BR20" s="44" t="str">
        <f>IFERROR(VLOOKUP(BP20,'Monthly Line Picks'!$A$1:$D$2000,4,FALSE),"0")</f>
        <v>0</v>
      </c>
      <c r="BS20" s="233"/>
      <c r="BT20" s="234"/>
      <c r="BU20" s="235"/>
      <c r="BV20" s="39">
        <f>IFERROR(VLOOKUP(BV21,'Module Items'!$A$1:$B$2587,2,FALSE),"")</f>
        <v>127300</v>
      </c>
      <c r="BW20" s="39">
        <f>IFERROR(VLOOKUP(BW21,'Module Items'!$A$1:$B$2587,2,FALSE),"")</f>
        <v>18557</v>
      </c>
      <c r="BX20" s="39">
        <f>IFERROR(VLOOKUP(BX21,'Module Items'!$A$1:$B$2587,2,FALSE),"")</f>
        <v>37456</v>
      </c>
      <c r="BY20" s="39" t="str">
        <f>IFERROR(VLOOKUP(BY21,'Module Items'!$A$1:$B$2587,2,FALSE),"")</f>
        <v/>
      </c>
      <c r="BZ20" s="39" t="str">
        <f>IFERROR(VLOOKUP(BZ21,'Module Items'!$A$1:$B$2587,2,FALSE),"")</f>
        <v/>
      </c>
      <c r="CA20" s="39" t="str">
        <f>IFERROR(VLOOKUP(CA21,'Module Items'!$A$1:$B$2587,2,FALSE),"")</f>
        <v/>
      </c>
      <c r="CB20" s="39" t="str">
        <f>IFERROR(VLOOKUP(CB21,'Module Items'!$A$1:$B$2587,2,FALSE),"")</f>
        <v/>
      </c>
      <c r="CC20" s="39" t="str">
        <f>IFERROR(VLOOKUP(CC21,'Module Items'!$A$1:$B$2587,2,FALSE),"")</f>
        <v/>
      </c>
      <c r="CD20" s="39" t="str">
        <f>IFERROR(VLOOKUP(CD21,'Module Items'!$A$1:$B$2587,2,FALSE),"")</f>
        <v/>
      </c>
      <c r="CE20" s="39" t="str">
        <f>IFERROR(VLOOKUP(CE21,'Module Items'!$A$1:$B$2587,2,FALSE),"")</f>
        <v/>
      </c>
      <c r="CF20" s="39" t="str">
        <f>IFERROR(VLOOKUP(CF21,'Module Items'!$A$1:$B$2587,2,FALSE),"")</f>
        <v/>
      </c>
      <c r="CG20" s="39" t="str">
        <f>IFERROR(VLOOKUP(CG21,'Module Items'!$A$1:$B$2587,2,FALSE),"")</f>
        <v/>
      </c>
      <c r="CH20" s="39" t="str">
        <f>IFERROR(VLOOKUP(CH21,'Module Items'!$A$1:$B$2587,2,FALSE),"")</f>
        <v/>
      </c>
      <c r="CI20" s="39" t="str">
        <f>IFERROR(VLOOKUP(CI21,'Module Items'!$A$1:$B$2587,2,FALSE),"")</f>
        <v/>
      </c>
      <c r="CJ20" s="39" t="str">
        <f>IFERROR(VLOOKUP(CJ21,'Module Items'!$A$1:$B$2587,2,FALSE),"")</f>
        <v/>
      </c>
      <c r="CK20" s="39" t="str">
        <f>IFERROR(VLOOKUP(CK21,'Module Items'!$A$1:$B$2587,2,FALSE),"")</f>
        <v/>
      </c>
      <c r="CL20" s="39" t="str">
        <f>IFERROR(VLOOKUP(CL21,'Module Items'!$A$1:$B$2587,2,FALSE),"")</f>
        <v/>
      </c>
      <c r="CM20" s="39" t="str">
        <f>IFERROR(VLOOKUP(CM21,'Module Items'!$A$1:$B$2587,2,FALSE),"")</f>
        <v/>
      </c>
      <c r="CN20" s="39" t="str">
        <f>IFERROR(VLOOKUP(CN21,'Module Items'!$A$1:$B$2587,2,FALSE),"")</f>
        <v/>
      </c>
      <c r="CO20" s="39" t="str">
        <f>IFERROR(VLOOKUP(CO21,'Module Items'!$A$1:$B$2587,2,FALSE),"")</f>
        <v/>
      </c>
      <c r="CP20" s="39" t="str">
        <f>IFERROR(VLOOKUP(CP21,'Module Items'!$A$1:$B$2587,2,FALSE),"")</f>
        <v/>
      </c>
      <c r="CQ20" s="39" t="str">
        <f>IFERROR(VLOOKUP(CQ21,'Module Items'!$A$1:$B$2587,2,FALSE),"")</f>
        <v/>
      </c>
      <c r="CR20" s="39" t="str">
        <f>IFERROR(VLOOKUP(CR21,'Module Items'!$A$1:$B$2587,2,FALSE),"")</f>
        <v/>
      </c>
      <c r="CS20" s="39" t="str">
        <f>IFERROR(VLOOKUP(CS21,'Module Items'!$A$1:$B$2587,2,FALSE),"")</f>
        <v/>
      </c>
      <c r="CT20" s="39" t="str">
        <f>IFERROR(VLOOKUP(CT21,'Module Items'!$A$1:$B$2587,2,FALSE),"")</f>
        <v/>
      </c>
      <c r="CU20" s="39" t="str">
        <f>IFERROR(VLOOKUP(CU21,'Module Items'!$A$1:$B$2587,2,FALSE),"")</f>
        <v/>
      </c>
      <c r="CV20" s="39" t="str">
        <f>IFERROR(VLOOKUP(CV21,'Module Items'!$A$1:$B$2587,2,FALSE),"")</f>
        <v/>
      </c>
      <c r="CW20" s="39">
        <f>IFERROR(VLOOKUP(CW21,'Module Items'!$A$1:$B$2587,2,FALSE),"")</f>
        <v>27574</v>
      </c>
      <c r="CX20" s="39">
        <f>IFERROR(VLOOKUP(CX21,'Module Items'!$A$1:$B$2587,2,FALSE),"")</f>
        <v>124172</v>
      </c>
      <c r="CY20" s="39">
        <f>IFERROR(VLOOKUP(CY21,'Module Items'!$A$1:$B$2587,2,FALSE),"")</f>
        <v>94360</v>
      </c>
      <c r="CZ20" s="39">
        <f>IFERROR(VLOOKUP(CZ21,'Module Items'!$A$1:$B$2587,2,FALSE),"")</f>
        <v>94726</v>
      </c>
      <c r="DA20" s="39">
        <f>IFERROR(VLOOKUP(DA21,'Module Items'!$A$1:$B$2587,2,FALSE),"")</f>
        <v>101009</v>
      </c>
      <c r="DB20" s="39">
        <f>IFERROR(VLOOKUP(DB21,'Module Items'!$A$1:$B$2587,2,FALSE),"")</f>
        <v>33299</v>
      </c>
      <c r="DC20" s="46" t="s">
        <v>445</v>
      </c>
      <c r="DD20" s="37">
        <f>IFERROR(VLOOKUP(DC20,'Module Items'!$A$1:$B$2587,2,FALSE),"")</f>
        <v>37892</v>
      </c>
      <c r="DE20" s="44">
        <f>IFERROR(VLOOKUP(DC20,'Monthly Line Picks'!$A$1:$D$2000,4,FALSE),"0")</f>
        <v>1</v>
      </c>
      <c r="DF20" s="47" t="s">
        <v>446</v>
      </c>
      <c r="DG20" s="37">
        <f>IFERROR(VLOOKUP(DF20,'Module Items'!$A$1:$B$2587,2,FALSE),"")</f>
        <v>18058</v>
      </c>
      <c r="DH20" s="44">
        <f>IFERROR(VLOOKUP(DF20,'Monthly Line Picks'!$A$1:$D$2000,4,FALSE),"0")</f>
        <v>3</v>
      </c>
      <c r="DI20" s="47" t="s">
        <v>447</v>
      </c>
      <c r="DJ20" s="37">
        <f>IFERROR(VLOOKUP(DI20,'Module Items'!$A$1:$B$2587,2,FALSE),"")</f>
        <v>59361</v>
      </c>
      <c r="DK20" s="44">
        <f>IFERROR(VLOOKUP(DI20,'Monthly Line Picks'!$A$1:$D$2000,4,FALSE),"0")</f>
        <v>4</v>
      </c>
      <c r="DL20" s="47" t="s">
        <v>448</v>
      </c>
      <c r="DM20" s="37">
        <f>IFERROR(VLOOKUP(DL20,'Module Items'!$A$1:$B$2587,2,FALSE),"")</f>
        <v>306</v>
      </c>
      <c r="DN20" s="44">
        <f>IFERROR(VLOOKUP(DL20,'Monthly Line Picks'!$A$1:$D$2000,4,FALSE),"0")</f>
        <v>13</v>
      </c>
      <c r="DO20" s="43" t="s">
        <v>449</v>
      </c>
      <c r="DP20" s="37">
        <f>IFERROR(VLOOKUP(DO20,'Module Items'!$A$1:$B$2587,2,FALSE),"")</f>
        <v>137308</v>
      </c>
      <c r="DQ20" s="44">
        <f>IFERROR(VLOOKUP(DO20,'Monthly Line Picks'!$A$1:$D$2000,4,FALSE),"0")</f>
        <v>3</v>
      </c>
      <c r="DR20" s="48" t="s">
        <v>450</v>
      </c>
      <c r="DS20" s="37">
        <f>IFERROR(VLOOKUP(DR20,'Module Items'!$A$1:$B$2587,2,FALSE),"")</f>
        <v>176177</v>
      </c>
      <c r="DT20" s="44" t="str">
        <f>IFERROR(VLOOKUP(DR20,'Monthly Line Picks'!$A$1:$D$2000,4,FALSE),"0")</f>
        <v>0</v>
      </c>
      <c r="DU20" s="196"/>
      <c r="DV20" s="196"/>
      <c r="DW20" s="195"/>
      <c r="DX20" s="241"/>
    </row>
    <row r="21" spans="3:128" ht="15.95" thickBot="1">
      <c r="C21" s="205"/>
      <c r="D21" s="206"/>
      <c r="E21" s="206"/>
      <c r="F21" s="210"/>
      <c r="G21" s="199"/>
      <c r="H21" s="199"/>
      <c r="I21" s="199"/>
      <c r="J21" s="199"/>
      <c r="K21" s="37" t="s">
        <v>451</v>
      </c>
      <c r="L21" s="13" t="s">
        <v>452</v>
      </c>
      <c r="M21" s="13" t="s">
        <v>453</v>
      </c>
      <c r="N21" s="13" t="s">
        <v>454</v>
      </c>
      <c r="O21" s="13" t="s">
        <v>455</v>
      </c>
      <c r="P21" s="108" t="s">
        <v>456</v>
      </c>
      <c r="Q21" s="37" t="s">
        <v>457</v>
      </c>
      <c r="R21" s="13" t="s">
        <v>458</v>
      </c>
      <c r="S21" s="13" t="s">
        <v>459</v>
      </c>
      <c r="T21" s="13" t="s">
        <v>460</v>
      </c>
      <c r="U21" s="13" t="s">
        <v>461</v>
      </c>
      <c r="V21" s="108" t="s">
        <v>462</v>
      </c>
      <c r="W21" s="37" t="s">
        <v>463</v>
      </c>
      <c r="X21" s="13" t="s">
        <v>464</v>
      </c>
      <c r="Y21" s="13" t="s">
        <v>465</v>
      </c>
      <c r="Z21" s="13" t="s">
        <v>466</v>
      </c>
      <c r="AA21" s="13" t="s">
        <v>467</v>
      </c>
      <c r="AB21" s="108" t="s">
        <v>468</v>
      </c>
      <c r="AC21" s="37" t="s">
        <v>469</v>
      </c>
      <c r="AD21" s="13" t="s">
        <v>470</v>
      </c>
      <c r="AE21" s="13" t="s">
        <v>471</v>
      </c>
      <c r="AF21" s="13" t="s">
        <v>472</v>
      </c>
      <c r="AG21" s="13" t="s">
        <v>473</v>
      </c>
      <c r="AH21" s="108" t="s">
        <v>474</v>
      </c>
      <c r="AI21" s="37" t="s">
        <v>475</v>
      </c>
      <c r="AJ21" s="13" t="s">
        <v>476</v>
      </c>
      <c r="AK21" s="13" t="s">
        <v>477</v>
      </c>
      <c r="AL21" s="13" t="s">
        <v>478</v>
      </c>
      <c r="AM21" s="13" t="s">
        <v>479</v>
      </c>
      <c r="AN21" s="108" t="s">
        <v>480</v>
      </c>
      <c r="AO21" s="37" t="s">
        <v>481</v>
      </c>
      <c r="AP21" s="13" t="s">
        <v>482</v>
      </c>
      <c r="AQ21" s="13" t="s">
        <v>483</v>
      </c>
      <c r="AR21" s="13" t="s">
        <v>484</v>
      </c>
      <c r="AS21" s="13" t="s">
        <v>485</v>
      </c>
      <c r="AT21" s="108" t="s">
        <v>486</v>
      </c>
      <c r="AU21" s="37" t="s">
        <v>487</v>
      </c>
      <c r="AV21" s="13" t="s">
        <v>488</v>
      </c>
      <c r="AW21" s="13" t="s">
        <v>489</v>
      </c>
      <c r="AX21" s="13" t="s">
        <v>490</v>
      </c>
      <c r="AY21" s="13" t="s">
        <v>491</v>
      </c>
      <c r="AZ21" s="108" t="s">
        <v>492</v>
      </c>
      <c r="BA21" s="54" t="s">
        <v>493</v>
      </c>
      <c r="BB21" s="37">
        <f>IFERROR(VLOOKUP(BA21,'Module Items'!$A$1:$B$2587,2,FALSE),"")</f>
        <v>125972</v>
      </c>
      <c r="BC21" s="44" t="str">
        <f>IFERROR(VLOOKUP(BA21,'Monthly Line Picks'!$A$1:$D$2000,4,FALSE),"0")</f>
        <v>0</v>
      </c>
      <c r="BD21" s="47" t="s">
        <v>494</v>
      </c>
      <c r="BE21" s="37">
        <f>IFERROR(VLOOKUP(BD21,'Module Items'!$A$1:$B$2587,2,FALSE),"")</f>
        <v>60520</v>
      </c>
      <c r="BF21" s="44" t="str">
        <f>IFERROR(VLOOKUP(BD21,'Monthly Line Picks'!$A$1:$D$2000,4,FALSE),"0")</f>
        <v>0</v>
      </c>
      <c r="BG21" s="47" t="s">
        <v>495</v>
      </c>
      <c r="BH21" s="37">
        <f>IFERROR(VLOOKUP(BG21,'Module Items'!$A$1:$B$2587,2,FALSE),"")</f>
        <v>105892</v>
      </c>
      <c r="BI21" s="44" t="str">
        <f>IFERROR(VLOOKUP(BG21,'Monthly Line Picks'!$A$1:$D$2000,4,FALSE),"0")</f>
        <v>0</v>
      </c>
      <c r="BJ21" s="47" t="s">
        <v>496</v>
      </c>
      <c r="BK21" s="37">
        <f>IFERROR(VLOOKUP(BJ21,'Module Items'!$A$1:$B$2587,2,FALSE),"")</f>
        <v>41936</v>
      </c>
      <c r="BL21" s="44" t="str">
        <f>IFERROR(VLOOKUP(BJ21,'Monthly Line Picks'!$A$1:$D$2000,4,FALSE),"0")</f>
        <v>0</v>
      </c>
      <c r="BM21" s="43" t="s">
        <v>497</v>
      </c>
      <c r="BN21" s="37">
        <f>IFERROR(VLOOKUP(BM21,'Module Items'!$A$1:$B$2587,2,FALSE),"")</f>
        <v>125713</v>
      </c>
      <c r="BO21" s="44" t="str">
        <f>IFERROR(VLOOKUP(BM21,'Monthly Line Picks'!$A$1:$D$2000,4,FALSE),"0")</f>
        <v>0</v>
      </c>
      <c r="BP21" s="48" t="s">
        <v>498</v>
      </c>
      <c r="BQ21" s="37">
        <f>IFERROR(VLOOKUP(BP21,'Module Items'!$A$1:$B$2587,2,FALSE),"")</f>
        <v>60589</v>
      </c>
      <c r="BR21" s="44">
        <f>IFERROR(VLOOKUP(BP21,'Monthly Line Picks'!$A$1:$D$2000,4,FALSE),"0")</f>
        <v>4</v>
      </c>
      <c r="BS21" s="233"/>
      <c r="BT21" s="234"/>
      <c r="BU21" s="235"/>
      <c r="BV21" s="9" t="s">
        <v>499</v>
      </c>
      <c r="BW21" s="12" t="s">
        <v>500</v>
      </c>
      <c r="BX21" s="8" t="s">
        <v>501</v>
      </c>
      <c r="BY21" s="6" t="s">
        <v>502</v>
      </c>
      <c r="BZ21" s="9" t="s">
        <v>503</v>
      </c>
      <c r="CA21" s="9" t="s">
        <v>504</v>
      </c>
      <c r="CB21" s="7" t="s">
        <v>505</v>
      </c>
      <c r="CC21" s="7" t="s">
        <v>506</v>
      </c>
      <c r="CD21" s="8" t="s">
        <v>507</v>
      </c>
      <c r="CE21" s="6" t="s">
        <v>508</v>
      </c>
      <c r="CF21" s="9" t="s">
        <v>509</v>
      </c>
      <c r="CG21" s="9" t="s">
        <v>510</v>
      </c>
      <c r="CH21" s="7" t="s">
        <v>511</v>
      </c>
      <c r="CI21" s="7" t="s">
        <v>512</v>
      </c>
      <c r="CJ21" s="8" t="s">
        <v>513</v>
      </c>
      <c r="CK21" s="6" t="s">
        <v>514</v>
      </c>
      <c r="CL21" s="9" t="s">
        <v>515</v>
      </c>
      <c r="CM21" s="9" t="s">
        <v>516</v>
      </c>
      <c r="CN21" s="7" t="s">
        <v>517</v>
      </c>
      <c r="CO21" s="7" t="s">
        <v>518</v>
      </c>
      <c r="CP21" s="8" t="s">
        <v>519</v>
      </c>
      <c r="CQ21" s="6" t="s">
        <v>520</v>
      </c>
      <c r="CR21" s="9" t="s">
        <v>521</v>
      </c>
      <c r="CS21" s="9" t="s">
        <v>522</v>
      </c>
      <c r="CT21" s="7" t="s">
        <v>523</v>
      </c>
      <c r="CU21" s="7" t="s">
        <v>524</v>
      </c>
      <c r="CV21" s="8" t="s">
        <v>525</v>
      </c>
      <c r="CW21" s="6" t="s">
        <v>526</v>
      </c>
      <c r="CX21" s="9" t="s">
        <v>527</v>
      </c>
      <c r="CY21" s="9" t="s">
        <v>528</v>
      </c>
      <c r="CZ21" s="7" t="s">
        <v>529</v>
      </c>
      <c r="DA21" s="7" t="s">
        <v>530</v>
      </c>
      <c r="DB21" s="14" t="s">
        <v>531</v>
      </c>
      <c r="DC21" s="46" t="s">
        <v>532</v>
      </c>
      <c r="DD21" s="37">
        <f>IFERROR(VLOOKUP(DC21,'Module Items'!$A$1:$B$2587,2,FALSE),"")</f>
        <v>77663</v>
      </c>
      <c r="DE21" s="44">
        <f>IFERROR(VLOOKUP(DC21,'Monthly Line Picks'!$A$1:$D$2000,4,FALSE),"0")</f>
        <v>1</v>
      </c>
      <c r="DF21" s="47" t="s">
        <v>533</v>
      </c>
      <c r="DG21" s="37">
        <f>IFERROR(VLOOKUP(DF21,'Module Items'!$A$1:$B$2587,2,FALSE),"")</f>
        <v>158001</v>
      </c>
      <c r="DH21" s="44">
        <f>IFERROR(VLOOKUP(DF21,'Monthly Line Picks'!$A$1:$D$2000,4,FALSE),"0")</f>
        <v>5</v>
      </c>
      <c r="DI21" s="47" t="s">
        <v>534</v>
      </c>
      <c r="DJ21" s="37">
        <f>IFERROR(VLOOKUP(DI21,'Module Items'!$A$1:$B$2587,2,FALSE),"")</f>
        <v>11491</v>
      </c>
      <c r="DK21" s="44">
        <f>IFERROR(VLOOKUP(DI21,'Monthly Line Picks'!$A$1:$D$2000,4,FALSE),"0")</f>
        <v>3</v>
      </c>
      <c r="DL21" s="47" t="s">
        <v>535</v>
      </c>
      <c r="DM21" s="37">
        <f>IFERROR(VLOOKUP(DL21,'Module Items'!$A$1:$B$2587,2,FALSE),"")</f>
        <v>1078</v>
      </c>
      <c r="DN21" s="44">
        <f>IFERROR(VLOOKUP(DL21,'Monthly Line Picks'!$A$1:$D$2000,4,FALSE),"0")</f>
        <v>2</v>
      </c>
      <c r="DO21" s="43" t="s">
        <v>536</v>
      </c>
      <c r="DP21" s="37">
        <f>IFERROR(VLOOKUP(DO21,'Module Items'!$A$1:$B$2587,2,FALSE),"")</f>
        <v>17408</v>
      </c>
      <c r="DQ21" s="44">
        <f>IFERROR(VLOOKUP(DO21,'Monthly Line Picks'!$A$1:$D$2000,4,FALSE),"0")</f>
        <v>12</v>
      </c>
      <c r="DR21" s="48" t="s">
        <v>537</v>
      </c>
      <c r="DS21" s="37">
        <f>IFERROR(VLOOKUP(DR21,'Module Items'!$A$1:$B$2587,2,FALSE),"")</f>
        <v>223208</v>
      </c>
      <c r="DT21" s="44">
        <f>IFERROR(VLOOKUP(DR21,'Monthly Line Picks'!$A$1:$D$2000,4,FALSE),"0")</f>
        <v>4</v>
      </c>
      <c r="DU21" s="199"/>
      <c r="DV21" s="199"/>
      <c r="DW21" s="199"/>
      <c r="DX21" s="239"/>
    </row>
    <row r="22" spans="3:128" ht="15.95" thickBot="1">
      <c r="C22" s="205"/>
      <c r="D22" s="206"/>
      <c r="E22" s="206"/>
      <c r="F22" s="210"/>
      <c r="G22" s="199"/>
      <c r="H22" s="199"/>
      <c r="I22" s="199"/>
      <c r="J22" s="199"/>
      <c r="K22" s="56">
        <f>IFERROR(VLOOKUP(K24,'Monthly Line Picks'!$A$1:$D$1458,4,FALSE),"0")</f>
        <v>11</v>
      </c>
      <c r="L22" s="47">
        <f>IFERROR(VLOOKUP(L24,'Monthly Line Picks'!$A$1:$D$1458,4,FALSE),"0")</f>
        <v>23</v>
      </c>
      <c r="M22" s="47">
        <f>IFERROR(VLOOKUP(M24,'Monthly Line Picks'!$A$1:$D$1458,4,FALSE),"0")</f>
        <v>46</v>
      </c>
      <c r="N22" s="47">
        <f>IFERROR(VLOOKUP(N24,'Monthly Line Picks'!$A$1:$D$1458,4,FALSE),"0")</f>
        <v>7</v>
      </c>
      <c r="O22" s="47">
        <f>IFERROR(VLOOKUP(O24,'Monthly Line Picks'!$A$1:$D$1458,4,FALSE),"0")</f>
        <v>53</v>
      </c>
      <c r="P22" s="57">
        <f>IFERROR(VLOOKUP(P24,'Monthly Line Picks'!$A$1:$D$1458,4,FALSE),"0")</f>
        <v>8</v>
      </c>
      <c r="Q22" s="56" t="str">
        <f>IFERROR(VLOOKUP(Q24,'Monthly Line Picks'!$A$1:$D$1458,4,FALSE),"0")</f>
        <v>0</v>
      </c>
      <c r="R22" s="47">
        <f>IFERROR(VLOOKUP(R24,'Monthly Line Picks'!$A$1:$D$1458,4,FALSE),"0")</f>
        <v>94</v>
      </c>
      <c r="S22" s="47">
        <f>IFERROR(VLOOKUP(S24,'Monthly Line Picks'!$A$1:$D$1458,4,FALSE),"0")</f>
        <v>13</v>
      </c>
      <c r="T22" s="47">
        <f>IFERROR(VLOOKUP(T24,'Monthly Line Picks'!$A$1:$D$1458,4,FALSE),"0")</f>
        <v>21</v>
      </c>
      <c r="U22" s="47">
        <f>IFERROR(VLOOKUP(U24,'Monthly Line Picks'!$A$1:$D$1458,4,FALSE),"0")</f>
        <v>36</v>
      </c>
      <c r="V22" s="57">
        <f>IFERROR(VLOOKUP(V24,'Monthly Line Picks'!$A$1:$D$1458,4,FALSE),"0")</f>
        <v>8</v>
      </c>
      <c r="W22" s="56">
        <f>IFERROR(VLOOKUP(W24,'Monthly Line Picks'!$A$1:$D$1458,4,FALSE),"0")</f>
        <v>10</v>
      </c>
      <c r="X22" s="47">
        <f>IFERROR(VLOOKUP(X24,'Monthly Line Picks'!$A$1:$D$1458,4,FALSE),"0")</f>
        <v>8</v>
      </c>
      <c r="Y22" s="47">
        <f>IFERROR(VLOOKUP(Y24,'Monthly Line Picks'!$A$1:$D$1458,4,FALSE),"0")</f>
        <v>194</v>
      </c>
      <c r="Z22" s="47">
        <f>IFERROR(VLOOKUP(Z24,'Monthly Line Picks'!$A$1:$D$1458,4,FALSE),"0")</f>
        <v>6</v>
      </c>
      <c r="AA22" s="47">
        <f>IFERROR(VLOOKUP(AA24,'Monthly Line Picks'!$A$1:$D$1458,4,FALSE),"0")</f>
        <v>14</v>
      </c>
      <c r="AB22" s="57" t="str">
        <f>IFERROR(VLOOKUP(AB24,'Monthly Line Picks'!$A$1:$D$1458,4,FALSE),"0")</f>
        <v>0</v>
      </c>
      <c r="AC22" s="56" t="str">
        <f>IFERROR(VLOOKUP(AC24,'Monthly Line Picks'!$A$1:$D$1458,4,FALSE),"0")</f>
        <v>0</v>
      </c>
      <c r="AD22" s="47">
        <f>IFERROR(VLOOKUP(AD24,'Monthly Line Picks'!$A$1:$D$1458,4,FALSE),"0")</f>
        <v>58</v>
      </c>
      <c r="AE22" s="47" t="str">
        <f>IFERROR(VLOOKUP(AE24,'Monthly Line Picks'!$A$1:$D$1458,4,FALSE),"0")</f>
        <v>0</v>
      </c>
      <c r="AF22" s="47">
        <f>IFERROR(VLOOKUP(AF24,'Monthly Line Picks'!$A$1:$D$1458,4,FALSE),"0")</f>
        <v>48</v>
      </c>
      <c r="AG22" s="47" t="str">
        <f>IFERROR(VLOOKUP(AG24,'Monthly Line Picks'!$A$1:$D$1458,4,FALSE),"0")</f>
        <v>0</v>
      </c>
      <c r="AH22" s="57">
        <f>IFERROR(VLOOKUP(AH24,'Monthly Line Picks'!$A$1:$D$1458,4,FALSE),"0")</f>
        <v>9</v>
      </c>
      <c r="AI22" s="56">
        <f>IFERROR(VLOOKUP(AI24,'Monthly Line Picks'!$A$1:$D$1458,4,FALSE),"0")</f>
        <v>12</v>
      </c>
      <c r="AJ22" s="47">
        <f>IFERROR(VLOOKUP(AJ24,'Monthly Line Picks'!$A$1:$D$1458,4,FALSE),"0")</f>
        <v>21</v>
      </c>
      <c r="AK22" s="47">
        <f>IFERROR(VLOOKUP(AK24,'Monthly Line Picks'!$A$1:$D$1458,4,FALSE),"0")</f>
        <v>20</v>
      </c>
      <c r="AL22" s="47" t="str">
        <f>IFERROR(VLOOKUP(AL24,'Monthly Line Picks'!$A$1:$D$1458,4,FALSE),"0")</f>
        <v>0</v>
      </c>
      <c r="AM22" s="47" t="str">
        <f>IFERROR(VLOOKUP(AM24,'Monthly Line Picks'!$A$1:$D$1458,4,FALSE),"0")</f>
        <v>0</v>
      </c>
      <c r="AN22" s="57">
        <f>IFERROR(VLOOKUP(AN24,'Monthly Line Picks'!$A$1:$D$1458,4,FALSE),"0")</f>
        <v>4</v>
      </c>
      <c r="AO22" s="56" t="str">
        <f>IFERROR(VLOOKUP(AO24,'Monthly Line Picks'!$A$1:$D$1458,4,FALSE),"0")</f>
        <v>0</v>
      </c>
      <c r="AP22" s="47" t="str">
        <f>IFERROR(VLOOKUP(AP24,'Monthly Line Picks'!$A$1:$D$1458,4,FALSE),"0")</f>
        <v>0</v>
      </c>
      <c r="AQ22" s="47" t="str">
        <f>IFERROR(VLOOKUP(AQ24,'Monthly Line Picks'!$A$1:$D$1458,4,FALSE),"0")</f>
        <v>0</v>
      </c>
      <c r="AR22" s="47" t="str">
        <f>IFERROR(VLOOKUP(AR24,'Monthly Line Picks'!$A$1:$D$1458,4,FALSE),"0")</f>
        <v>0</v>
      </c>
      <c r="AS22" s="47">
        <f>IFERROR(VLOOKUP(AS24,'Monthly Line Picks'!$A$1:$D$1458,4,FALSE),"0")</f>
        <v>23</v>
      </c>
      <c r="AT22" s="57">
        <f>IFERROR(VLOOKUP(AT24,'Monthly Line Picks'!$A$1:$D$1458,4,FALSE),"0")</f>
        <v>8</v>
      </c>
      <c r="AU22" s="56" t="str">
        <f>IFERROR(VLOOKUP(AU24,'Monthly Line Picks'!$A$1:$D$1458,4,FALSE),"0")</f>
        <v>0</v>
      </c>
      <c r="AV22" s="47">
        <f>IFERROR(VLOOKUP(AV24,'Monthly Line Picks'!$A$1:$D$1458,4,FALSE),"0")</f>
        <v>11</v>
      </c>
      <c r="AW22" s="47" t="str">
        <f>IFERROR(VLOOKUP(AW24,'Monthly Line Picks'!$A$1:$D$1458,4,FALSE),"0")</f>
        <v>0</v>
      </c>
      <c r="AX22" s="47" t="str">
        <f>IFERROR(VLOOKUP(AX24,'Monthly Line Picks'!$A$1:$D$1458,4,FALSE),"0")</f>
        <v>0</v>
      </c>
      <c r="AY22" s="47">
        <f>IFERROR(VLOOKUP(AY24,'Monthly Line Picks'!$A$1:$D$1458,4,FALSE),"0")</f>
        <v>14</v>
      </c>
      <c r="AZ22" s="57">
        <f>IFERROR(VLOOKUP(AZ24,'Monthly Line Picks'!$A$1:$D$1458,4,FALSE),"0")</f>
        <v>13</v>
      </c>
      <c r="BA22" s="54" t="s">
        <v>538</v>
      </c>
      <c r="BB22" s="37">
        <f>IFERROR(VLOOKUP(BA22,'Module Items'!$A$1:$B$2587,2,FALSE),"")</f>
        <v>66944</v>
      </c>
      <c r="BC22" s="44" t="str">
        <f>IFERROR(VLOOKUP(BA22,'Monthly Line Picks'!$A$1:$D$2000,4,FALSE),"0")</f>
        <v>0</v>
      </c>
      <c r="BD22" s="47" t="s">
        <v>539</v>
      </c>
      <c r="BE22" s="37">
        <f>IFERROR(VLOOKUP(BD22,'Module Items'!$A$1:$B$2587,2,FALSE),"")</f>
        <v>127351</v>
      </c>
      <c r="BF22" s="44" t="str">
        <f>IFERROR(VLOOKUP(BD22,'Monthly Line Picks'!$A$1:$D$2000,4,FALSE),"0")</f>
        <v>0</v>
      </c>
      <c r="BG22" s="47" t="s">
        <v>540</v>
      </c>
      <c r="BH22" s="37">
        <f>IFERROR(VLOOKUP(BG22,'Module Items'!$A$1:$B$2587,2,FALSE),"")</f>
        <v>133655</v>
      </c>
      <c r="BI22" s="44" t="str">
        <f>IFERROR(VLOOKUP(BG22,'Monthly Line Picks'!$A$1:$D$2000,4,FALSE),"0")</f>
        <v>0</v>
      </c>
      <c r="BJ22" s="47" t="s">
        <v>541</v>
      </c>
      <c r="BK22" s="37">
        <f>IFERROR(VLOOKUP(BJ22,'Module Items'!$A$1:$B$2587,2,FALSE),"")</f>
        <v>101359</v>
      </c>
      <c r="BL22" s="44">
        <f>IFERROR(VLOOKUP(BJ22,'Monthly Line Picks'!$A$1:$D$2000,4,FALSE),"0")</f>
        <v>3</v>
      </c>
      <c r="BM22" s="43" t="s">
        <v>542</v>
      </c>
      <c r="BN22" s="37">
        <f>IFERROR(VLOOKUP(BM22,'Module Items'!$A$1:$B$2587,2,FALSE),"")</f>
        <v>77717</v>
      </c>
      <c r="BO22" s="44" t="str">
        <f>IFERROR(VLOOKUP(BM22,'Monthly Line Picks'!$A$1:$D$2000,4,FALSE),"0")</f>
        <v>0</v>
      </c>
      <c r="BP22" s="48" t="s">
        <v>543</v>
      </c>
      <c r="BQ22" s="37">
        <f>IFERROR(VLOOKUP(BP22,'Module Items'!$A$1:$B$2587,2,FALSE),"")</f>
        <v>71432</v>
      </c>
      <c r="BR22" s="44">
        <f>IFERROR(VLOOKUP(BP22,'Monthly Line Picks'!$A$1:$D$2000,4,FALSE),"0")</f>
        <v>1</v>
      </c>
      <c r="BS22" s="233"/>
      <c r="BT22" s="234"/>
      <c r="BU22" s="235"/>
      <c r="BV22" s="44">
        <f>IFERROR(VLOOKUP(BV24,'Monthly Line Picks'!$A$1:$D$1458,4,FALSE),"0")</f>
        <v>18</v>
      </c>
      <c r="BW22" s="44">
        <f>IFERROR(VLOOKUP(BW24,'Monthly Line Picks'!$A$1:$D$1458,4,FALSE),"0")</f>
        <v>4</v>
      </c>
      <c r="BX22" s="44">
        <f>IFERROR(VLOOKUP(BX24,'Monthly Line Picks'!$A$1:$D$1458,4,FALSE),"0")</f>
        <v>6</v>
      </c>
      <c r="BY22" s="44" t="str">
        <f>IFERROR(VLOOKUP(BY24,'Monthly Line Picks'!$A$1:$D$1458,4,FALSE),"0")</f>
        <v>0</v>
      </c>
      <c r="BZ22" s="44" t="str">
        <f>IFERROR(VLOOKUP(BZ24,'Monthly Line Picks'!$A$1:$D$1458,4,FALSE),"0")</f>
        <v>0</v>
      </c>
      <c r="CA22" s="44" t="str">
        <f>IFERROR(VLOOKUP(CA24,'Monthly Line Picks'!$A$1:$D$1458,4,FALSE),"0")</f>
        <v>0</v>
      </c>
      <c r="CB22" s="44" t="str">
        <f>IFERROR(VLOOKUP(CB24,'Monthly Line Picks'!$A$1:$D$1458,4,FALSE),"0")</f>
        <v>0</v>
      </c>
      <c r="CC22" s="44" t="str">
        <f>IFERROR(VLOOKUP(CC24,'Monthly Line Picks'!$A$1:$D$1458,4,FALSE),"0")</f>
        <v>0</v>
      </c>
      <c r="CD22" s="44" t="str">
        <f>IFERROR(VLOOKUP(CD24,'Monthly Line Picks'!$A$1:$D$1458,4,FALSE),"0")</f>
        <v>0</v>
      </c>
      <c r="CE22" s="44" t="str">
        <f>IFERROR(VLOOKUP(CE24,'Monthly Line Picks'!$A$1:$D$1458,4,FALSE),"0")</f>
        <v>0</v>
      </c>
      <c r="CF22" s="44" t="str">
        <f>IFERROR(VLOOKUP(CF24,'Monthly Line Picks'!$A$1:$D$1458,4,FALSE),"0")</f>
        <v>0</v>
      </c>
      <c r="CG22" s="44" t="str">
        <f>IFERROR(VLOOKUP(CG24,'Monthly Line Picks'!$A$1:$D$1458,4,FALSE),"0")</f>
        <v>0</v>
      </c>
      <c r="CH22" s="44" t="str">
        <f>IFERROR(VLOOKUP(CH24,'Monthly Line Picks'!$A$1:$D$1458,4,FALSE),"0")</f>
        <v>0</v>
      </c>
      <c r="CI22" s="44" t="str">
        <f>IFERROR(VLOOKUP(CI24,'Monthly Line Picks'!$A$1:$D$1458,4,FALSE),"0")</f>
        <v>0</v>
      </c>
      <c r="CJ22" s="44" t="str">
        <f>IFERROR(VLOOKUP(CJ24,'Monthly Line Picks'!$A$1:$D$1458,4,FALSE),"0")</f>
        <v>0</v>
      </c>
      <c r="CK22" s="44" t="str">
        <f>IFERROR(VLOOKUP(CK24,'Monthly Line Picks'!$A$1:$D$1458,4,FALSE),"0")</f>
        <v>0</v>
      </c>
      <c r="CL22" s="44" t="str">
        <f>IFERROR(VLOOKUP(CL24,'Monthly Line Picks'!$A$1:$D$1458,4,FALSE),"0")</f>
        <v>0</v>
      </c>
      <c r="CM22" s="44" t="str">
        <f>IFERROR(VLOOKUP(CM24,'Monthly Line Picks'!$A$1:$D$1458,4,FALSE),"0")</f>
        <v>0</v>
      </c>
      <c r="CN22" s="44" t="str">
        <f>IFERROR(VLOOKUP(CN24,'Monthly Line Picks'!$A$1:$D$1458,4,FALSE),"0")</f>
        <v>0</v>
      </c>
      <c r="CO22" s="44" t="str">
        <f>IFERROR(VLOOKUP(CO24,'Monthly Line Picks'!$A$1:$D$1458,4,FALSE),"0")</f>
        <v>0</v>
      </c>
      <c r="CP22" s="44" t="str">
        <f>IFERROR(VLOOKUP(CP24,'Monthly Line Picks'!$A$1:$D$1458,4,FALSE),"0")</f>
        <v>0</v>
      </c>
      <c r="CQ22" s="44" t="str">
        <f>IFERROR(VLOOKUP(CQ24,'Monthly Line Picks'!$A$1:$D$1458,4,FALSE),"0")</f>
        <v>0</v>
      </c>
      <c r="CR22" s="44" t="str">
        <f>IFERROR(VLOOKUP(CR24,'Monthly Line Picks'!$A$1:$D$1458,4,FALSE),"0")</f>
        <v>0</v>
      </c>
      <c r="CS22" s="44" t="str">
        <f>IFERROR(VLOOKUP(CS24,'Monthly Line Picks'!$A$1:$D$1458,4,FALSE),"0")</f>
        <v>0</v>
      </c>
      <c r="CT22" s="44" t="str">
        <f>IFERROR(VLOOKUP(CT24,'Monthly Line Picks'!$A$1:$D$1458,4,FALSE),"0")</f>
        <v>0</v>
      </c>
      <c r="CU22" s="44" t="str">
        <f>IFERROR(VLOOKUP(CU24,'Monthly Line Picks'!$A$1:$D$1458,4,FALSE),"0")</f>
        <v>0</v>
      </c>
      <c r="CV22" s="44" t="str">
        <f>IFERROR(VLOOKUP(CV24,'Monthly Line Picks'!$A$1:$D$1458,4,FALSE),"0")</f>
        <v>0</v>
      </c>
      <c r="CW22" s="44">
        <f>IFERROR(VLOOKUP(CW24,'Monthly Line Picks'!$A$1:$D$1458,4,FALSE),"0")</f>
        <v>6</v>
      </c>
      <c r="CX22" s="44">
        <f>IFERROR(VLOOKUP(CX24,'Monthly Line Picks'!$A$1:$D$1458,4,FALSE),"0")</f>
        <v>6</v>
      </c>
      <c r="CY22" s="44">
        <f>IFERROR(VLOOKUP(CY24,'Monthly Line Picks'!$A$1:$D$1458,4,FALSE),"0")</f>
        <v>15</v>
      </c>
      <c r="CZ22" s="44">
        <f>IFERROR(VLOOKUP(CZ24,'Monthly Line Picks'!$A$1:$D$1458,4,FALSE),"0")</f>
        <v>11</v>
      </c>
      <c r="DA22" s="44" t="str">
        <f>IFERROR(VLOOKUP(DA24,'Monthly Line Picks'!$A$1:$D$1458,4,FALSE),"0")</f>
        <v>0</v>
      </c>
      <c r="DB22" s="44">
        <f>IFERROR(VLOOKUP(DB24,'Monthly Line Picks'!$A$1:$D$1458,4,FALSE),"0")</f>
        <v>12</v>
      </c>
      <c r="DC22" s="46" t="s">
        <v>544</v>
      </c>
      <c r="DD22" s="37">
        <f>IFERROR(VLOOKUP(DC22,'Module Items'!$A$1:$B$2587,2,FALSE),"")</f>
        <v>11797</v>
      </c>
      <c r="DE22" s="44" t="str">
        <f>IFERROR(VLOOKUP(DC22,'Monthly Line Picks'!$A$1:$D$2000,4,FALSE),"0")</f>
        <v>0</v>
      </c>
      <c r="DF22" s="47" t="s">
        <v>545</v>
      </c>
      <c r="DG22" s="37">
        <f>IFERROR(VLOOKUP(DF22,'Module Items'!$A$1:$B$2587,2,FALSE),"")</f>
        <v>18396</v>
      </c>
      <c r="DH22" s="44">
        <f>IFERROR(VLOOKUP(DF22,'Monthly Line Picks'!$A$1:$D$2000,4,FALSE),"0")</f>
        <v>18</v>
      </c>
      <c r="DI22" s="47" t="s">
        <v>546</v>
      </c>
      <c r="DJ22" s="37">
        <f>IFERROR(VLOOKUP(DI22,'Module Items'!$A$1:$B$2587,2,FALSE),"")</f>
        <v>96259</v>
      </c>
      <c r="DK22" s="44">
        <f>IFERROR(VLOOKUP(DI22,'Monthly Line Picks'!$A$1:$D$2000,4,FALSE),"0")</f>
        <v>9</v>
      </c>
      <c r="DL22" s="47" t="s">
        <v>547</v>
      </c>
      <c r="DM22" s="37">
        <f>IFERROR(VLOOKUP(DL22,'Module Items'!$A$1:$B$2587,2,FALSE),"")</f>
        <v>10881</v>
      </c>
      <c r="DN22" s="44">
        <f>IFERROR(VLOOKUP(DL22,'Monthly Line Picks'!$A$1:$D$2000,4,FALSE),"0")</f>
        <v>4</v>
      </c>
      <c r="DO22" s="43" t="s">
        <v>548</v>
      </c>
      <c r="DP22" s="37">
        <f>IFERROR(VLOOKUP(DO22,'Module Items'!$A$1:$B$2587,2,FALSE),"")</f>
        <v>131519</v>
      </c>
      <c r="DQ22" s="44" t="str">
        <f>IFERROR(VLOOKUP(DO22,'Monthly Line Picks'!$A$1:$D$2000,4,FALSE),"0")</f>
        <v>0</v>
      </c>
      <c r="DR22" s="48" t="s">
        <v>549</v>
      </c>
      <c r="DS22" s="37">
        <f>IFERROR(VLOOKUP(DR22,'Module Items'!$A$1:$B$2587,2,FALSE),"")</f>
        <v>134069</v>
      </c>
      <c r="DT22" s="44">
        <f>IFERROR(VLOOKUP(DR22,'Monthly Line Picks'!$A$1:$D$2000,4,FALSE),"0")</f>
        <v>8</v>
      </c>
      <c r="DU22" s="199"/>
      <c r="DV22" s="199"/>
      <c r="DW22" s="199"/>
      <c r="DX22" s="239"/>
    </row>
    <row r="23" spans="3:128" ht="15.95" thickBot="1">
      <c r="C23" s="205"/>
      <c r="D23" s="206"/>
      <c r="E23" s="206"/>
      <c r="F23" s="210"/>
      <c r="G23" s="199"/>
      <c r="H23" s="199"/>
      <c r="I23" s="199"/>
      <c r="J23" s="199"/>
      <c r="K23" s="37">
        <f>IFERROR(VLOOKUP(K24,'Module Items'!$A$1:$B$2587,2,FALSE),"")</f>
        <v>132789</v>
      </c>
      <c r="L23" s="13">
        <f>IFERROR(VLOOKUP(L24,'Module Items'!$A$1:$B$2587,2,FALSE),"")</f>
        <v>157330</v>
      </c>
      <c r="M23" s="13">
        <f>IFERROR(VLOOKUP(M24,'Module Items'!$A$1:$B$2587,2,FALSE),"")</f>
        <v>60733</v>
      </c>
      <c r="N23" s="13">
        <f>IFERROR(VLOOKUP(N24,'Module Items'!$A$1:$B$2587,2,FALSE),"")</f>
        <v>77270</v>
      </c>
      <c r="O23" s="13">
        <f>IFERROR(VLOOKUP(O24,'Module Items'!$A$1:$B$2587,2,FALSE),"")</f>
        <v>130169</v>
      </c>
      <c r="P23" s="108">
        <f>IFERROR(VLOOKUP(P24,'Module Items'!$A$1:$B$2587,2,FALSE),"")</f>
        <v>468</v>
      </c>
      <c r="Q23" s="37">
        <f>IFERROR(VLOOKUP(Q24,'Module Items'!$A$1:$B$2587,2,FALSE),"")</f>
        <v>177178</v>
      </c>
      <c r="R23" s="13">
        <f>IFERROR(VLOOKUP(R24,'Module Items'!$A$1:$B$2587,2,FALSE),"")</f>
        <v>99855</v>
      </c>
      <c r="S23" s="13">
        <f>IFERROR(VLOOKUP(S24,'Module Items'!$A$1:$B$2587,2,FALSE),"")</f>
        <v>6270</v>
      </c>
      <c r="T23" s="13">
        <f>IFERROR(VLOOKUP(T24,'Module Items'!$A$1:$B$2587,2,FALSE),"")</f>
        <v>108877</v>
      </c>
      <c r="U23" s="13">
        <f>IFERROR(VLOOKUP(U24,'Module Items'!$A$1:$B$2587,2,FALSE),"")</f>
        <v>175876</v>
      </c>
      <c r="V23" s="108">
        <f>IFERROR(VLOOKUP(V24,'Module Items'!$A$1:$B$2587,2,FALSE),"")</f>
        <v>172870</v>
      </c>
      <c r="W23" s="37">
        <f>IFERROR(VLOOKUP(W24,'Module Items'!$A$1:$B$2587,2,FALSE),"")</f>
        <v>119935</v>
      </c>
      <c r="X23" s="13">
        <f>IFERROR(VLOOKUP(X24,'Module Items'!$A$1:$B$2587,2,FALSE),"")</f>
        <v>178082</v>
      </c>
      <c r="Y23" s="13">
        <f>IFERROR(VLOOKUP(Y24,'Module Items'!$A$1:$B$2587,2,FALSE),"")</f>
        <v>116843</v>
      </c>
      <c r="Z23" s="13">
        <f>IFERROR(VLOOKUP(Z24,'Module Items'!$A$1:$B$2587,2,FALSE),"")</f>
        <v>114357</v>
      </c>
      <c r="AA23" s="13">
        <f>IFERROR(VLOOKUP(AA24,'Module Items'!$A$1:$B$2587,2,FALSE),"")</f>
        <v>726</v>
      </c>
      <c r="AB23" s="108">
        <f>IFERROR(VLOOKUP(AB24,'Module Items'!$A$1:$B$2587,2,FALSE),"")</f>
        <v>81131</v>
      </c>
      <c r="AC23" s="37">
        <f>IFERROR(VLOOKUP(AC24,'Module Items'!$A$1:$B$2587,2,FALSE),"")</f>
        <v>100105</v>
      </c>
      <c r="AD23" s="13">
        <f>IFERROR(VLOOKUP(AD24,'Module Items'!$A$1:$B$2587,2,FALSE),"")</f>
        <v>114182</v>
      </c>
      <c r="AE23" s="13">
        <f>IFERROR(VLOOKUP(AE24,'Module Items'!$A$1:$B$2587,2,FALSE),"")</f>
        <v>177014</v>
      </c>
      <c r="AF23" s="13">
        <f>IFERROR(VLOOKUP(AF24,'Module Items'!$A$1:$B$2587,2,FALSE),"")</f>
        <v>6669</v>
      </c>
      <c r="AG23" s="13">
        <f>IFERROR(VLOOKUP(AG24,'Module Items'!$A$1:$B$2587,2,FALSE),"")</f>
        <v>1022</v>
      </c>
      <c r="AH23" s="108">
        <f>IFERROR(VLOOKUP(AH24,'Module Items'!$A$1:$B$2587,2,FALSE),"")</f>
        <v>126007</v>
      </c>
      <c r="AI23" s="37">
        <f>IFERROR(VLOOKUP(AI24,'Module Items'!$A$1:$B$2587,2,FALSE),"")</f>
        <v>131954</v>
      </c>
      <c r="AJ23" s="13">
        <f>IFERROR(VLOOKUP(AJ24,'Module Items'!$A$1:$B$2587,2,FALSE),"")</f>
        <v>172868</v>
      </c>
      <c r="AK23" s="13">
        <f>IFERROR(VLOOKUP(AK24,'Module Items'!$A$1:$B$2587,2,FALSE),"")</f>
        <v>131408</v>
      </c>
      <c r="AL23" s="13">
        <f>IFERROR(VLOOKUP(AL24,'Module Items'!$A$1:$B$2587,2,FALSE),"")</f>
        <v>111259</v>
      </c>
      <c r="AM23" s="13">
        <f>IFERROR(VLOOKUP(AM24,'Module Items'!$A$1:$B$2587,2,FALSE),"")</f>
        <v>112834</v>
      </c>
      <c r="AN23" s="108">
        <f>IFERROR(VLOOKUP(AN24,'Module Items'!$A$1:$B$2587,2,FALSE),"")</f>
        <v>35098</v>
      </c>
      <c r="AO23" s="37">
        <f>IFERROR(VLOOKUP(AO24,'Module Items'!$A$1:$B$2587,2,FALSE),"")</f>
        <v>443</v>
      </c>
      <c r="AP23" s="13">
        <f>IFERROR(VLOOKUP(AP24,'Module Items'!$A$1:$B$2587,2,FALSE),"")</f>
        <v>132790</v>
      </c>
      <c r="AQ23" s="13">
        <f>IFERROR(VLOOKUP(AQ24,'Module Items'!$A$1:$B$2587,2,FALSE),"")</f>
        <v>136239</v>
      </c>
      <c r="AR23" s="13">
        <f>IFERROR(VLOOKUP(AR24,'Module Items'!$A$1:$B$2587,2,FALSE),"")</f>
        <v>113448</v>
      </c>
      <c r="AS23" s="13">
        <f>IFERROR(VLOOKUP(AS24,'Module Items'!$A$1:$B$2587,2,FALSE),"")</f>
        <v>1498</v>
      </c>
      <c r="AT23" s="108">
        <f>IFERROR(VLOOKUP(AT24,'Module Items'!$A$1:$B$2587,2,FALSE),"")</f>
        <v>142566</v>
      </c>
      <c r="AU23" s="37">
        <f>IFERROR(VLOOKUP(AU24,'Module Items'!$A$1:$B$2587,2,FALSE),"")</f>
        <v>110485</v>
      </c>
      <c r="AV23" s="13">
        <f>IFERROR(VLOOKUP(AV24,'Module Items'!$A$1:$B$2587,2,FALSE),"")</f>
        <v>177046</v>
      </c>
      <c r="AW23" s="13" t="str">
        <f>IFERROR(VLOOKUP(AW24,'Module Items'!$A$1:$B$2587,2,FALSE),"")</f>
        <v/>
      </c>
      <c r="AX23" s="13">
        <f>IFERROR(VLOOKUP(AX24,'Module Items'!$A$1:$B$2587,2,FALSE),"")</f>
        <v>54376</v>
      </c>
      <c r="AY23" s="13" t="str">
        <f>IFERROR(VLOOKUP(AY24,'Module Items'!$A$1:$B$2587,2,FALSE),"")</f>
        <v/>
      </c>
      <c r="AZ23" s="108">
        <f>IFERROR(VLOOKUP(AZ24,'Module Items'!$A$1:$B$2587,2,FALSE),"")</f>
        <v>39527</v>
      </c>
      <c r="BA23" s="54" t="s">
        <v>550</v>
      </c>
      <c r="BB23" s="37">
        <f>IFERROR(VLOOKUP(BA23,'Module Items'!$A$1:$B$2587,2,FALSE),"")</f>
        <v>363</v>
      </c>
      <c r="BC23" s="44">
        <f>IFERROR(VLOOKUP(BA23,'Monthly Line Picks'!$A$1:$D$2000,4,FALSE),"0")</f>
        <v>9</v>
      </c>
      <c r="BD23" s="47" t="s">
        <v>551</v>
      </c>
      <c r="BE23" s="37">
        <f>IFERROR(VLOOKUP(BD23,'Module Items'!$A$1:$B$2587,2,FALSE),"")</f>
        <v>17995</v>
      </c>
      <c r="BF23" s="44" t="str">
        <f>IFERROR(VLOOKUP(BD23,'Monthly Line Picks'!$A$1:$D$2000,4,FALSE),"0")</f>
        <v>0</v>
      </c>
      <c r="BG23" s="47" t="s">
        <v>552</v>
      </c>
      <c r="BH23" s="37">
        <f>IFERROR(VLOOKUP(BG23,'Module Items'!$A$1:$B$2587,2,FALSE),"")</f>
        <v>105894</v>
      </c>
      <c r="BI23" s="44" t="str">
        <f>IFERROR(VLOOKUP(BG23,'Monthly Line Picks'!$A$1:$D$2000,4,FALSE),"0")</f>
        <v>0</v>
      </c>
      <c r="BJ23" s="47" t="s">
        <v>553</v>
      </c>
      <c r="BK23" s="37">
        <f>IFERROR(VLOOKUP(BJ23,'Module Items'!$A$1:$B$2587,2,FALSE),"")</f>
        <v>100992</v>
      </c>
      <c r="BL23" s="44" t="str">
        <f>IFERROR(VLOOKUP(BJ23,'Monthly Line Picks'!$A$1:$D$2000,4,FALSE),"0")</f>
        <v>0</v>
      </c>
      <c r="BM23" s="43" t="s">
        <v>554</v>
      </c>
      <c r="BN23" s="37">
        <f>IFERROR(VLOOKUP(BM23,'Module Items'!$A$1:$B$2587,2,FALSE),"")</f>
        <v>2942</v>
      </c>
      <c r="BO23" s="44" t="str">
        <f>IFERROR(VLOOKUP(BM23,'Monthly Line Picks'!$A$1:$D$2000,4,FALSE),"0")</f>
        <v>0</v>
      </c>
      <c r="BP23" s="48" t="s">
        <v>555</v>
      </c>
      <c r="BQ23" s="37">
        <f>IFERROR(VLOOKUP(BP23,'Module Items'!$A$1:$B$2587,2,FALSE),"")</f>
        <v>71433</v>
      </c>
      <c r="BR23" s="44">
        <f>IFERROR(VLOOKUP(BP23,'Monthly Line Picks'!$A$1:$D$2000,4,FALSE),"0")</f>
        <v>1</v>
      </c>
      <c r="BS23" s="233"/>
      <c r="BT23" s="234"/>
      <c r="BU23" s="235"/>
      <c r="BV23" s="39">
        <f>IFERROR(VLOOKUP(BV24,'Module Items'!$A$1:$B$2587,2,FALSE),"")</f>
        <v>42862</v>
      </c>
      <c r="BW23" s="39" t="str">
        <f>IFERROR(VLOOKUP(BW24,'Module Items'!$A$1:$B$2587,2,FALSE),"")</f>
        <v/>
      </c>
      <c r="BX23" s="39">
        <f>IFERROR(VLOOKUP(BX24,'Module Items'!$A$1:$B$2587,2,FALSE),"")</f>
        <v>60788</v>
      </c>
      <c r="BY23" s="39" t="str">
        <f>IFERROR(VLOOKUP(BY24,'Module Items'!$A$1:$B$2587,2,FALSE),"")</f>
        <v/>
      </c>
      <c r="BZ23" s="39" t="str">
        <f>IFERROR(VLOOKUP(BZ24,'Module Items'!$A$1:$B$2587,2,FALSE),"")</f>
        <v/>
      </c>
      <c r="CA23" s="39" t="str">
        <f>IFERROR(VLOOKUP(CA24,'Module Items'!$A$1:$B$2587,2,FALSE),"")</f>
        <v/>
      </c>
      <c r="CB23" s="39" t="str">
        <f>IFERROR(VLOOKUP(CB24,'Module Items'!$A$1:$B$2587,2,FALSE),"")</f>
        <v/>
      </c>
      <c r="CC23" s="39" t="str">
        <f>IFERROR(VLOOKUP(CC24,'Module Items'!$A$1:$B$2587,2,FALSE),"")</f>
        <v/>
      </c>
      <c r="CD23" s="39" t="str">
        <f>IFERROR(VLOOKUP(CD24,'Module Items'!$A$1:$B$2587,2,FALSE),"")</f>
        <v/>
      </c>
      <c r="CE23" s="39" t="str">
        <f>IFERROR(VLOOKUP(CE24,'Module Items'!$A$1:$B$2587,2,FALSE),"")</f>
        <v/>
      </c>
      <c r="CF23" s="39" t="str">
        <f>IFERROR(VLOOKUP(CF24,'Module Items'!$A$1:$B$2587,2,FALSE),"")</f>
        <v/>
      </c>
      <c r="CG23" s="39" t="str">
        <f>IFERROR(VLOOKUP(CG24,'Module Items'!$A$1:$B$2587,2,FALSE),"")</f>
        <v/>
      </c>
      <c r="CH23" s="39" t="str">
        <f>IFERROR(VLOOKUP(CH24,'Module Items'!$A$1:$B$2587,2,FALSE),"")</f>
        <v/>
      </c>
      <c r="CI23" s="39" t="str">
        <f>IFERROR(VLOOKUP(CI24,'Module Items'!$A$1:$B$2587,2,FALSE),"")</f>
        <v/>
      </c>
      <c r="CJ23" s="39" t="str">
        <f>IFERROR(VLOOKUP(CJ24,'Module Items'!$A$1:$B$2587,2,FALSE),"")</f>
        <v/>
      </c>
      <c r="CK23" s="39" t="str">
        <f>IFERROR(VLOOKUP(CK24,'Module Items'!$A$1:$B$2587,2,FALSE),"")</f>
        <v/>
      </c>
      <c r="CL23" s="39" t="str">
        <f>IFERROR(VLOOKUP(CL24,'Module Items'!$A$1:$B$2587,2,FALSE),"")</f>
        <v/>
      </c>
      <c r="CM23" s="39" t="str">
        <f>IFERROR(VLOOKUP(CM24,'Module Items'!$A$1:$B$2587,2,FALSE),"")</f>
        <v/>
      </c>
      <c r="CN23" s="39" t="str">
        <f>IFERROR(VLOOKUP(CN24,'Module Items'!$A$1:$B$2587,2,FALSE),"")</f>
        <v/>
      </c>
      <c r="CO23" s="39" t="str">
        <f>IFERROR(VLOOKUP(CO24,'Module Items'!$A$1:$B$2587,2,FALSE),"")</f>
        <v/>
      </c>
      <c r="CP23" s="39" t="str">
        <f>IFERROR(VLOOKUP(CP24,'Module Items'!$A$1:$B$2587,2,FALSE),"")</f>
        <v/>
      </c>
      <c r="CQ23" s="39" t="str">
        <f>IFERROR(VLOOKUP(CQ24,'Module Items'!$A$1:$B$2587,2,FALSE),"")</f>
        <v/>
      </c>
      <c r="CR23" s="39" t="str">
        <f>IFERROR(VLOOKUP(CR24,'Module Items'!$A$1:$B$2587,2,FALSE),"")</f>
        <v/>
      </c>
      <c r="CS23" s="39" t="str">
        <f>IFERROR(VLOOKUP(CS24,'Module Items'!$A$1:$B$2587,2,FALSE),"")</f>
        <v/>
      </c>
      <c r="CT23" s="39" t="str">
        <f>IFERROR(VLOOKUP(CT24,'Module Items'!$A$1:$B$2587,2,FALSE),"")</f>
        <v/>
      </c>
      <c r="CU23" s="39" t="str">
        <f>IFERROR(VLOOKUP(CU24,'Module Items'!$A$1:$B$2587,2,FALSE),"")</f>
        <v/>
      </c>
      <c r="CV23" s="39" t="str">
        <f>IFERROR(VLOOKUP(CV24,'Module Items'!$A$1:$B$2587,2,FALSE),"")</f>
        <v/>
      </c>
      <c r="CW23" s="39">
        <f>IFERROR(VLOOKUP(CW24,'Module Items'!$A$1:$B$2587,2,FALSE),"")</f>
        <v>93780</v>
      </c>
      <c r="CX23" s="39">
        <f>IFERROR(VLOOKUP(CX24,'Module Items'!$A$1:$B$2587,2,FALSE),"")</f>
        <v>110841</v>
      </c>
      <c r="CY23" s="39">
        <f>IFERROR(VLOOKUP(CY24,'Module Items'!$A$1:$B$2587,2,FALSE),"")</f>
        <v>94371</v>
      </c>
      <c r="CZ23" s="39">
        <f>IFERROR(VLOOKUP(CZ24,'Module Items'!$A$1:$B$2587,2,FALSE),"")</f>
        <v>138804</v>
      </c>
      <c r="DA23" s="39">
        <f>IFERROR(VLOOKUP(DA24,'Module Items'!$A$1:$B$2587,2,FALSE),"")</f>
        <v>107810</v>
      </c>
      <c r="DB23" s="39">
        <f>IFERROR(VLOOKUP(DB24,'Module Items'!$A$1:$B$2587,2,FALSE),"")</f>
        <v>26459</v>
      </c>
      <c r="DC23" s="46" t="s">
        <v>556</v>
      </c>
      <c r="DD23" s="37">
        <f>IFERROR(VLOOKUP(DC23,'Module Items'!$A$1:$B$2587,2,FALSE),"")</f>
        <v>116204</v>
      </c>
      <c r="DE23" s="44">
        <f>IFERROR(VLOOKUP(DC23,'Monthly Line Picks'!$A$1:$D$2000,4,FALSE),"0")</f>
        <v>35</v>
      </c>
      <c r="DF23" s="47" t="s">
        <v>557</v>
      </c>
      <c r="DG23" s="37">
        <f>IFERROR(VLOOKUP(DF23,'Module Items'!$A$1:$B$2587,2,FALSE),"")</f>
        <v>8541</v>
      </c>
      <c r="DH23" s="44">
        <f>IFERROR(VLOOKUP(DF23,'Monthly Line Picks'!$A$1:$D$2000,4,FALSE),"0")</f>
        <v>12</v>
      </c>
      <c r="DI23" s="47" t="s">
        <v>558</v>
      </c>
      <c r="DJ23" s="37">
        <f>IFERROR(VLOOKUP(DI23,'Module Items'!$A$1:$B$2587,2,FALSE),"")</f>
        <v>60079</v>
      </c>
      <c r="DK23" s="44">
        <f>IFERROR(VLOOKUP(DI23,'Monthly Line Picks'!$A$1:$D$2000,4,FALSE),"0")</f>
        <v>1</v>
      </c>
      <c r="DL23" s="47" t="s">
        <v>559</v>
      </c>
      <c r="DM23" s="37">
        <f>IFERROR(VLOOKUP(DL23,'Module Items'!$A$1:$B$2587,2,FALSE),"")</f>
        <v>9385</v>
      </c>
      <c r="DN23" s="44">
        <f>IFERROR(VLOOKUP(DL23,'Monthly Line Picks'!$A$1:$D$2000,4,FALSE),"0")</f>
        <v>7</v>
      </c>
      <c r="DO23" s="43" t="s">
        <v>560</v>
      </c>
      <c r="DP23" s="37">
        <f>IFERROR(VLOOKUP(DO23,'Module Items'!$A$1:$B$2587,2,FALSE),"")</f>
        <v>89900</v>
      </c>
      <c r="DQ23" s="44" t="str">
        <f>IFERROR(VLOOKUP(DO23,'Monthly Line Picks'!$A$1:$D$2000,4,FALSE),"0")</f>
        <v>0</v>
      </c>
      <c r="DR23" s="48" t="s">
        <v>561</v>
      </c>
      <c r="DS23" s="37">
        <f>IFERROR(VLOOKUP(DR23,'Module Items'!$A$1:$B$2587,2,FALSE),"")</f>
        <v>113927</v>
      </c>
      <c r="DT23" s="44" t="str">
        <f>IFERROR(VLOOKUP(DR23,'Monthly Line Picks'!$A$1:$D$2000,4,FALSE),"0")</f>
        <v>0</v>
      </c>
      <c r="DU23" s="199"/>
      <c r="DV23" s="199"/>
      <c r="DW23" s="199"/>
      <c r="DX23" s="239"/>
    </row>
    <row r="24" spans="3:128" ht="15.95" thickBot="1">
      <c r="C24" s="207"/>
      <c r="D24" s="208"/>
      <c r="E24" s="208"/>
      <c r="F24" s="211"/>
      <c r="G24" s="201"/>
      <c r="H24" s="201"/>
      <c r="I24" s="201"/>
      <c r="J24" s="201"/>
      <c r="K24" s="38" t="s">
        <v>562</v>
      </c>
      <c r="L24" s="32" t="s">
        <v>563</v>
      </c>
      <c r="M24" s="32" t="s">
        <v>564</v>
      </c>
      <c r="N24" s="32" t="s">
        <v>565</v>
      </c>
      <c r="O24" s="32" t="s">
        <v>566</v>
      </c>
      <c r="P24" s="33" t="s">
        <v>567</v>
      </c>
      <c r="Q24" s="38" t="s">
        <v>568</v>
      </c>
      <c r="R24" s="32" t="s">
        <v>569</v>
      </c>
      <c r="S24" s="32" t="s">
        <v>570</v>
      </c>
      <c r="T24" s="32" t="s">
        <v>571</v>
      </c>
      <c r="U24" s="32" t="s">
        <v>572</v>
      </c>
      <c r="V24" s="33" t="s">
        <v>573</v>
      </c>
      <c r="W24" s="38" t="s">
        <v>574</v>
      </c>
      <c r="X24" s="32" t="s">
        <v>575</v>
      </c>
      <c r="Y24" s="32" t="s">
        <v>576</v>
      </c>
      <c r="Z24" s="32" t="s">
        <v>577</v>
      </c>
      <c r="AA24" s="32" t="s">
        <v>578</v>
      </c>
      <c r="AB24" s="33" t="s">
        <v>579</v>
      </c>
      <c r="AC24" s="38" t="s">
        <v>580</v>
      </c>
      <c r="AD24" s="32" t="s">
        <v>581</v>
      </c>
      <c r="AE24" s="32" t="s">
        <v>582</v>
      </c>
      <c r="AF24" s="32" t="s">
        <v>583</v>
      </c>
      <c r="AG24" s="32" t="s">
        <v>584</v>
      </c>
      <c r="AH24" s="33" t="s">
        <v>585</v>
      </c>
      <c r="AI24" s="38" t="s">
        <v>586</v>
      </c>
      <c r="AJ24" s="32" t="s">
        <v>587</v>
      </c>
      <c r="AK24" s="32" t="s">
        <v>588</v>
      </c>
      <c r="AL24" s="32" t="s">
        <v>589</v>
      </c>
      <c r="AM24" s="32" t="s">
        <v>590</v>
      </c>
      <c r="AN24" s="33" t="s">
        <v>591</v>
      </c>
      <c r="AO24" s="38" t="s">
        <v>592</v>
      </c>
      <c r="AP24" s="32" t="s">
        <v>593</v>
      </c>
      <c r="AQ24" s="32" t="s">
        <v>594</v>
      </c>
      <c r="AR24" s="32" t="s">
        <v>595</v>
      </c>
      <c r="AS24" s="32" t="s">
        <v>596</v>
      </c>
      <c r="AT24" s="33" t="s">
        <v>597</v>
      </c>
      <c r="AU24" s="38" t="s">
        <v>598</v>
      </c>
      <c r="AV24" s="32" t="s">
        <v>599</v>
      </c>
      <c r="AW24" s="32" t="s">
        <v>600</v>
      </c>
      <c r="AX24" s="32" t="s">
        <v>601</v>
      </c>
      <c r="AY24" s="32" t="s">
        <v>602</v>
      </c>
      <c r="AZ24" s="33" t="s">
        <v>603</v>
      </c>
      <c r="BA24" s="55" t="s">
        <v>604</v>
      </c>
      <c r="BB24" s="37">
        <f>IFERROR(VLOOKUP(BA24,'Module Items'!$A$1:$B$2587,2,FALSE),"")</f>
        <v>132725</v>
      </c>
      <c r="BC24" s="44" t="str">
        <f>IFERROR(VLOOKUP(BA24,'Monthly Line Picks'!$A$1:$D$2000,4,FALSE),"0")</f>
        <v>0</v>
      </c>
      <c r="BD24" s="50" t="s">
        <v>605</v>
      </c>
      <c r="BE24" s="37">
        <f>IFERROR(VLOOKUP(BD24,'Module Items'!$A$1:$B$2587,2,FALSE),"")</f>
        <v>17099</v>
      </c>
      <c r="BF24" s="44">
        <f>IFERROR(VLOOKUP(BD24,'Monthly Line Picks'!$A$1:$D$2000,4,FALSE),"0")</f>
        <v>4</v>
      </c>
      <c r="BG24" s="50" t="s">
        <v>606</v>
      </c>
      <c r="BH24" s="37">
        <f>IFERROR(VLOOKUP(BG24,'Module Items'!$A$1:$B$2587,2,FALSE),"")</f>
        <v>101287</v>
      </c>
      <c r="BI24" s="44" t="str">
        <f>IFERROR(VLOOKUP(BG24,'Monthly Line Picks'!$A$1:$D$2000,4,FALSE),"0")</f>
        <v>0</v>
      </c>
      <c r="BJ24" s="50" t="s">
        <v>607</v>
      </c>
      <c r="BK24" s="37">
        <f>IFERROR(VLOOKUP(BJ24,'Module Items'!$A$1:$B$2587,2,FALSE),"")</f>
        <v>71466</v>
      </c>
      <c r="BL24" s="44" t="str">
        <f>IFERROR(VLOOKUP(BJ24,'Monthly Line Picks'!$A$1:$D$2000,4,FALSE),"0")</f>
        <v>0</v>
      </c>
      <c r="BM24" s="51" t="s">
        <v>608</v>
      </c>
      <c r="BN24" s="37">
        <f>IFERROR(VLOOKUP(BM24,'Module Items'!$A$1:$B$2587,2,FALSE),"")</f>
        <v>112369</v>
      </c>
      <c r="BO24" s="44">
        <f>IFERROR(VLOOKUP(BM24,'Monthly Line Picks'!$A$1:$D$2000,4,FALSE),"0")</f>
        <v>1</v>
      </c>
      <c r="BP24" s="52" t="s">
        <v>609</v>
      </c>
      <c r="BQ24" s="37">
        <f>IFERROR(VLOOKUP(BP24,'Module Items'!$A$1:$B$2587,2,FALSE),"")</f>
        <v>100022</v>
      </c>
      <c r="BR24" s="44" t="str">
        <f>IFERROR(VLOOKUP(BP24,'Monthly Line Picks'!$A$1:$D$2000,4,FALSE),"0")</f>
        <v>0</v>
      </c>
      <c r="BS24" s="236"/>
      <c r="BT24" s="237"/>
      <c r="BU24" s="238"/>
      <c r="BV24" s="29" t="s">
        <v>610</v>
      </c>
      <c r="BW24" s="30" t="s">
        <v>611</v>
      </c>
      <c r="BX24" s="31" t="s">
        <v>612</v>
      </c>
      <c r="BY24" s="21" t="s">
        <v>613</v>
      </c>
      <c r="BZ24" s="19" t="s">
        <v>614</v>
      </c>
      <c r="CA24" s="19" t="s">
        <v>615</v>
      </c>
      <c r="CB24" s="19" t="s">
        <v>616</v>
      </c>
      <c r="CC24" s="19" t="s">
        <v>617</v>
      </c>
      <c r="CD24" s="20" t="s">
        <v>618</v>
      </c>
      <c r="CE24" s="21" t="s">
        <v>619</v>
      </c>
      <c r="CF24" s="19" t="s">
        <v>620</v>
      </c>
      <c r="CG24" s="19" t="s">
        <v>621</v>
      </c>
      <c r="CH24" s="19" t="s">
        <v>622</v>
      </c>
      <c r="CI24" s="19" t="s">
        <v>623</v>
      </c>
      <c r="CJ24" s="20" t="s">
        <v>624</v>
      </c>
      <c r="CK24" s="21" t="s">
        <v>625</v>
      </c>
      <c r="CL24" s="19" t="s">
        <v>626</v>
      </c>
      <c r="CM24" s="19" t="s">
        <v>627</v>
      </c>
      <c r="CN24" s="19" t="s">
        <v>628</v>
      </c>
      <c r="CO24" s="19" t="s">
        <v>629</v>
      </c>
      <c r="CP24" s="20" t="s">
        <v>630</v>
      </c>
      <c r="CQ24" s="21" t="s">
        <v>631</v>
      </c>
      <c r="CR24" s="19" t="s">
        <v>632</v>
      </c>
      <c r="CS24" s="19" t="s">
        <v>633</v>
      </c>
      <c r="CT24" s="19" t="s">
        <v>634</v>
      </c>
      <c r="CU24" s="19" t="s">
        <v>635</v>
      </c>
      <c r="CV24" s="20" t="s">
        <v>636</v>
      </c>
      <c r="CW24" s="21" t="s">
        <v>637</v>
      </c>
      <c r="CX24" s="19" t="s">
        <v>638</v>
      </c>
      <c r="CY24" s="19" t="s">
        <v>639</v>
      </c>
      <c r="CZ24" s="19" t="s">
        <v>640</v>
      </c>
      <c r="DA24" s="19" t="s">
        <v>641</v>
      </c>
      <c r="DB24" s="22" t="s">
        <v>642</v>
      </c>
      <c r="DC24" s="49" t="s">
        <v>643</v>
      </c>
      <c r="DD24" s="37">
        <f>IFERROR(VLOOKUP(DC24,'Module Items'!$A$1:$B$2587,2,FALSE),"")</f>
        <v>112676</v>
      </c>
      <c r="DE24" s="44" t="str">
        <f>IFERROR(VLOOKUP(DC24,'Monthly Line Picks'!$A$1:$D$2000,4,FALSE),"0")</f>
        <v>0</v>
      </c>
      <c r="DF24" s="50" t="s">
        <v>644</v>
      </c>
      <c r="DG24" s="37">
        <f>IFERROR(VLOOKUP(DF24,'Module Items'!$A$1:$B$2587,2,FALSE),"")</f>
        <v>85363</v>
      </c>
      <c r="DH24" s="44">
        <f>IFERROR(VLOOKUP(DF24,'Monthly Line Picks'!$A$1:$D$2000,4,FALSE),"0")</f>
        <v>4</v>
      </c>
      <c r="DI24" s="50" t="s">
        <v>645</v>
      </c>
      <c r="DJ24" s="37">
        <f>IFERROR(VLOOKUP(DI24,'Module Items'!$A$1:$B$2587,2,FALSE),"")</f>
        <v>7896</v>
      </c>
      <c r="DK24" s="44">
        <f>IFERROR(VLOOKUP(DI24,'Monthly Line Picks'!$A$1:$D$2000,4,FALSE),"0")</f>
        <v>1</v>
      </c>
      <c r="DL24" s="50" t="s">
        <v>646</v>
      </c>
      <c r="DM24" s="37">
        <f>IFERROR(VLOOKUP(DL24,'Module Items'!$A$1:$B$2587,2,FALSE),"")</f>
        <v>156818</v>
      </c>
      <c r="DN24" s="44" t="str">
        <f>IFERROR(VLOOKUP(DL24,'Monthly Line Picks'!$A$1:$D$2000,4,FALSE),"0")</f>
        <v>0</v>
      </c>
      <c r="DO24" s="51" t="s">
        <v>647</v>
      </c>
      <c r="DP24" s="37">
        <f>IFERROR(VLOOKUP(DO24,'Module Items'!$A$1:$B$2587,2,FALSE),"")</f>
        <v>110479</v>
      </c>
      <c r="DQ24" s="44">
        <f>IFERROR(VLOOKUP(DO24,'Monthly Line Picks'!$A$1:$D$2000,4,FALSE),"0")</f>
        <v>12</v>
      </c>
      <c r="DR24" s="52" t="s">
        <v>648</v>
      </c>
      <c r="DS24" s="37">
        <f>IFERROR(VLOOKUP(DR24,'Module Items'!$A$1:$B$2587,2,FALSE),"")</f>
        <v>24478</v>
      </c>
      <c r="DT24" s="44">
        <f>IFERROR(VLOOKUP(DR24,'Monthly Line Picks'!$A$1:$D$2000,4,FALSE),"0")</f>
        <v>14</v>
      </c>
      <c r="DU24" s="201"/>
      <c r="DV24" s="201"/>
      <c r="DW24" s="201"/>
      <c r="DX24" s="240"/>
    </row>
    <row r="25" spans="3:128" ht="15.95" thickTop="1"/>
    <row r="27" spans="3:128" ht="15.95" thickBot="1"/>
    <row r="28" spans="3:128">
      <c r="U28" s="172" t="s">
        <v>649</v>
      </c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4"/>
      <c r="AO28" s="172" t="s">
        <v>1</v>
      </c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4"/>
      <c r="BP28" s="172" t="s">
        <v>649</v>
      </c>
      <c r="BQ28" s="173"/>
      <c r="BR28" s="173"/>
      <c r="BS28" s="173"/>
      <c r="BT28" s="173"/>
      <c r="BU28" s="173"/>
      <c r="BV28" s="173"/>
      <c r="BW28" s="173"/>
      <c r="BX28" s="173"/>
      <c r="BY28" s="173"/>
      <c r="BZ28" s="173"/>
      <c r="CA28" s="173"/>
      <c r="CB28" s="173"/>
      <c r="CC28" s="173"/>
      <c r="CD28" s="173"/>
      <c r="CE28" s="173"/>
      <c r="CF28" s="174"/>
    </row>
    <row r="29" spans="3:128" ht="15.95" thickBot="1">
      <c r="U29" s="175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7"/>
      <c r="AO29" s="175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7"/>
      <c r="BP29" s="175"/>
      <c r="BQ29" s="176"/>
      <c r="BR29" s="176"/>
      <c r="BS29" s="176"/>
      <c r="BT29" s="176"/>
      <c r="BU29" s="176"/>
      <c r="BV29" s="176"/>
      <c r="BW29" s="176"/>
      <c r="BX29" s="176"/>
      <c r="BY29" s="176"/>
      <c r="BZ29" s="176"/>
      <c r="CA29" s="176"/>
      <c r="CB29" s="176"/>
      <c r="CC29" s="176"/>
      <c r="CD29" s="176"/>
      <c r="CE29" s="176"/>
      <c r="CF29" s="177"/>
    </row>
    <row r="30" spans="3:128" ht="15.95" thickBot="1"/>
    <row r="31" spans="3:128" ht="15.95" thickBot="1">
      <c r="K31" s="44" t="s">
        <v>650</v>
      </c>
      <c r="L31" s="37">
        <f>IFERROR(VLOOKUP(K31,'Module Items'!$A$1:$B$2587,2,FALSE),"")</f>
        <v>96428</v>
      </c>
      <c r="M31" s="44">
        <f>IFERROR(VLOOKUP(K31,'Monthly Line Picks'!$A$1:$D$2000,4,FALSE),"0")</f>
        <v>7</v>
      </c>
      <c r="N31" s="42" t="s">
        <v>651</v>
      </c>
      <c r="O31" s="37">
        <f>IFERROR(VLOOKUP(N31,'Module Items'!$A$1:$B$2587,2,FALSE),"")</f>
        <v>35587</v>
      </c>
      <c r="P31" s="44">
        <f>IFERROR(VLOOKUP(N31,'Monthly Line Picks'!$A$1:$D$2000,4,FALSE),"0")</f>
        <v>5</v>
      </c>
      <c r="Q31" s="42" t="s">
        <v>652</v>
      </c>
      <c r="R31" s="37">
        <f>IFERROR(VLOOKUP(Q31,'Module Items'!$A$1:$B$2587,2,FALSE),"")</f>
        <v>88081</v>
      </c>
      <c r="S31" s="44">
        <f>IFERROR(VLOOKUP(Q31,'Monthly Line Picks'!$A$1:$D$2000,4,FALSE),"0")</f>
        <v>22</v>
      </c>
      <c r="T31" s="42" t="s">
        <v>653</v>
      </c>
      <c r="U31" s="37">
        <f>IFERROR(VLOOKUP(T31,'Module Items'!$A$1:$B$2587,2,FALSE),"")</f>
        <v>111197</v>
      </c>
      <c r="V31" s="44">
        <f>IFERROR(VLOOKUP(T31,'Monthly Line Picks'!$A$1:$D$2000,4,FALSE),"0")</f>
        <v>3</v>
      </c>
      <c r="W31" s="42" t="s">
        <v>654</v>
      </c>
      <c r="X31" s="37">
        <f>IFERROR(VLOOKUP(W31,'Module Items'!$A$1:$B$2587,2,FALSE),"")</f>
        <v>105598</v>
      </c>
      <c r="Y31" s="44" t="str">
        <f>IFERROR(VLOOKUP(W31,'Monthly Line Picks'!$A$1:$D$2000,4,FALSE),"0")</f>
        <v>0</v>
      </c>
      <c r="Z31" s="45" t="s">
        <v>655</v>
      </c>
      <c r="AA31" s="37">
        <f>IFERROR(VLOOKUP(Z31,'Module Items'!$A$1:$B$2587,2,FALSE),"")</f>
        <v>1618</v>
      </c>
      <c r="AB31" s="44" t="str">
        <f>IFERROR(VLOOKUP(Z31,'Monthly Line Picks'!$A$1:$D$2000,4,FALSE),"0")</f>
        <v>0</v>
      </c>
      <c r="AC31" s="25" t="s">
        <v>656</v>
      </c>
      <c r="AD31" s="26" t="s">
        <v>657</v>
      </c>
      <c r="AE31" s="26" t="s">
        <v>658</v>
      </c>
      <c r="AF31" s="26" t="s">
        <v>659</v>
      </c>
      <c r="AG31" s="168" t="s">
        <v>13</v>
      </c>
      <c r="AH31" s="34" t="s">
        <v>660</v>
      </c>
      <c r="AI31" s="36" t="s">
        <v>661</v>
      </c>
      <c r="AJ31" s="26" t="s">
        <v>662</v>
      </c>
      <c r="AK31" s="26" t="s">
        <v>663</v>
      </c>
      <c r="AL31" s="26" t="s">
        <v>664</v>
      </c>
      <c r="AM31" s="26" t="s">
        <v>665</v>
      </c>
      <c r="AN31" s="27" t="s">
        <v>666</v>
      </c>
      <c r="AO31" s="36" t="s">
        <v>667</v>
      </c>
      <c r="AP31" s="26" t="s">
        <v>668</v>
      </c>
      <c r="AQ31" s="26" t="s">
        <v>669</v>
      </c>
      <c r="AR31" s="26" t="s">
        <v>670</v>
      </c>
      <c r="AS31" s="26" t="s">
        <v>671</v>
      </c>
      <c r="AT31" s="27" t="s">
        <v>672</v>
      </c>
      <c r="AU31" s="25" t="s">
        <v>673</v>
      </c>
      <c r="AV31" s="26" t="s">
        <v>674</v>
      </c>
      <c r="AW31" s="26" t="s">
        <v>675</v>
      </c>
      <c r="AX31" s="26" t="s">
        <v>676</v>
      </c>
      <c r="AY31" s="26" t="s">
        <v>677</v>
      </c>
      <c r="AZ31" s="27" t="s">
        <v>678</v>
      </c>
      <c r="BA31" s="36" t="s">
        <v>679</v>
      </c>
      <c r="BB31" s="26" t="s">
        <v>680</v>
      </c>
      <c r="BC31" s="26" t="s">
        <v>681</v>
      </c>
      <c r="BD31" s="26" t="s">
        <v>682</v>
      </c>
      <c r="BE31" s="26" t="s">
        <v>683</v>
      </c>
      <c r="BF31" s="27" t="s">
        <v>684</v>
      </c>
      <c r="BG31" s="36" t="s">
        <v>685</v>
      </c>
      <c r="BH31" s="26" t="s">
        <v>686</v>
      </c>
      <c r="BI31" s="26" t="s">
        <v>687</v>
      </c>
      <c r="BJ31" s="26" t="s">
        <v>688</v>
      </c>
      <c r="BK31" s="26" t="s">
        <v>689</v>
      </c>
      <c r="BL31" s="27" t="s">
        <v>690</v>
      </c>
      <c r="BM31" s="44" t="s">
        <v>691</v>
      </c>
      <c r="BN31" s="37">
        <f>IFERROR(VLOOKUP(BM31,'Module Items'!$A$1:$B$2587,2,FALSE),"")</f>
        <v>35276</v>
      </c>
      <c r="BO31" s="44">
        <f>IFERROR(VLOOKUP(BM31,'Monthly Line Picks'!$A$1:$D$2000,4,FALSE),"0")</f>
        <v>19</v>
      </c>
      <c r="BP31" s="42" t="s">
        <v>692</v>
      </c>
      <c r="BQ31" s="37">
        <f>IFERROR(VLOOKUP(BP31,'Module Items'!$A$1:$B$2587,2,FALSE),"")</f>
        <v>7411</v>
      </c>
      <c r="BR31" s="44">
        <f>IFERROR(VLOOKUP(BP31,'Monthly Line Picks'!$A$1:$D$2000,4,FALSE),"0")</f>
        <v>5</v>
      </c>
      <c r="BS31" s="42" t="s">
        <v>693</v>
      </c>
      <c r="BT31" s="37">
        <f>IFERROR(VLOOKUP(BS31,'Module Items'!$A$1:$B$2587,2,FALSE),"")</f>
        <v>100772</v>
      </c>
      <c r="BU31" s="44">
        <f>IFERROR(VLOOKUP(BS31,'Monthly Line Picks'!$A$1:$D$2000,4,FALSE),"0")</f>
        <v>17</v>
      </c>
      <c r="BV31" s="42" t="s">
        <v>694</v>
      </c>
      <c r="BW31" s="37">
        <f>IFERROR(VLOOKUP(BV31,'Module Items'!$A$1:$B$2587,2,FALSE),"")</f>
        <v>54337</v>
      </c>
      <c r="BX31" s="44" t="str">
        <f>IFERROR(VLOOKUP(BV31,'Monthly Line Picks'!$A$1:$D$2000,4,FALSE),"0")</f>
        <v>0</v>
      </c>
      <c r="BY31" s="42" t="s">
        <v>695</v>
      </c>
      <c r="BZ31" s="37">
        <f>IFERROR(VLOOKUP(BY31,'Module Items'!$A$1:$B$2587,2,FALSE),"")</f>
        <v>1628</v>
      </c>
      <c r="CA31" s="44" t="str">
        <f>IFERROR(VLOOKUP(BY31,'Monthly Line Picks'!$A$1:$D$2000,4,FALSE),"0")</f>
        <v>0</v>
      </c>
      <c r="CB31" s="45" t="s">
        <v>696</v>
      </c>
      <c r="CC31" s="37">
        <f>IFERROR(VLOOKUP(CB31,'Module Items'!$A$1:$B$2587,2,FALSE),"")</f>
        <v>127283</v>
      </c>
      <c r="CD31" s="44">
        <f>IFERROR(VLOOKUP(CB31,'Monthly Line Picks'!$A$1:$D$2000,4,FALSE),"0")</f>
        <v>4</v>
      </c>
      <c r="CE31" s="178" t="s">
        <v>13</v>
      </c>
      <c r="CF31" s="179"/>
      <c r="CG31" s="180"/>
      <c r="CH31" s="26" t="s">
        <v>697</v>
      </c>
      <c r="CI31" s="26" t="s">
        <v>698</v>
      </c>
      <c r="CJ31" s="27" t="s">
        <v>699</v>
      </c>
      <c r="CK31" s="25" t="s">
        <v>700</v>
      </c>
      <c r="CL31" s="26" t="s">
        <v>701</v>
      </c>
      <c r="CM31" s="26" t="s">
        <v>702</v>
      </c>
      <c r="CN31" s="26" t="s">
        <v>703</v>
      </c>
      <c r="CO31" s="26" t="s">
        <v>704</v>
      </c>
      <c r="CP31" s="34" t="s">
        <v>705</v>
      </c>
      <c r="CQ31" s="36" t="s">
        <v>706</v>
      </c>
      <c r="CR31" s="26" t="s">
        <v>707</v>
      </c>
      <c r="CS31" s="26" t="s">
        <v>708</v>
      </c>
      <c r="CT31" s="26" t="s">
        <v>709</v>
      </c>
      <c r="CU31" s="26" t="s">
        <v>710</v>
      </c>
      <c r="CV31" s="27" t="s">
        <v>711</v>
      </c>
      <c r="CW31" s="36" t="s">
        <v>712</v>
      </c>
      <c r="CX31" s="26" t="s">
        <v>713</v>
      </c>
      <c r="CY31" s="26" t="s">
        <v>714</v>
      </c>
      <c r="CZ31" s="26" t="s">
        <v>715</v>
      </c>
      <c r="DA31" s="26" t="s">
        <v>716</v>
      </c>
      <c r="DB31" s="27" t="s">
        <v>717</v>
      </c>
      <c r="DC31" s="25" t="s">
        <v>718</v>
      </c>
      <c r="DD31" s="26" t="s">
        <v>719</v>
      </c>
      <c r="DE31" s="26" t="s">
        <v>720</v>
      </c>
      <c r="DF31" s="26" t="s">
        <v>721</v>
      </c>
      <c r="DG31" s="26" t="s">
        <v>722</v>
      </c>
      <c r="DH31" s="27" t="s">
        <v>723</v>
      </c>
      <c r="DI31" s="36" t="s">
        <v>724</v>
      </c>
      <c r="DJ31" s="26" t="s">
        <v>725</v>
      </c>
      <c r="DK31" s="26" t="s">
        <v>726</v>
      </c>
      <c r="DL31" s="26" t="s">
        <v>727</v>
      </c>
      <c r="DM31" s="26" t="s">
        <v>728</v>
      </c>
      <c r="DN31" s="27" t="s">
        <v>729</v>
      </c>
      <c r="DO31" s="36" t="s">
        <v>730</v>
      </c>
      <c r="DP31" s="26" t="s">
        <v>731</v>
      </c>
      <c r="DQ31" s="26" t="s">
        <v>732</v>
      </c>
      <c r="DR31" s="26" t="s">
        <v>733</v>
      </c>
      <c r="DS31" s="165" t="s">
        <v>13</v>
      </c>
      <c r="DT31" s="27" t="s">
        <v>734</v>
      </c>
    </row>
    <row r="32" spans="3:128" ht="15.95" thickBot="1">
      <c r="K32" s="56" t="s">
        <v>735</v>
      </c>
      <c r="L32" s="37">
        <f>IFERROR(VLOOKUP(K32,'Module Items'!$A$1:$B$2587,2,FALSE),"")</f>
        <v>12090</v>
      </c>
      <c r="M32" s="44">
        <f>IFERROR(VLOOKUP(K32,'Monthly Line Picks'!$A$1:$D$2000,4,FALSE),"0")</f>
        <v>2</v>
      </c>
      <c r="N32" s="47" t="s">
        <v>736</v>
      </c>
      <c r="O32" s="37">
        <f>IFERROR(VLOOKUP(N32,'Module Items'!$A$1:$B$2587,2,FALSE),"")</f>
        <v>124911</v>
      </c>
      <c r="P32" s="44">
        <f>IFERROR(VLOOKUP(N32,'Monthly Line Picks'!$A$1:$D$2000,4,FALSE),"0")</f>
        <v>17</v>
      </c>
      <c r="Q32" s="47" t="s">
        <v>737</v>
      </c>
      <c r="R32" s="37">
        <f>IFERROR(VLOOKUP(Q32,'Module Items'!$A$1:$B$2587,2,FALSE),"")</f>
        <v>95111</v>
      </c>
      <c r="S32" s="44">
        <f>IFERROR(VLOOKUP(Q32,'Monthly Line Picks'!$A$1:$D$2000,4,FALSE),"0")</f>
        <v>11</v>
      </c>
      <c r="T32" s="47" t="s">
        <v>738</v>
      </c>
      <c r="U32" s="37">
        <f>IFERROR(VLOOKUP(T32,'Module Items'!$A$1:$B$2587,2,FALSE),"")</f>
        <v>159034</v>
      </c>
      <c r="V32" s="44">
        <f>IFERROR(VLOOKUP(T32,'Monthly Line Picks'!$A$1:$D$2000,4,FALSE),"0")</f>
        <v>2</v>
      </c>
      <c r="W32" s="47" t="s">
        <v>739</v>
      </c>
      <c r="X32" s="37">
        <f>IFERROR(VLOOKUP(W32,'Module Items'!$A$1:$B$2587,2,FALSE),"")</f>
        <v>30221</v>
      </c>
      <c r="Y32" s="44" t="str">
        <f>IFERROR(VLOOKUP(W32,'Monthly Line Picks'!$A$1:$D$2000,4,FALSE),"0")</f>
        <v>0</v>
      </c>
      <c r="Z32" s="57" t="s">
        <v>740</v>
      </c>
      <c r="AA32" s="37">
        <f>IFERROR(VLOOKUP(Z32,'Module Items'!$A$1:$B$2587,2,FALSE),"")</f>
        <v>89003</v>
      </c>
      <c r="AB32" s="44">
        <f>IFERROR(VLOOKUP(Z32,'Monthly Line Picks'!$A$1:$D$2000,4,FALSE),"0")</f>
        <v>1</v>
      </c>
      <c r="AC32" s="46">
        <f>IFERROR(VLOOKUP(AC31,'Module Items'!$A$1:$B$2587,2,FALSE),"")</f>
        <v>1394</v>
      </c>
      <c r="AD32" s="46">
        <f>IFERROR(VLOOKUP(AD31,'Module Items'!$A$1:$B$2587,2,FALSE),"")</f>
        <v>9808</v>
      </c>
      <c r="AE32" s="46" t="str">
        <f>IFERROR(VLOOKUP(AE31,'Module Items'!$A$1:$B$2587,2,FALSE),"")</f>
        <v/>
      </c>
      <c r="AF32" s="46">
        <f>IFERROR(VLOOKUP(AF31,'Module Items'!$A$1:$B$2587,2,FALSE),"")</f>
        <v>31490</v>
      </c>
      <c r="AG32" s="169"/>
      <c r="AH32" s="46">
        <f>IFERROR(VLOOKUP(AH31,'Module Items'!$A$1:$B$2587,2,FALSE),"")</f>
        <v>35070</v>
      </c>
      <c r="AI32" s="46" t="str">
        <f>IFERROR(VLOOKUP(AI31,'Module Items'!$A$1:$B$2587,2,FALSE),"")</f>
        <v/>
      </c>
      <c r="AJ32" s="46">
        <f>IFERROR(VLOOKUP(AJ31,'Module Items'!$A$1:$B$2587,2,FALSE),"")</f>
        <v>20417</v>
      </c>
      <c r="AK32" s="46">
        <f>IFERROR(VLOOKUP(AK31,'Module Items'!$A$1:$B$2587,2,FALSE),"")</f>
        <v>97197</v>
      </c>
      <c r="AL32" s="46">
        <f>IFERROR(VLOOKUP(AL31,'Module Items'!$A$1:$B$2587,2,FALSE),"")</f>
        <v>110817</v>
      </c>
      <c r="AM32" s="46">
        <f>IFERROR(VLOOKUP(AM31,'Module Items'!$A$1:$B$2587,2,FALSE),"")</f>
        <v>9225</v>
      </c>
      <c r="AN32" s="46" t="str">
        <f>IFERROR(VLOOKUP(AN31,'Module Items'!$A$1:$B$2587,2,FALSE),"")</f>
        <v>OPEN</v>
      </c>
      <c r="AO32" s="46" t="str">
        <f>IFERROR(VLOOKUP(AO31,'Module Items'!$A$1:$B$2587,2,FALSE),"")</f>
        <v/>
      </c>
      <c r="AP32" s="46">
        <f>IFERROR(VLOOKUP(AP31,'Module Items'!$A$1:$B$2587,2,FALSE),"")</f>
        <v>1414</v>
      </c>
      <c r="AQ32" s="46">
        <f>IFERROR(VLOOKUP(AQ31,'Module Items'!$A$1:$B$2587,2,FALSE),"")</f>
        <v>110811</v>
      </c>
      <c r="AR32" s="46">
        <f>IFERROR(VLOOKUP(AR31,'Module Items'!$A$1:$B$2587,2,FALSE),"")</f>
        <v>126009</v>
      </c>
      <c r="AS32" s="46">
        <f>IFERROR(VLOOKUP(AS31,'Module Items'!$A$1:$B$2587,2,FALSE),"")</f>
        <v>60671</v>
      </c>
      <c r="AT32" s="46">
        <f>IFERROR(VLOOKUP(AT31,'Module Items'!$A$1:$B$2587,2,FALSE),"")</f>
        <v>132821</v>
      </c>
      <c r="AU32" s="46">
        <f>IFERROR(VLOOKUP(AU31,'Module Items'!$A$1:$B$2587,2,FALSE),"")</f>
        <v>116471</v>
      </c>
      <c r="AV32" s="46">
        <f>IFERROR(VLOOKUP(AV31,'Module Items'!$A$1:$B$2587,2,FALSE),"")</f>
        <v>39736</v>
      </c>
      <c r="AW32" s="46">
        <f>IFERROR(VLOOKUP(AW31,'Module Items'!$A$1:$B$2587,2,FALSE),"")</f>
        <v>110679</v>
      </c>
      <c r="AX32" s="46">
        <f>IFERROR(VLOOKUP(AX31,'Module Items'!$A$1:$B$2587,2,FALSE),"")</f>
        <v>157428</v>
      </c>
      <c r="AY32" s="46">
        <f>IFERROR(VLOOKUP(AY31,'Module Items'!$A$1:$B$2587,2,FALSE),"")</f>
        <v>8575</v>
      </c>
      <c r="AZ32" s="46">
        <f>IFERROR(VLOOKUP(AZ31,'Module Items'!$A$1:$B$2587,2,FALSE),"")</f>
        <v>129771</v>
      </c>
      <c r="BA32" s="46">
        <f>IFERROR(VLOOKUP(BA31,'Module Items'!$A$1:$B$2587,2,FALSE),"")</f>
        <v>110200</v>
      </c>
      <c r="BB32" s="46" t="str">
        <f>IFERROR(VLOOKUP(BB31,'Module Items'!$A$1:$B$2587,2,FALSE),"")</f>
        <v>OPEN</v>
      </c>
      <c r="BC32" s="46">
        <f>IFERROR(VLOOKUP(BC31,'Module Items'!$A$1:$B$2587,2,FALSE),"")</f>
        <v>97210</v>
      </c>
      <c r="BD32" s="46">
        <f>IFERROR(VLOOKUP(BD31,'Module Items'!$A$1:$B$2587,2,FALSE),"")</f>
        <v>104971</v>
      </c>
      <c r="BE32" s="46">
        <f>IFERROR(VLOOKUP(BE31,'Module Items'!$A$1:$B$2587,2,FALSE),"")</f>
        <v>100653</v>
      </c>
      <c r="BF32" s="46" t="str">
        <f>IFERROR(VLOOKUP(BF31,'Module Items'!$A$1:$B$2587,2,FALSE),"")</f>
        <v/>
      </c>
      <c r="BG32" s="46" t="str">
        <f>IFERROR(VLOOKUP(BG31,'Module Items'!$A$1:$B$2587,2,FALSE),"")</f>
        <v/>
      </c>
      <c r="BH32" s="46" t="str">
        <f>IFERROR(VLOOKUP(BH31,'Module Items'!$A$1:$B$2587,2,FALSE),"")</f>
        <v/>
      </c>
      <c r="BI32" s="46">
        <f>IFERROR(VLOOKUP(BI31,'Module Items'!$A$1:$B$2587,2,FALSE),"")</f>
        <v>132788</v>
      </c>
      <c r="BJ32" s="46">
        <f>IFERROR(VLOOKUP(BJ31,'Module Items'!$A$1:$B$2587,2,FALSE),"")</f>
        <v>31692</v>
      </c>
      <c r="BK32" s="46">
        <f>IFERROR(VLOOKUP(BK31,'Module Items'!$A$1:$B$2587,2,FALSE),"")</f>
        <v>6220</v>
      </c>
      <c r="BL32" s="46">
        <f>IFERROR(VLOOKUP(BL31,'Module Items'!$A$1:$B$2587,2,FALSE),"")</f>
        <v>110946</v>
      </c>
      <c r="BM32" s="56" t="s">
        <v>741</v>
      </c>
      <c r="BN32" s="37">
        <f>IFERROR(VLOOKUP(BM32,'Module Items'!$A$1:$B$2587,2,FALSE),"")</f>
        <v>28560</v>
      </c>
      <c r="BO32" s="44">
        <f>IFERROR(VLOOKUP(BM32,'Monthly Line Picks'!$A$1:$D$2000,4,FALSE),"0")</f>
        <v>2</v>
      </c>
      <c r="BP32" s="47" t="s">
        <v>742</v>
      </c>
      <c r="BQ32" s="37">
        <f>IFERROR(VLOOKUP(BP32,'Module Items'!$A$1:$B$2587,2,FALSE),"")</f>
        <v>100161</v>
      </c>
      <c r="BR32" s="44">
        <f>IFERROR(VLOOKUP(BP32,'Monthly Line Picks'!$A$1:$D$2000,4,FALSE),"0")</f>
        <v>1</v>
      </c>
      <c r="BS32" s="47" t="s">
        <v>743</v>
      </c>
      <c r="BT32" s="37">
        <f>IFERROR(VLOOKUP(BS32,'Module Items'!$A$1:$B$2587,2,FALSE),"")</f>
        <v>62520</v>
      </c>
      <c r="BU32" s="44">
        <f>IFERROR(VLOOKUP(BS32,'Monthly Line Picks'!$A$1:$D$2000,4,FALSE),"0")</f>
        <v>1</v>
      </c>
      <c r="BV32" s="47" t="s">
        <v>744</v>
      </c>
      <c r="BW32" s="37">
        <f>IFERROR(VLOOKUP(BV32,'Module Items'!$A$1:$B$2587,2,FALSE),"")</f>
        <v>87497</v>
      </c>
      <c r="BX32" s="44">
        <f>IFERROR(VLOOKUP(BV32,'Monthly Line Picks'!$A$1:$D$2000,4,FALSE),"0")</f>
        <v>7</v>
      </c>
      <c r="BY32" s="47" t="s">
        <v>745</v>
      </c>
      <c r="BZ32" s="37">
        <f>IFERROR(VLOOKUP(BY32,'Module Items'!$A$1:$B$2587,2,FALSE),"")</f>
        <v>6827</v>
      </c>
      <c r="CA32" s="44">
        <f>IFERROR(VLOOKUP(BY32,'Monthly Line Picks'!$A$1:$D$2000,4,FALSE),"0")</f>
        <v>4</v>
      </c>
      <c r="CB32" s="57" t="s">
        <v>746</v>
      </c>
      <c r="CC32" s="37">
        <f>IFERROR(VLOOKUP(CB32,'Module Items'!$A$1:$B$2587,2,FALSE),"")</f>
        <v>9662</v>
      </c>
      <c r="CD32" s="44">
        <f>IFERROR(VLOOKUP(CB32,'Monthly Line Picks'!$A$1:$D$2000,4,FALSE),"0")</f>
        <v>7</v>
      </c>
      <c r="CE32" s="181"/>
      <c r="CF32" s="182"/>
      <c r="CG32" s="183"/>
      <c r="CH32" s="46">
        <f>IFERROR(VLOOKUP(CH31,'Module Items'!$A$1:$B$2587,2,FALSE),"")</f>
        <v>132592</v>
      </c>
      <c r="CI32" s="46" t="str">
        <f>IFERROR(VLOOKUP(CI31,'Module Items'!$A$1:$B$2587,2,FALSE),"")</f>
        <v>OPEN</v>
      </c>
      <c r="CJ32" s="46" t="str">
        <f>IFERROR(VLOOKUP(CJ31,'Module Items'!$A$1:$B$2587,2,FALSE),"")</f>
        <v>OPEN</v>
      </c>
      <c r="CK32" s="46">
        <f>IFERROR(VLOOKUP(CK31,'Module Items'!$A$1:$B$2587,2,FALSE),"")</f>
        <v>2921</v>
      </c>
      <c r="CL32" s="46" t="str">
        <f>IFERROR(VLOOKUP(CL31,'Module Items'!$A$1:$B$2587,2,FALSE),"")</f>
        <v/>
      </c>
      <c r="CM32" s="46" t="str">
        <f>IFERROR(VLOOKUP(CM31,'Module Items'!$A$1:$B$2587,2,FALSE),"")</f>
        <v/>
      </c>
      <c r="CN32" s="46">
        <f>IFERROR(VLOOKUP(CN31,'Module Items'!$A$1:$B$2587,2,FALSE),"")</f>
        <v>129090</v>
      </c>
      <c r="CO32" s="46">
        <f>IFERROR(VLOOKUP(CO31,'Module Items'!$A$1:$B$2587,2,FALSE),"")</f>
        <v>125063</v>
      </c>
      <c r="CP32" s="46" t="str">
        <f>IFERROR(VLOOKUP(CP31,'Module Items'!$A$1:$B$2587,2,FALSE),"")</f>
        <v/>
      </c>
      <c r="CQ32" s="46">
        <f>IFERROR(VLOOKUP(CQ31,'Module Items'!$A$1:$B$2587,2,FALSE),"")</f>
        <v>137722</v>
      </c>
      <c r="CR32" s="46" t="str">
        <f>IFERROR(VLOOKUP(CR31,'Module Items'!$A$1:$B$2587,2,FALSE),"")</f>
        <v>OPEN</v>
      </c>
      <c r="CS32" s="46" t="str">
        <f>IFERROR(VLOOKUP(CS31,'Module Items'!$A$1:$B$2587,2,FALSE),"")</f>
        <v>OPEN</v>
      </c>
      <c r="CT32" s="46">
        <f>IFERROR(VLOOKUP(CT31,'Module Items'!$A$1:$B$2587,2,FALSE),"")</f>
        <v>177064</v>
      </c>
      <c r="CU32" s="46" t="str">
        <f>IFERROR(VLOOKUP(CU31,'Module Items'!$A$1:$B$2587,2,FALSE),"")</f>
        <v>OPEN</v>
      </c>
      <c r="CV32" s="46" t="str">
        <f>IFERROR(VLOOKUP(CV31,'Module Items'!$A$1:$B$2587,2,FALSE),"")</f>
        <v>OPEN</v>
      </c>
      <c r="CW32" s="46" t="str">
        <f>IFERROR(VLOOKUP(CW31,'Module Items'!$A$1:$B$2587,2,FALSE),"")</f>
        <v>OPEN</v>
      </c>
      <c r="CX32" s="46" t="str">
        <f>IFERROR(VLOOKUP(CX31,'Module Items'!$A$1:$B$2587,2,FALSE),"")</f>
        <v>OPEN</v>
      </c>
      <c r="CY32" s="46" t="str">
        <f>IFERROR(VLOOKUP(CY31,'Module Items'!$A$1:$B$2587,2,FALSE),"")</f>
        <v>OPEN</v>
      </c>
      <c r="CZ32" s="46">
        <f>IFERROR(VLOOKUP(CZ31,'Module Items'!$A$1:$B$2587,2,FALSE),"")</f>
        <v>93413</v>
      </c>
      <c r="DA32" s="46">
        <f>IFERROR(VLOOKUP(DA31,'Module Items'!$A$1:$B$2587,2,FALSE),"")</f>
        <v>10464</v>
      </c>
      <c r="DB32" s="46">
        <f>IFERROR(VLOOKUP(DB31,'Module Items'!$A$1:$B$2587,2,FALSE),"")</f>
        <v>310</v>
      </c>
      <c r="DC32" s="46">
        <f>IFERROR(VLOOKUP(DC31,'Module Items'!$A$1:$B$2587,2,FALSE),"")</f>
        <v>132701</v>
      </c>
      <c r="DD32" s="46" t="str">
        <f>IFERROR(VLOOKUP(DD31,'Module Items'!$A$1:$B$2587,2,FALSE),"")</f>
        <v>OPEN</v>
      </c>
      <c r="DE32" s="46">
        <f>IFERROR(VLOOKUP(DE31,'Module Items'!$A$1:$B$2587,2,FALSE),"")</f>
        <v>14492</v>
      </c>
      <c r="DF32" s="46">
        <f>IFERROR(VLOOKUP(DF31,'Module Items'!$A$1:$B$2587,2,FALSE),"")</f>
        <v>112596</v>
      </c>
      <c r="DG32" s="46" t="str">
        <f>IFERROR(VLOOKUP(DG31,'Module Items'!$A$1:$B$2587,2,FALSE),"")</f>
        <v>OPEN</v>
      </c>
      <c r="DH32" s="46" t="str">
        <f>IFERROR(VLOOKUP(DH31,'Module Items'!$A$1:$B$2587,2,FALSE),"")</f>
        <v>OPEN</v>
      </c>
      <c r="DI32" s="46">
        <f>IFERROR(VLOOKUP(DI31,'Module Items'!$A$1:$B$2587,2,FALSE),"")</f>
        <v>124947</v>
      </c>
      <c r="DJ32" s="46">
        <f>IFERROR(VLOOKUP(DJ31,'Module Items'!$A$1:$B$2587,2,FALSE),"")</f>
        <v>112435</v>
      </c>
      <c r="DK32" s="46">
        <f>IFERROR(VLOOKUP(DK31,'Module Items'!$A$1:$B$2587,2,FALSE),"")</f>
        <v>119829</v>
      </c>
      <c r="DL32" s="46" t="str">
        <f>IFERROR(VLOOKUP(DL31,'Module Items'!$A$1:$B$2587,2,FALSE),"")</f>
        <v>OPEN</v>
      </c>
      <c r="DM32" s="46" t="str">
        <f>IFERROR(VLOOKUP(DM31,'Module Items'!$A$1:$B$2587,2,FALSE),"")</f>
        <v>OPEN</v>
      </c>
      <c r="DN32" s="46" t="str">
        <f>IFERROR(VLOOKUP(DN31,'Module Items'!$A$1:$B$2587,2,FALSE),"")</f>
        <v>OPEN</v>
      </c>
      <c r="DO32" s="46">
        <f>IFERROR(VLOOKUP(DO31,'Module Items'!$A$1:$B$2587,2,FALSE),"")</f>
        <v>951</v>
      </c>
      <c r="DP32" s="46" t="str">
        <f>IFERROR(VLOOKUP(DP31,'Module Items'!$A$1:$B$2587,2,FALSE),"")</f>
        <v/>
      </c>
      <c r="DQ32" s="46">
        <f>IFERROR(VLOOKUP(DQ31,'Module Items'!$A$1:$B$2587,2,FALSE),"")</f>
        <v>133698</v>
      </c>
      <c r="DR32" s="46">
        <f>IFERROR(VLOOKUP(DR31,'Module Items'!$A$1:$B$2587,2,FALSE),"")</f>
        <v>176803</v>
      </c>
      <c r="DS32" s="166"/>
      <c r="DT32" s="46" t="str">
        <f>IFERROR(VLOOKUP(DT31,'Module Items'!$A$1:$B$2587,2,FALSE),"")</f>
        <v/>
      </c>
    </row>
    <row r="33" spans="7:128" ht="15.95" thickBot="1">
      <c r="K33" s="56" t="s">
        <v>747</v>
      </c>
      <c r="L33" s="37">
        <f>IFERROR(VLOOKUP(K33,'Module Items'!$A$1:$B$2587,2,FALSE),"")</f>
        <v>177090</v>
      </c>
      <c r="M33" s="44" t="str">
        <f>IFERROR(VLOOKUP(K33,'Monthly Line Picks'!$A$1:$D$2000,4,FALSE),"0")</f>
        <v>0</v>
      </c>
      <c r="N33" s="47" t="s">
        <v>748</v>
      </c>
      <c r="O33" s="37" t="str">
        <f>IFERROR(VLOOKUP(N33,'Module Items'!$A$1:$B$2587,2,FALSE),"")</f>
        <v>OPEN</v>
      </c>
      <c r="P33" s="44">
        <f>IFERROR(VLOOKUP(N33,'Monthly Line Picks'!$A$1:$D$2000,4,FALSE),"0")</f>
        <v>2</v>
      </c>
      <c r="Q33" s="47" t="s">
        <v>749</v>
      </c>
      <c r="R33" s="37">
        <f>IFERROR(VLOOKUP(Q33,'Module Items'!$A$1:$B$2587,2,FALSE),"")</f>
        <v>222</v>
      </c>
      <c r="S33" s="44">
        <f>IFERROR(VLOOKUP(Q33,'Monthly Line Picks'!$A$1:$D$2000,4,FALSE),"0")</f>
        <v>14</v>
      </c>
      <c r="T33" s="47" t="s">
        <v>750</v>
      </c>
      <c r="U33" s="37">
        <f>IFERROR(VLOOKUP(T33,'Module Items'!$A$1:$B$2587,2,FALSE),"")</f>
        <v>118618</v>
      </c>
      <c r="V33" s="44">
        <f>IFERROR(VLOOKUP(T33,'Monthly Line Picks'!$A$1:$D$2000,4,FALSE),"0")</f>
        <v>11</v>
      </c>
      <c r="W33" s="47" t="s">
        <v>751</v>
      </c>
      <c r="X33" s="37">
        <f>IFERROR(VLOOKUP(W33,'Module Items'!$A$1:$B$2587,2,FALSE),"")</f>
        <v>13898</v>
      </c>
      <c r="Y33" s="44" t="str">
        <f>IFERROR(VLOOKUP(W33,'Monthly Line Picks'!$A$1:$D$2000,4,FALSE),"0")</f>
        <v>0</v>
      </c>
      <c r="Z33" s="57" t="s">
        <v>752</v>
      </c>
      <c r="AA33" s="37">
        <f>IFERROR(VLOOKUP(Z33,'Module Items'!$A$1:$B$2587,2,FALSE),"")</f>
        <v>61850</v>
      </c>
      <c r="AB33" s="44" t="str">
        <f>IFERROR(VLOOKUP(Z33,'Monthly Line Picks'!$A$1:$D$2000,4,FALSE),"0")</f>
        <v>0</v>
      </c>
      <c r="AC33" s="46">
        <f>IFERROR(VLOOKUP(AC31,'Monthly Line Picks'!$A$1:$D$2101,4,FALSE),"0")</f>
        <v>151</v>
      </c>
      <c r="AD33" s="46">
        <f>IFERROR(VLOOKUP(AD31,'Monthly Line Picks'!$A$1:$D$2101,4,FALSE),"0")</f>
        <v>182</v>
      </c>
      <c r="AE33" s="46" t="str">
        <f>IFERROR(VLOOKUP(AE31,'Monthly Line Picks'!$A$1:$D$2101,4,FALSE),"0")</f>
        <v>0</v>
      </c>
      <c r="AF33" s="46">
        <f>IFERROR(VLOOKUP(AF31,'Monthly Line Picks'!$A$1:$D$2101,4,FALSE),"0")</f>
        <v>245</v>
      </c>
      <c r="AG33" s="169"/>
      <c r="AH33" s="46">
        <f>IFERROR(VLOOKUP(AH31,'Monthly Line Picks'!$A$1:$D$2101,4,FALSE),"0")</f>
        <v>85</v>
      </c>
      <c r="AI33" s="46" t="str">
        <f>IFERROR(VLOOKUP(AI31,'Monthly Line Picks'!$A$1:$D$2101,4,FALSE),"0")</f>
        <v>0</v>
      </c>
      <c r="AJ33" s="46">
        <f>IFERROR(VLOOKUP(AJ31,'Monthly Line Picks'!$A$1:$D$2101,4,FALSE),"0")</f>
        <v>145</v>
      </c>
      <c r="AK33" s="46">
        <f>IFERROR(VLOOKUP(AK31,'Monthly Line Picks'!$A$1:$D$2101,4,FALSE),"0")</f>
        <v>140</v>
      </c>
      <c r="AL33" s="46">
        <f>IFERROR(VLOOKUP(AL31,'Monthly Line Picks'!$A$1:$D$2101,4,FALSE),"0")</f>
        <v>148</v>
      </c>
      <c r="AM33" s="46">
        <f>IFERROR(VLOOKUP(AM31,'Monthly Line Picks'!$A$1:$D$2101,4,FALSE),"0")</f>
        <v>78</v>
      </c>
      <c r="AN33" s="46" t="str">
        <f>IFERROR(VLOOKUP(AN31,'Monthly Line Picks'!$A$1:$D$2101,4,FALSE),"0")</f>
        <v>0</v>
      </c>
      <c r="AO33" s="46">
        <f>IFERROR(VLOOKUP(AO31,'Monthly Line Picks'!$A$1:$D$2101,4,FALSE),"0")</f>
        <v>6</v>
      </c>
      <c r="AP33" s="46">
        <f>IFERROR(VLOOKUP(AP31,'Monthly Line Picks'!$A$1:$D$2101,4,FALSE),"0")</f>
        <v>26</v>
      </c>
      <c r="AQ33" s="46">
        <f>IFERROR(VLOOKUP(AQ31,'Monthly Line Picks'!$A$1:$D$2101,4,FALSE),"0")</f>
        <v>32</v>
      </c>
      <c r="AR33" s="46">
        <f>IFERROR(VLOOKUP(AR31,'Monthly Line Picks'!$A$1:$D$2101,4,FALSE),"0")</f>
        <v>39</v>
      </c>
      <c r="AS33" s="46">
        <f>IFERROR(VLOOKUP(AS31,'Monthly Line Picks'!$A$1:$D$2101,4,FALSE),"0")</f>
        <v>7</v>
      </c>
      <c r="AT33" s="46">
        <f>IFERROR(VLOOKUP(AT31,'Monthly Line Picks'!$A$1:$D$2101,4,FALSE),"0")</f>
        <v>6</v>
      </c>
      <c r="AU33" s="46">
        <f>IFERROR(VLOOKUP(AU31,'Monthly Line Picks'!$A$1:$D$2101,4,FALSE),"0")</f>
        <v>52</v>
      </c>
      <c r="AV33" s="46">
        <f>IFERROR(VLOOKUP(AV31,'Monthly Line Picks'!$A$1:$D$2101,4,FALSE),"0")</f>
        <v>7</v>
      </c>
      <c r="AW33" s="46">
        <f>IFERROR(VLOOKUP(AW31,'Monthly Line Picks'!$A$1:$D$2101,4,FALSE),"0")</f>
        <v>28</v>
      </c>
      <c r="AX33" s="46">
        <f>IFERROR(VLOOKUP(AX31,'Monthly Line Picks'!$A$1:$D$2101,4,FALSE),"0")</f>
        <v>217</v>
      </c>
      <c r="AY33" s="46">
        <f>IFERROR(VLOOKUP(AY31,'Monthly Line Picks'!$A$1:$D$2101,4,FALSE),"0")</f>
        <v>21</v>
      </c>
      <c r="AZ33" s="46">
        <f>IFERROR(VLOOKUP(AZ31,'Monthly Line Picks'!$A$1:$D$2101,4,FALSE),"0")</f>
        <v>77</v>
      </c>
      <c r="BA33" s="46">
        <f>IFERROR(VLOOKUP(BA31,'Monthly Line Picks'!$A$1:$D$2101,4,FALSE),"0")</f>
        <v>7</v>
      </c>
      <c r="BB33" s="46" t="str">
        <f>IFERROR(VLOOKUP(BB31,'Monthly Line Picks'!$A$1:$D$2101,4,FALSE),"0")</f>
        <v>0</v>
      </c>
      <c r="BC33" s="46">
        <f>IFERROR(VLOOKUP(BC31,'Monthly Line Picks'!$A$1:$D$2101,4,FALSE),"0")</f>
        <v>16</v>
      </c>
      <c r="BD33" s="46" t="str">
        <f>IFERROR(VLOOKUP(BD31,'Monthly Line Picks'!$A$1:$D$2101,4,FALSE),"0")</f>
        <v>0</v>
      </c>
      <c r="BE33" s="46" t="str">
        <f>IFERROR(VLOOKUP(BE31,'Monthly Line Picks'!$A$1:$D$2101,4,FALSE),"0")</f>
        <v>0</v>
      </c>
      <c r="BF33" s="46" t="str">
        <f>IFERROR(VLOOKUP(BF31,'Monthly Line Picks'!$A$1:$D$2101,4,FALSE),"0")</f>
        <v>0</v>
      </c>
      <c r="BG33" s="46" t="str">
        <f>IFERROR(VLOOKUP(BG31,'Monthly Line Picks'!$A$1:$D$2101,4,FALSE),"0")</f>
        <v>0</v>
      </c>
      <c r="BH33" s="46" t="str">
        <f>IFERROR(VLOOKUP(BH31,'Monthly Line Picks'!$A$1:$D$2101,4,FALSE),"0")</f>
        <v>0</v>
      </c>
      <c r="BI33" s="46" t="str">
        <f>IFERROR(VLOOKUP(BI31,'Monthly Line Picks'!$A$1:$D$2101,4,FALSE),"0")</f>
        <v>0</v>
      </c>
      <c r="BJ33" s="46">
        <f>IFERROR(VLOOKUP(BJ31,'Monthly Line Picks'!$A$1:$D$2101,4,FALSE),"0")</f>
        <v>4</v>
      </c>
      <c r="BK33" s="46">
        <f>IFERROR(VLOOKUP(BK31,'Monthly Line Picks'!$A$1:$D$2101,4,FALSE),"0")</f>
        <v>6</v>
      </c>
      <c r="BL33" s="46" t="str">
        <f>IFERROR(VLOOKUP(BL31,'Monthly Line Picks'!$A$1:$D$2101,4,FALSE),"0")</f>
        <v>0</v>
      </c>
      <c r="BM33" s="56" t="s">
        <v>753</v>
      </c>
      <c r="BN33" s="37">
        <f>IFERROR(VLOOKUP(BM33,'Module Items'!$A$1:$B$2587,2,FALSE),"")</f>
        <v>58568</v>
      </c>
      <c r="BO33" s="44">
        <f>IFERROR(VLOOKUP(BM33,'Monthly Line Picks'!$A$1:$D$2000,4,FALSE),"0")</f>
        <v>3</v>
      </c>
      <c r="BP33" s="47" t="s">
        <v>754</v>
      </c>
      <c r="BQ33" s="37">
        <f>IFERROR(VLOOKUP(BP33,'Module Items'!$A$1:$B$2587,2,FALSE),"")</f>
        <v>138285</v>
      </c>
      <c r="BR33" s="44">
        <f>IFERROR(VLOOKUP(BP33,'Monthly Line Picks'!$A$1:$D$2000,4,FALSE),"0")</f>
        <v>18</v>
      </c>
      <c r="BS33" s="47" t="s">
        <v>755</v>
      </c>
      <c r="BT33" s="37">
        <f>IFERROR(VLOOKUP(BS33,'Module Items'!$A$1:$B$2587,2,FALSE),"")</f>
        <v>116639</v>
      </c>
      <c r="BU33" s="44">
        <f>IFERROR(VLOOKUP(BS33,'Monthly Line Picks'!$A$1:$D$2000,4,FALSE),"0")</f>
        <v>68</v>
      </c>
      <c r="BV33" s="47" t="s">
        <v>756</v>
      </c>
      <c r="BW33" s="37">
        <f>IFERROR(VLOOKUP(BV33,'Module Items'!$A$1:$B$2587,2,FALSE),"")</f>
        <v>96726</v>
      </c>
      <c r="BX33" s="44">
        <f>IFERROR(VLOOKUP(BV33,'Monthly Line Picks'!$A$1:$D$2000,4,FALSE),"0")</f>
        <v>5</v>
      </c>
      <c r="BY33" s="47" t="s">
        <v>757</v>
      </c>
      <c r="BZ33" s="37">
        <f>IFERROR(VLOOKUP(BY33,'Module Items'!$A$1:$B$2587,2,FALSE),"")</f>
        <v>176765</v>
      </c>
      <c r="CA33" s="44">
        <f>IFERROR(VLOOKUP(BY33,'Monthly Line Picks'!$A$1:$D$2000,4,FALSE),"0")</f>
        <v>4</v>
      </c>
      <c r="CB33" s="57" t="s">
        <v>758</v>
      </c>
      <c r="CC33" s="37">
        <f>IFERROR(VLOOKUP(CB33,'Module Items'!$A$1:$B$2587,2,FALSE),"")</f>
        <v>13348</v>
      </c>
      <c r="CD33" s="44">
        <f>IFERROR(VLOOKUP(CB33,'Monthly Line Picks'!$A$1:$D$2000,4,FALSE),"0")</f>
        <v>6</v>
      </c>
      <c r="CE33" s="181"/>
      <c r="CF33" s="182"/>
      <c r="CG33" s="183"/>
      <c r="CH33" s="46">
        <f>IFERROR(VLOOKUP(CH31,'Monthly Line Picks'!$A$1:$D$2101,4,FALSE),"0")</f>
        <v>107</v>
      </c>
      <c r="CI33" s="46" t="str">
        <f>IFERROR(VLOOKUP(CI31,'Monthly Line Picks'!$A$1:$D$2101,4,FALSE),"0")</f>
        <v>0</v>
      </c>
      <c r="CJ33" s="46" t="str">
        <f>IFERROR(VLOOKUP(CJ31,'Monthly Line Picks'!$A$1:$D$2101,4,FALSE),"0")</f>
        <v>0</v>
      </c>
      <c r="CK33" s="46">
        <f>IFERROR(VLOOKUP(CK31,'Monthly Line Picks'!$A$1:$D$2101,4,FALSE),"0")</f>
        <v>238</v>
      </c>
      <c r="CL33" s="46" t="str">
        <f>IFERROR(VLOOKUP(CL31,'Monthly Line Picks'!$A$1:$D$2101,4,FALSE),"0")</f>
        <v>0</v>
      </c>
      <c r="CM33" s="46" t="str">
        <f>IFERROR(VLOOKUP(CM31,'Monthly Line Picks'!$A$1:$D$2101,4,FALSE),"0")</f>
        <v>0</v>
      </c>
      <c r="CN33" s="46">
        <f>IFERROR(VLOOKUP(CN31,'Monthly Line Picks'!$A$1:$D$2101,4,FALSE),"0")</f>
        <v>98</v>
      </c>
      <c r="CO33" s="46">
        <f>IFERROR(VLOOKUP(CO31,'Monthly Line Picks'!$A$1:$D$2101,4,FALSE),"0")</f>
        <v>54</v>
      </c>
      <c r="CP33" s="46" t="str">
        <f>IFERROR(VLOOKUP(CP31,'Monthly Line Picks'!$A$1:$D$2101,4,FALSE),"0")</f>
        <v>0</v>
      </c>
      <c r="CQ33" s="46" t="str">
        <f>IFERROR(VLOOKUP(CQ31,'Monthly Line Picks'!$A$1:$D$2101,4,FALSE),"0")</f>
        <v>0</v>
      </c>
      <c r="CR33" s="46" t="str">
        <f>IFERROR(VLOOKUP(CR31,'Monthly Line Picks'!$A$1:$D$2101,4,FALSE),"0")</f>
        <v>0</v>
      </c>
      <c r="CS33" s="46" t="str">
        <f>IFERROR(VLOOKUP(CS31,'Monthly Line Picks'!$A$1:$D$2101,4,FALSE),"0")</f>
        <v>0</v>
      </c>
      <c r="CT33" s="46" t="str">
        <f>IFERROR(VLOOKUP(CT31,'Monthly Line Picks'!$A$1:$D$2101,4,FALSE),"0")</f>
        <v>0</v>
      </c>
      <c r="CU33" s="46">
        <f>IFERROR(VLOOKUP(CU31,'Monthly Line Picks'!$A$1:$D$2101,4,FALSE),"0")</f>
        <v>9</v>
      </c>
      <c r="CV33" s="46" t="str">
        <f>IFERROR(VLOOKUP(CV31,'Monthly Line Picks'!$A$1:$D$2101,4,FALSE),"0")</f>
        <v>0</v>
      </c>
      <c r="CW33" s="46">
        <f>IFERROR(VLOOKUP(CW31,'Monthly Line Picks'!$A$1:$D$2101,4,FALSE),"0")</f>
        <v>9</v>
      </c>
      <c r="CX33" s="46" t="str">
        <f>IFERROR(VLOOKUP(CX31,'Monthly Line Picks'!$A$1:$D$2101,4,FALSE),"0")</f>
        <v>0</v>
      </c>
      <c r="CY33" s="46">
        <f>IFERROR(VLOOKUP(CY31,'Monthly Line Picks'!$A$1:$D$2101,4,FALSE),"0")</f>
        <v>18</v>
      </c>
      <c r="CZ33" s="46">
        <f>IFERROR(VLOOKUP(CZ31,'Monthly Line Picks'!$A$1:$D$2101,4,FALSE),"0")</f>
        <v>59</v>
      </c>
      <c r="DA33" s="46">
        <f>IFERROR(VLOOKUP(DA31,'Monthly Line Picks'!$A$1:$D$2101,4,FALSE),"0")</f>
        <v>71</v>
      </c>
      <c r="DB33" s="46">
        <f>IFERROR(VLOOKUP(DB31,'Monthly Line Picks'!$A$1:$D$2101,4,FALSE),"0")</f>
        <v>57</v>
      </c>
      <c r="DC33" s="46">
        <f>IFERROR(VLOOKUP(DC31,'Monthly Line Picks'!$A$1:$D$2101,4,FALSE),"0")</f>
        <v>39</v>
      </c>
      <c r="DD33" s="46" t="str">
        <f>IFERROR(VLOOKUP(DD31,'Monthly Line Picks'!$A$1:$D$2101,4,FALSE),"0")</f>
        <v>0</v>
      </c>
      <c r="DE33" s="46">
        <f>IFERROR(VLOOKUP(DE31,'Monthly Line Picks'!$A$1:$D$2101,4,FALSE),"0")</f>
        <v>62</v>
      </c>
      <c r="DF33" s="46" t="str">
        <f>IFERROR(VLOOKUP(DF31,'Monthly Line Picks'!$A$1:$D$2101,4,FALSE),"0")</f>
        <v>0</v>
      </c>
      <c r="DG33" s="46" t="str">
        <f>IFERROR(VLOOKUP(DG31,'Monthly Line Picks'!$A$1:$D$2101,4,FALSE),"0")</f>
        <v>0</v>
      </c>
      <c r="DH33" s="46" t="str">
        <f>IFERROR(VLOOKUP(DH31,'Monthly Line Picks'!$A$1:$D$2101,4,FALSE),"0")</f>
        <v>0</v>
      </c>
      <c r="DI33" s="46">
        <f>IFERROR(VLOOKUP(DI31,'Monthly Line Picks'!$A$1:$D$2101,4,FALSE),"0")</f>
        <v>35</v>
      </c>
      <c r="DJ33" s="46">
        <f>IFERROR(VLOOKUP(DJ31,'Monthly Line Picks'!$A$1:$D$2101,4,FALSE),"0")</f>
        <v>36</v>
      </c>
      <c r="DK33" s="46">
        <f>IFERROR(VLOOKUP(DK31,'Monthly Line Picks'!$A$1:$D$2101,4,FALSE),"0")</f>
        <v>32</v>
      </c>
      <c r="DL33" s="46" t="str">
        <f>IFERROR(VLOOKUP(DL31,'Monthly Line Picks'!$A$1:$D$2101,4,FALSE),"0")</f>
        <v>0</v>
      </c>
      <c r="DM33" s="46" t="str">
        <f>IFERROR(VLOOKUP(DM31,'Monthly Line Picks'!$A$1:$D$2101,4,FALSE),"0")</f>
        <v>0</v>
      </c>
      <c r="DN33" s="46" t="str">
        <f>IFERROR(VLOOKUP(DN31,'Monthly Line Picks'!$A$1:$D$2101,4,FALSE),"0")</f>
        <v>0</v>
      </c>
      <c r="DO33" s="46" t="str">
        <f>IFERROR(VLOOKUP(DO31,'Monthly Line Picks'!$A$1:$D$2101,4,FALSE),"0")</f>
        <v>0</v>
      </c>
      <c r="DP33" s="46" t="str">
        <f>IFERROR(VLOOKUP(DP31,'Monthly Line Picks'!$A$1:$D$2101,4,FALSE),"0")</f>
        <v>0</v>
      </c>
      <c r="DQ33" s="46">
        <f>IFERROR(VLOOKUP(DQ31,'Monthly Line Picks'!$A$1:$D$2101,4,FALSE),"0")</f>
        <v>26</v>
      </c>
      <c r="DR33" s="46">
        <f>IFERROR(VLOOKUP(DR31,'Monthly Line Picks'!$A$1:$D$2101,4,FALSE),"0")</f>
        <v>21</v>
      </c>
      <c r="DS33" s="166"/>
      <c r="DT33" s="46" t="str">
        <f>IFERROR(VLOOKUP(DT31,'Monthly Line Picks'!$A$1:$D$1458,4,FALSE),"0")</f>
        <v>0</v>
      </c>
    </row>
    <row r="34" spans="7:128" ht="15.95" thickBot="1">
      <c r="K34" s="56" t="s">
        <v>759</v>
      </c>
      <c r="L34" s="37">
        <f>IFERROR(VLOOKUP(K34,'Module Items'!$A$1:$B$2587,2,FALSE),"")</f>
        <v>126155</v>
      </c>
      <c r="M34" s="44" t="str">
        <f>IFERROR(VLOOKUP(K34,'Monthly Line Picks'!$A$1:$D$2000,4,FALSE),"0")</f>
        <v>0</v>
      </c>
      <c r="N34" s="47" t="s">
        <v>760</v>
      </c>
      <c r="O34" s="37">
        <f>IFERROR(VLOOKUP(N34,'Module Items'!$A$1:$B$2587,2,FALSE),"")</f>
        <v>116458</v>
      </c>
      <c r="P34" s="44">
        <f>IFERROR(VLOOKUP(N34,'Monthly Line Picks'!$A$1:$D$2000,4,FALSE),"0")</f>
        <v>5</v>
      </c>
      <c r="Q34" s="47" t="s">
        <v>761</v>
      </c>
      <c r="R34" s="37">
        <f>IFERROR(VLOOKUP(Q34,'Module Items'!$A$1:$B$2587,2,FALSE),"")</f>
        <v>101265</v>
      </c>
      <c r="S34" s="44">
        <f>IFERROR(VLOOKUP(Q34,'Monthly Line Picks'!$A$1:$D$2000,4,FALSE),"0")</f>
        <v>16</v>
      </c>
      <c r="T34" s="47" t="s">
        <v>762</v>
      </c>
      <c r="U34" s="37">
        <f>IFERROR(VLOOKUP(T34,'Module Items'!$A$1:$B$2587,2,FALSE),"")</f>
        <v>101249</v>
      </c>
      <c r="V34" s="44">
        <f>IFERROR(VLOOKUP(T34,'Monthly Line Picks'!$A$1:$D$2000,4,FALSE),"0")</f>
        <v>13</v>
      </c>
      <c r="W34" s="47" t="s">
        <v>763</v>
      </c>
      <c r="X34" s="37">
        <f>IFERROR(VLOOKUP(W34,'Module Items'!$A$1:$B$2587,2,FALSE),"")</f>
        <v>4410</v>
      </c>
      <c r="Y34" s="44">
        <f>IFERROR(VLOOKUP(W34,'Monthly Line Picks'!$A$1:$D$2000,4,FALSE),"0")</f>
        <v>4</v>
      </c>
      <c r="Z34" s="57" t="s">
        <v>764</v>
      </c>
      <c r="AA34" s="37">
        <f>IFERROR(VLOOKUP(Z34,'Module Items'!$A$1:$B$2587,2,FALSE),"")</f>
        <v>100294</v>
      </c>
      <c r="AB34" s="44">
        <f>IFERROR(VLOOKUP(Z34,'Monthly Line Picks'!$A$1:$D$2000,4,FALSE),"0")</f>
        <v>3</v>
      </c>
      <c r="AC34" s="10" t="s">
        <v>765</v>
      </c>
      <c r="AD34" s="13" t="s">
        <v>766</v>
      </c>
      <c r="AE34" s="13" t="s">
        <v>767</v>
      </c>
      <c r="AF34" s="41" t="s">
        <v>768</v>
      </c>
      <c r="AG34" s="169"/>
      <c r="AH34" s="11" t="s">
        <v>769</v>
      </c>
      <c r="AI34" s="37" t="s">
        <v>770</v>
      </c>
      <c r="AJ34" s="13" t="s">
        <v>771</v>
      </c>
      <c r="AK34" s="7" t="s">
        <v>772</v>
      </c>
      <c r="AL34" s="8" t="s">
        <v>773</v>
      </c>
      <c r="AM34" s="7" t="s">
        <v>774</v>
      </c>
      <c r="AN34" s="28" t="s">
        <v>775</v>
      </c>
      <c r="AO34" s="39" t="s">
        <v>776</v>
      </c>
      <c r="AP34" s="7" t="s">
        <v>777</v>
      </c>
      <c r="AQ34" s="7" t="s">
        <v>778</v>
      </c>
      <c r="AR34" s="7" t="s">
        <v>779</v>
      </c>
      <c r="AS34" s="7" t="s">
        <v>780</v>
      </c>
      <c r="AT34" s="28" t="s">
        <v>781</v>
      </c>
      <c r="AU34" s="9" t="s">
        <v>782</v>
      </c>
      <c r="AV34" s="7" t="s">
        <v>783</v>
      </c>
      <c r="AW34" s="7" t="s">
        <v>784</v>
      </c>
      <c r="AX34" s="7" t="s">
        <v>785</v>
      </c>
      <c r="AY34" s="7" t="s">
        <v>786</v>
      </c>
      <c r="AZ34" s="28" t="s">
        <v>787</v>
      </c>
      <c r="BA34" s="39" t="s">
        <v>788</v>
      </c>
      <c r="BB34" s="7" t="s">
        <v>789</v>
      </c>
      <c r="BC34" s="7" t="s">
        <v>790</v>
      </c>
      <c r="BD34" s="7" t="s">
        <v>791</v>
      </c>
      <c r="BE34" s="7" t="s">
        <v>792</v>
      </c>
      <c r="BF34" s="28" t="s">
        <v>793</v>
      </c>
      <c r="BG34" s="39" t="s">
        <v>794</v>
      </c>
      <c r="BH34" s="7" t="s">
        <v>795</v>
      </c>
      <c r="BI34" s="7" t="s">
        <v>796</v>
      </c>
      <c r="BJ34" s="7" t="s">
        <v>797</v>
      </c>
      <c r="BK34" s="7" t="s">
        <v>798</v>
      </c>
      <c r="BL34" s="28" t="s">
        <v>799</v>
      </c>
      <c r="BM34" s="56" t="s">
        <v>800</v>
      </c>
      <c r="BN34" s="37">
        <f>IFERROR(VLOOKUP(BM34,'Module Items'!$A$1:$B$2587,2,FALSE),"")</f>
        <v>73353</v>
      </c>
      <c r="BO34" s="44">
        <f>IFERROR(VLOOKUP(BM34,'Monthly Line Picks'!$A$1:$D$2000,4,FALSE),"0")</f>
        <v>14</v>
      </c>
      <c r="BP34" s="47" t="s">
        <v>801</v>
      </c>
      <c r="BQ34" s="37">
        <f>IFERROR(VLOOKUP(BP34,'Module Items'!$A$1:$B$2587,2,FALSE),"")</f>
        <v>156679</v>
      </c>
      <c r="BR34" s="44">
        <f>IFERROR(VLOOKUP(BP34,'Monthly Line Picks'!$A$1:$D$2000,4,FALSE),"0")</f>
        <v>1</v>
      </c>
      <c r="BS34" s="47" t="s">
        <v>802</v>
      </c>
      <c r="BT34" s="37">
        <f>IFERROR(VLOOKUP(BS34,'Module Items'!$A$1:$B$2587,2,FALSE),"")</f>
        <v>91</v>
      </c>
      <c r="BU34" s="44">
        <f>IFERROR(VLOOKUP(BS34,'Monthly Line Picks'!$A$1:$D$2000,4,FALSE),"0")</f>
        <v>9</v>
      </c>
      <c r="BV34" s="47" t="s">
        <v>803</v>
      </c>
      <c r="BW34" s="37">
        <f>IFERROR(VLOOKUP(BV34,'Module Items'!$A$1:$B$2587,2,FALSE),"")</f>
        <v>2948</v>
      </c>
      <c r="BX34" s="44">
        <f>IFERROR(VLOOKUP(BV34,'Monthly Line Picks'!$A$1:$D$2000,4,FALSE),"0")</f>
        <v>7</v>
      </c>
      <c r="BY34" s="47" t="s">
        <v>804</v>
      </c>
      <c r="BZ34" s="37">
        <f>IFERROR(VLOOKUP(BY34,'Module Items'!$A$1:$B$2587,2,FALSE),"")</f>
        <v>84777</v>
      </c>
      <c r="CA34" s="44">
        <f>IFERROR(VLOOKUP(BY34,'Monthly Line Picks'!$A$1:$D$2000,4,FALSE),"0")</f>
        <v>8</v>
      </c>
      <c r="CB34" s="57" t="s">
        <v>805</v>
      </c>
      <c r="CC34" s="37">
        <f>IFERROR(VLOOKUP(CB34,'Module Items'!$A$1:$B$2587,2,FALSE),"")</f>
        <v>107986</v>
      </c>
      <c r="CD34" s="44">
        <f>IFERROR(VLOOKUP(CB34,'Monthly Line Picks'!$A$1:$D$2000,4,FALSE),"0")</f>
        <v>1</v>
      </c>
      <c r="CE34" s="181"/>
      <c r="CF34" s="182"/>
      <c r="CG34" s="183"/>
      <c r="CH34" s="7" t="s">
        <v>806</v>
      </c>
      <c r="CI34" s="7" t="s">
        <v>807</v>
      </c>
      <c r="CJ34" s="28" t="s">
        <v>808</v>
      </c>
      <c r="CK34" s="9" t="s">
        <v>809</v>
      </c>
      <c r="CL34" s="7" t="s">
        <v>810</v>
      </c>
      <c r="CM34" s="7" t="s">
        <v>811</v>
      </c>
      <c r="CN34" s="7" t="s">
        <v>812</v>
      </c>
      <c r="CO34" s="7" t="s">
        <v>813</v>
      </c>
      <c r="CP34" s="14" t="s">
        <v>814</v>
      </c>
      <c r="CQ34" s="39" t="s">
        <v>815</v>
      </c>
      <c r="CR34" s="7" t="s">
        <v>816</v>
      </c>
      <c r="CS34" s="7" t="s">
        <v>817</v>
      </c>
      <c r="CT34" s="7" t="s">
        <v>818</v>
      </c>
      <c r="CU34" s="7" t="s">
        <v>819</v>
      </c>
      <c r="CV34" s="28" t="s">
        <v>820</v>
      </c>
      <c r="CW34" s="39" t="s">
        <v>821</v>
      </c>
      <c r="CX34" s="7" t="s">
        <v>822</v>
      </c>
      <c r="CY34" s="7" t="s">
        <v>823</v>
      </c>
      <c r="CZ34" s="7" t="s">
        <v>824</v>
      </c>
      <c r="DA34" s="7" t="s">
        <v>825</v>
      </c>
      <c r="DB34" s="28" t="s">
        <v>826</v>
      </c>
      <c r="DC34" s="9" t="s">
        <v>827</v>
      </c>
      <c r="DD34" s="7" t="s">
        <v>828</v>
      </c>
      <c r="DE34" s="7" t="s">
        <v>829</v>
      </c>
      <c r="DF34" s="7" t="s">
        <v>830</v>
      </c>
      <c r="DG34" s="7" t="s">
        <v>831</v>
      </c>
      <c r="DH34" s="28" t="s">
        <v>832</v>
      </c>
      <c r="DI34" s="39" t="s">
        <v>833</v>
      </c>
      <c r="DJ34" s="7" t="s">
        <v>834</v>
      </c>
      <c r="DK34" s="7" t="s">
        <v>835</v>
      </c>
      <c r="DL34" s="7" t="s">
        <v>836</v>
      </c>
      <c r="DM34" s="7" t="s">
        <v>837</v>
      </c>
      <c r="DN34" s="28" t="s">
        <v>838</v>
      </c>
      <c r="DO34" s="39" t="s">
        <v>839</v>
      </c>
      <c r="DP34" s="7" t="s">
        <v>840</v>
      </c>
      <c r="DQ34" s="7" t="s">
        <v>841</v>
      </c>
      <c r="DR34" s="7" t="s">
        <v>842</v>
      </c>
      <c r="DS34" s="166"/>
      <c r="DT34" s="28" t="s">
        <v>843</v>
      </c>
    </row>
    <row r="35" spans="7:128" ht="15.95" thickBot="1">
      <c r="K35" s="56" t="s">
        <v>844</v>
      </c>
      <c r="L35" s="37">
        <f>IFERROR(VLOOKUP(K35,'Module Items'!$A$1:$B$2587,2,FALSE),"")</f>
        <v>69079</v>
      </c>
      <c r="M35" s="44" t="str">
        <f>IFERROR(VLOOKUP(K35,'Monthly Line Picks'!$A$1:$D$2000,4,FALSE),"0")</f>
        <v>0</v>
      </c>
      <c r="N35" s="47" t="s">
        <v>845</v>
      </c>
      <c r="O35" s="37">
        <f>IFERROR(VLOOKUP(N35,'Module Items'!$A$1:$B$2587,2,FALSE),"")</f>
        <v>77911</v>
      </c>
      <c r="P35" s="44">
        <f>IFERROR(VLOOKUP(N35,'Monthly Line Picks'!$A$1:$D$2000,4,FALSE),"0")</f>
        <v>3</v>
      </c>
      <c r="Q35" s="47" t="s">
        <v>846</v>
      </c>
      <c r="R35" s="37">
        <f>IFERROR(VLOOKUP(Q35,'Module Items'!$A$1:$B$2587,2,FALSE),"")</f>
        <v>127244</v>
      </c>
      <c r="S35" s="44">
        <f>IFERROR(VLOOKUP(Q35,'Monthly Line Picks'!$A$1:$D$2000,4,FALSE),"0")</f>
        <v>25</v>
      </c>
      <c r="T35" s="47" t="s">
        <v>847</v>
      </c>
      <c r="U35" s="37">
        <f>IFERROR(VLOOKUP(T35,'Module Items'!$A$1:$B$2587,2,FALSE),"")</f>
        <v>30774</v>
      </c>
      <c r="V35" s="44" t="str">
        <f>IFERROR(VLOOKUP(T35,'Monthly Line Picks'!$A$1:$D$2000,4,FALSE),"0")</f>
        <v>0</v>
      </c>
      <c r="W35" s="47" t="s">
        <v>848</v>
      </c>
      <c r="X35" s="37">
        <f>IFERROR(VLOOKUP(W35,'Module Items'!$A$1:$B$2587,2,FALSE),"")</f>
        <v>6833</v>
      </c>
      <c r="Y35" s="44">
        <f>IFERROR(VLOOKUP(W35,'Monthly Line Picks'!$A$1:$D$2000,4,FALSE),"0")</f>
        <v>14</v>
      </c>
      <c r="Z35" s="57" t="s">
        <v>849</v>
      </c>
      <c r="AA35" s="37">
        <f>IFERROR(VLOOKUP(Z35,'Module Items'!$A$1:$B$2587,2,FALSE),"")</f>
        <v>119896</v>
      </c>
      <c r="AB35" s="44">
        <f>IFERROR(VLOOKUP(Z35,'Monthly Line Picks'!$A$1:$D$2000,4,FALSE),"0")</f>
        <v>2</v>
      </c>
      <c r="AC35" s="46">
        <f>IFERROR(VLOOKUP(AC34,'Module Items'!$A$1:$B$2587,2,FALSE),"")</f>
        <v>97220</v>
      </c>
      <c r="AD35" s="46" t="str">
        <f>IFERROR(VLOOKUP(AD34,'Module Items'!$A$1:$B$2587,2,FALSE),"")</f>
        <v/>
      </c>
      <c r="AE35" s="46" t="str">
        <f>IFERROR(VLOOKUP(AE34,'Module Items'!$A$1:$B$2587,2,FALSE),"")</f>
        <v/>
      </c>
      <c r="AF35" s="46">
        <f>IFERROR(VLOOKUP(AF34,'Module Items'!$A$1:$B$2587,2,FALSE),"")</f>
        <v>113611</v>
      </c>
      <c r="AG35" s="169"/>
      <c r="AH35" s="46">
        <f>IFERROR(VLOOKUP(AH34,'Module Items'!$A$1:$B$2587,2,FALSE),"")</f>
        <v>135227</v>
      </c>
      <c r="AI35" s="46" t="str">
        <f>IFERROR(VLOOKUP(AI34,'Module Items'!$A$1:$B$2587,2,FALSE),"")</f>
        <v/>
      </c>
      <c r="AJ35" s="46" t="str">
        <f>IFERROR(VLOOKUP(AJ34,'Module Items'!$A$1:$B$2587,2,FALSE),"")</f>
        <v/>
      </c>
      <c r="AK35" s="46" t="str">
        <f>IFERROR(VLOOKUP(AK34,'Module Items'!$A$1:$B$2587,2,FALSE),"")</f>
        <v/>
      </c>
      <c r="AL35" s="46">
        <f>IFERROR(VLOOKUP(AL34,'Module Items'!$A$1:$B$2587,2,FALSE),"")</f>
        <v>112566</v>
      </c>
      <c r="AM35" s="46">
        <f>IFERROR(VLOOKUP(AM34,'Module Items'!$A$1:$B$2587,2,FALSE),"")</f>
        <v>3043</v>
      </c>
      <c r="AN35" s="46" t="str">
        <f>IFERROR(VLOOKUP(AN34,'Module Items'!$A$1:$B$2587,2,FALSE),"")</f>
        <v>OPEN</v>
      </c>
      <c r="AO35" s="46">
        <f>IFERROR(VLOOKUP(AO34,'Module Items'!$A$1:$B$2587,2,FALSE),"")</f>
        <v>157660</v>
      </c>
      <c r="AP35" s="46" t="str">
        <f>IFERROR(VLOOKUP(AP34,'Module Items'!$A$1:$B$2587,2,FALSE),"")</f>
        <v/>
      </c>
      <c r="AQ35" s="46">
        <f>IFERROR(VLOOKUP(AQ34,'Module Items'!$A$1:$B$2587,2,FALSE),"")</f>
        <v>132720</v>
      </c>
      <c r="AR35" s="46">
        <f>IFERROR(VLOOKUP(AR34,'Module Items'!$A$1:$B$2587,2,FALSE),"")</f>
        <v>125053</v>
      </c>
      <c r="AS35" s="46">
        <f>IFERROR(VLOOKUP(AS34,'Module Items'!$A$1:$B$2587,2,FALSE),"")</f>
        <v>157415</v>
      </c>
      <c r="AT35" s="46">
        <f>IFERROR(VLOOKUP(AT34,'Module Items'!$A$1:$B$2587,2,FALSE),"")</f>
        <v>86658</v>
      </c>
      <c r="AU35" s="46" t="str">
        <f>IFERROR(VLOOKUP(AU34,'Module Items'!$A$1:$B$2587,2,FALSE),"")</f>
        <v/>
      </c>
      <c r="AV35" s="46" t="str">
        <f>IFERROR(VLOOKUP(AV34,'Module Items'!$A$1:$B$2587,2,FALSE),"")</f>
        <v/>
      </c>
      <c r="AW35" s="46">
        <f>IFERROR(VLOOKUP(AW34,'Module Items'!$A$1:$B$2587,2,FALSE),"")</f>
        <v>82833</v>
      </c>
      <c r="AX35" s="46">
        <f>IFERROR(VLOOKUP(AX34,'Module Items'!$A$1:$B$2587,2,FALSE),"")</f>
        <v>137303</v>
      </c>
      <c r="AY35" s="46">
        <f>IFERROR(VLOOKUP(AY34,'Module Items'!$A$1:$B$2587,2,FALSE),"")</f>
        <v>35270</v>
      </c>
      <c r="AZ35" s="46">
        <f>IFERROR(VLOOKUP(AZ34,'Module Items'!$A$1:$B$2587,2,FALSE),"")</f>
        <v>4887</v>
      </c>
      <c r="BA35" s="46" t="str">
        <f>IFERROR(VLOOKUP(BA34,'Module Items'!$A$1:$B$2587,2,FALSE),"")</f>
        <v>OPEN</v>
      </c>
      <c r="BB35" s="46">
        <f>IFERROR(VLOOKUP(BB34,'Module Items'!$A$1:$B$2587,2,FALSE),"")</f>
        <v>172656</v>
      </c>
      <c r="BC35" s="46" t="str">
        <f>IFERROR(VLOOKUP(BC34,'Module Items'!$A$1:$B$2587,2,FALSE),"")</f>
        <v/>
      </c>
      <c r="BD35" s="46">
        <f>IFERROR(VLOOKUP(BD34,'Module Items'!$A$1:$B$2587,2,FALSE),"")</f>
        <v>143585</v>
      </c>
      <c r="BE35" s="46">
        <f>IFERROR(VLOOKUP(BE34,'Module Items'!$A$1:$B$2587,2,FALSE),"")</f>
        <v>48877</v>
      </c>
      <c r="BF35" s="46" t="str">
        <f>IFERROR(VLOOKUP(BF34,'Module Items'!$A$1:$B$2587,2,FALSE),"")</f>
        <v>OPEN</v>
      </c>
      <c r="BG35" s="46" t="str">
        <f>IFERROR(VLOOKUP(BG34,'Module Items'!$A$1:$B$2587,2,FALSE),"")</f>
        <v/>
      </c>
      <c r="BH35" s="46">
        <f>IFERROR(VLOOKUP(BH34,'Module Items'!$A$1:$B$2587,2,FALSE),"")</f>
        <v>1034</v>
      </c>
      <c r="BI35" s="46">
        <f>IFERROR(VLOOKUP(BI34,'Module Items'!$A$1:$B$2587,2,FALSE),"")</f>
        <v>60081</v>
      </c>
      <c r="BJ35" s="46">
        <f>IFERROR(VLOOKUP(BJ34,'Module Items'!$A$1:$B$2587,2,FALSE),"")</f>
        <v>177618</v>
      </c>
      <c r="BK35" s="46" t="str">
        <f>IFERROR(VLOOKUP(BK34,'Module Items'!$A$1:$B$2587,2,FALSE),"")</f>
        <v>OPEN</v>
      </c>
      <c r="BL35" s="46">
        <f>IFERROR(VLOOKUP(BL34,'Module Items'!$A$1:$B$2587,2,FALSE),"")</f>
        <v>156829</v>
      </c>
      <c r="BM35" s="56" t="s">
        <v>850</v>
      </c>
      <c r="BN35" s="37">
        <f>IFERROR(VLOOKUP(BM35,'Module Items'!$A$1:$B$2587,2,FALSE),"")</f>
        <v>61250</v>
      </c>
      <c r="BO35" s="44">
        <f>IFERROR(VLOOKUP(BM35,'Monthly Line Picks'!$A$1:$D$2000,4,FALSE),"0")</f>
        <v>4</v>
      </c>
      <c r="BP35" s="47" t="s">
        <v>851</v>
      </c>
      <c r="BQ35" s="37">
        <f>IFERROR(VLOOKUP(BP35,'Module Items'!$A$1:$B$2587,2,FALSE),"")</f>
        <v>61046</v>
      </c>
      <c r="BR35" s="44">
        <f>IFERROR(VLOOKUP(BP35,'Monthly Line Picks'!$A$1:$D$2000,4,FALSE),"0")</f>
        <v>34</v>
      </c>
      <c r="BS35" s="47" t="s">
        <v>852</v>
      </c>
      <c r="BT35" s="37">
        <f>IFERROR(VLOOKUP(BS35,'Module Items'!$A$1:$B$2587,2,FALSE),"")</f>
        <v>140909</v>
      </c>
      <c r="BU35" s="44" t="str">
        <f>IFERROR(VLOOKUP(BS35,'Monthly Line Picks'!$A$1:$D$2000,4,FALSE),"0")</f>
        <v>0</v>
      </c>
      <c r="BV35" s="47" t="s">
        <v>853</v>
      </c>
      <c r="BW35" s="37">
        <f>IFERROR(VLOOKUP(BV35,'Module Items'!$A$1:$B$2587,2,FALSE),"")</f>
        <v>13892</v>
      </c>
      <c r="BX35" s="44">
        <f>IFERROR(VLOOKUP(BV35,'Monthly Line Picks'!$A$1:$D$2000,4,FALSE),"0")</f>
        <v>2</v>
      </c>
      <c r="BY35" s="47" t="s">
        <v>854</v>
      </c>
      <c r="BZ35" s="37">
        <f>IFERROR(VLOOKUP(BY35,'Module Items'!$A$1:$B$2587,2,FALSE),"")</f>
        <v>39812</v>
      </c>
      <c r="CA35" s="44" t="str">
        <f>IFERROR(VLOOKUP(BY35,'Monthly Line Picks'!$A$1:$D$2000,4,FALSE),"0")</f>
        <v>0</v>
      </c>
      <c r="CB35" s="57" t="s">
        <v>855</v>
      </c>
      <c r="CC35" s="37">
        <f>IFERROR(VLOOKUP(CB35,'Module Items'!$A$1:$B$2587,2,FALSE),"")</f>
        <v>88073</v>
      </c>
      <c r="CD35" s="44">
        <f>IFERROR(VLOOKUP(CB35,'Monthly Line Picks'!$A$1:$D$2000,4,FALSE),"0")</f>
        <v>2</v>
      </c>
      <c r="CE35" s="181"/>
      <c r="CF35" s="182"/>
      <c r="CG35" s="183"/>
      <c r="CH35" s="46" t="str">
        <f>IFERROR(VLOOKUP(CH34,'Module Items'!$A$1:$B$2587,2,FALSE),"")</f>
        <v/>
      </c>
      <c r="CI35" s="46">
        <f>IFERROR(VLOOKUP(CI34,'Module Items'!$A$1:$B$2587,2,FALSE),"")</f>
        <v>125897</v>
      </c>
      <c r="CJ35" s="46" t="str">
        <f>IFERROR(VLOOKUP(CJ34,'Module Items'!$A$1:$B$2587,2,FALSE),"")</f>
        <v/>
      </c>
      <c r="CK35" s="46">
        <f>IFERROR(VLOOKUP(CK34,'Module Items'!$A$1:$B$2587,2,FALSE),"")</f>
        <v>100875</v>
      </c>
      <c r="CL35" s="46" t="str">
        <f>IFERROR(VLOOKUP(CL34,'Module Items'!$A$1:$B$2587,2,FALSE),"")</f>
        <v>OPEN</v>
      </c>
      <c r="CM35" s="46">
        <f>IFERROR(VLOOKUP(CM34,'Module Items'!$A$1:$B$2587,2,FALSE),"")</f>
        <v>130177</v>
      </c>
      <c r="CN35" s="46">
        <f>IFERROR(VLOOKUP(CN34,'Module Items'!$A$1:$B$2587,2,FALSE),"")</f>
        <v>124669</v>
      </c>
      <c r="CO35" s="46">
        <f>IFERROR(VLOOKUP(CO34,'Module Items'!$A$1:$B$2587,2,FALSE),"")</f>
        <v>106272</v>
      </c>
      <c r="CP35" s="46" t="str">
        <f>IFERROR(VLOOKUP(CP34,'Module Items'!$A$1:$B$2587,2,FALSE),"")</f>
        <v>OPEN</v>
      </c>
      <c r="CQ35" s="46">
        <f>IFERROR(VLOOKUP(CQ34,'Module Items'!$A$1:$B$2587,2,FALSE),"")</f>
        <v>129752</v>
      </c>
      <c r="CR35" s="46" t="str">
        <f>IFERROR(VLOOKUP(CR34,'Module Items'!$A$1:$B$2587,2,FALSE),"")</f>
        <v>OPEN</v>
      </c>
      <c r="CS35" s="46">
        <f>IFERROR(VLOOKUP(CS34,'Module Items'!$A$1:$B$2587,2,FALSE),"")</f>
        <v>63746</v>
      </c>
      <c r="CT35" s="46">
        <f>IFERROR(VLOOKUP(CT34,'Module Items'!$A$1:$B$2587,2,FALSE),"")</f>
        <v>101245</v>
      </c>
      <c r="CU35" s="46" t="str">
        <f>IFERROR(VLOOKUP(CU34,'Module Items'!$A$1:$B$2587,2,FALSE),"")</f>
        <v>OPEN</v>
      </c>
      <c r="CV35" s="46" t="str">
        <f>IFERROR(VLOOKUP(CV34,'Module Items'!$A$1:$B$2587,2,FALSE),"")</f>
        <v>OPEN</v>
      </c>
      <c r="CW35" s="46">
        <f>IFERROR(VLOOKUP(CW34,'Module Items'!$A$1:$B$2587,2,FALSE),"")</f>
        <v>178215</v>
      </c>
      <c r="CX35" s="46" t="str">
        <f>IFERROR(VLOOKUP(CX34,'Module Items'!$A$1:$B$2587,2,FALSE),"")</f>
        <v>OPEN</v>
      </c>
      <c r="CY35" s="46" t="str">
        <f>IFERROR(VLOOKUP(CY34,'Module Items'!$A$1:$B$2587,2,FALSE),"")</f>
        <v>OPEN</v>
      </c>
      <c r="CZ35" s="46">
        <f>IFERROR(VLOOKUP(CZ34,'Module Items'!$A$1:$B$2587,2,FALSE),"")</f>
        <v>48962</v>
      </c>
      <c r="DA35" s="46" t="str">
        <f>IFERROR(VLOOKUP(DA34,'Module Items'!$A$1:$B$2587,2,FALSE),"")</f>
        <v>OPEN</v>
      </c>
      <c r="DB35" s="46" t="str">
        <f>IFERROR(VLOOKUP(DB34,'Module Items'!$A$1:$B$2587,2,FALSE),"")</f>
        <v>OPEN</v>
      </c>
      <c r="DC35" s="46" t="str">
        <f>IFERROR(VLOOKUP(DC34,'Module Items'!$A$1:$B$2587,2,FALSE),"")</f>
        <v>OPEN</v>
      </c>
      <c r="DD35" s="46">
        <f>IFERROR(VLOOKUP(DD34,'Module Items'!$A$1:$B$2587,2,FALSE),"")</f>
        <v>138555</v>
      </c>
      <c r="DE35" s="46">
        <f>IFERROR(VLOOKUP(DE34,'Module Items'!$A$1:$B$2587,2,FALSE),"")</f>
        <v>474</v>
      </c>
      <c r="DF35" s="46" t="str">
        <f>IFERROR(VLOOKUP(DF34,'Module Items'!$A$1:$B$2587,2,FALSE),"")</f>
        <v>OPEN</v>
      </c>
      <c r="DG35" s="46" t="str">
        <f>IFERROR(VLOOKUP(DG34,'Module Items'!$A$1:$B$2587,2,FALSE),"")</f>
        <v/>
      </c>
      <c r="DH35" s="46" t="str">
        <f>IFERROR(VLOOKUP(DH34,'Module Items'!$A$1:$B$2587,2,FALSE),"")</f>
        <v>OPEN</v>
      </c>
      <c r="DI35" s="46">
        <f>IFERROR(VLOOKUP(DI34,'Module Items'!$A$1:$B$2587,2,FALSE),"")</f>
        <v>113996</v>
      </c>
      <c r="DJ35" s="46" t="str">
        <f>IFERROR(VLOOKUP(DJ34,'Module Items'!$A$1:$B$2587,2,FALSE),"")</f>
        <v/>
      </c>
      <c r="DK35" s="46" t="str">
        <f>IFERROR(VLOOKUP(DK34,'Module Items'!$A$1:$B$2587,2,FALSE),"")</f>
        <v>OPEN</v>
      </c>
      <c r="DL35" s="46" t="str">
        <f>IFERROR(VLOOKUP(DL34,'Module Items'!$A$1:$B$2587,2,FALSE),"")</f>
        <v>OPEN</v>
      </c>
      <c r="DM35" s="46">
        <f>IFERROR(VLOOKUP(DM34,'Module Items'!$A$1:$B$2587,2,FALSE),"")</f>
        <v>156826</v>
      </c>
      <c r="DN35" s="46">
        <f>IFERROR(VLOOKUP(DN34,'Module Items'!$A$1:$B$2587,2,FALSE),"")</f>
        <v>517</v>
      </c>
      <c r="DO35" s="46" t="str">
        <f>IFERROR(VLOOKUP(DO34,'Module Items'!$A$1:$B$2587,2,FALSE),"")</f>
        <v/>
      </c>
      <c r="DP35" s="46" t="str">
        <f>IFERROR(VLOOKUP(DP34,'Module Items'!$A$1:$B$2587,2,FALSE),"")</f>
        <v/>
      </c>
      <c r="DQ35" s="46">
        <f>IFERROR(VLOOKUP(DQ34,'Module Items'!$A$1:$B$2587,2,FALSE),"")</f>
        <v>135380</v>
      </c>
      <c r="DR35" s="46" t="str">
        <f>IFERROR(VLOOKUP(DR34,'Module Items'!$A$1:$B$2587,2,FALSE),"")</f>
        <v/>
      </c>
      <c r="DS35" s="166"/>
      <c r="DT35" s="46" t="str">
        <f>IFERROR(VLOOKUP(DT34,'Module Items'!$A$1:$B$2587,2,FALSE),"")</f>
        <v/>
      </c>
    </row>
    <row r="36" spans="7:128" ht="15.95" thickBot="1">
      <c r="K36" s="56" t="s">
        <v>856</v>
      </c>
      <c r="L36" s="37">
        <f>IFERROR(VLOOKUP(K36,'Module Items'!$A$1:$B$2587,2,FALSE),"")</f>
        <v>59210</v>
      </c>
      <c r="M36" s="44">
        <f>IFERROR(VLOOKUP(K36,'Monthly Line Picks'!$A$1:$D$2000,4,FALSE),"0")</f>
        <v>2</v>
      </c>
      <c r="N36" s="47" t="s">
        <v>857</v>
      </c>
      <c r="O36" s="37">
        <f>IFERROR(VLOOKUP(N36,'Module Items'!$A$1:$B$2587,2,FALSE),"")</f>
        <v>131875</v>
      </c>
      <c r="P36" s="44">
        <f>IFERROR(VLOOKUP(N36,'Monthly Line Picks'!$A$1:$D$2000,4,FALSE),"0")</f>
        <v>1</v>
      </c>
      <c r="Q36" s="47" t="s">
        <v>858</v>
      </c>
      <c r="R36" s="37">
        <f>IFERROR(VLOOKUP(Q36,'Module Items'!$A$1:$B$2587,2,FALSE),"")</f>
        <v>61388</v>
      </c>
      <c r="S36" s="44">
        <f>IFERROR(VLOOKUP(Q36,'Monthly Line Picks'!$A$1:$D$2000,4,FALSE),"0")</f>
        <v>12</v>
      </c>
      <c r="T36" s="47" t="s">
        <v>859</v>
      </c>
      <c r="U36" s="37">
        <f>IFERROR(VLOOKUP(T36,'Module Items'!$A$1:$B$2587,2,FALSE),"")</f>
        <v>79514</v>
      </c>
      <c r="V36" s="44">
        <f>IFERROR(VLOOKUP(T36,'Monthly Line Picks'!$A$1:$D$2000,4,FALSE),"0")</f>
        <v>3</v>
      </c>
      <c r="W36" s="47" t="s">
        <v>860</v>
      </c>
      <c r="X36" s="37">
        <f>IFERROR(VLOOKUP(W36,'Module Items'!$A$1:$B$2587,2,FALSE),"")</f>
        <v>5431</v>
      </c>
      <c r="Y36" s="44">
        <f>IFERROR(VLOOKUP(W36,'Monthly Line Picks'!$A$1:$D$2000,4,FALSE),"0")</f>
        <v>19</v>
      </c>
      <c r="Z36" s="57" t="s">
        <v>861</v>
      </c>
      <c r="AA36" s="37">
        <f>IFERROR(VLOOKUP(Z36,'Module Items'!$A$1:$B$2587,2,FALSE),"")</f>
        <v>27863</v>
      </c>
      <c r="AB36" s="44">
        <f>IFERROR(VLOOKUP(Z36,'Monthly Line Picks'!$A$1:$D$2000,4,FALSE),"0")</f>
        <v>8</v>
      </c>
      <c r="AC36" s="46">
        <f>IFERROR(VLOOKUP(AC34,'Monthly Line Picks'!$A$1:$D$2101,4,FALSE),"0")</f>
        <v>38</v>
      </c>
      <c r="AD36" s="46" t="str">
        <f>IFERROR(VLOOKUP(AD34,'Monthly Line Picks'!$A$1:$D$2101,4,FALSE),"0")</f>
        <v>0</v>
      </c>
      <c r="AE36" s="46" t="str">
        <f>IFERROR(VLOOKUP(AE34,'Monthly Line Picks'!$A$1:$D$2101,4,FALSE),"0")</f>
        <v>0</v>
      </c>
      <c r="AF36" s="46">
        <f>IFERROR(VLOOKUP(AF34,'Monthly Line Picks'!$A$1:$D$2101,4,FALSE),"0")</f>
        <v>380</v>
      </c>
      <c r="AG36" s="169"/>
      <c r="AH36" s="46">
        <f>IFERROR(VLOOKUP(AH34,'Monthly Line Picks'!$A$1:$D$2101,4,FALSE),"0")</f>
        <v>404</v>
      </c>
      <c r="AI36" s="46" t="str">
        <f>IFERROR(VLOOKUP(AI34,'Monthly Line Picks'!$A$1:$D$2101,4,FALSE),"0")</f>
        <v>0</v>
      </c>
      <c r="AJ36" s="46" t="str">
        <f>IFERROR(VLOOKUP(AJ34,'Monthly Line Picks'!$A$1:$D$2101,4,FALSE),"0")</f>
        <v>0</v>
      </c>
      <c r="AK36" s="46" t="str">
        <f>IFERROR(VLOOKUP(AK34,'Monthly Line Picks'!$A$1:$D$2101,4,FALSE),"0")</f>
        <v>0</v>
      </c>
      <c r="AL36" s="46">
        <f>IFERROR(VLOOKUP(AL34,'Monthly Line Picks'!$A$1:$D$2101,4,FALSE),"0")</f>
        <v>427</v>
      </c>
      <c r="AM36" s="46">
        <f>IFERROR(VLOOKUP(AM34,'Monthly Line Picks'!$A$1:$D$2101,4,FALSE),"0")</f>
        <v>89</v>
      </c>
      <c r="AN36" s="46">
        <f>IFERROR(VLOOKUP(AN34,'Monthly Line Picks'!$A$1:$D$2101,4,FALSE),"0")</f>
        <v>6</v>
      </c>
      <c r="AO36" s="46">
        <f>IFERROR(VLOOKUP(AO34,'Monthly Line Picks'!$A$1:$D$2101,4,FALSE),"0")</f>
        <v>38</v>
      </c>
      <c r="AP36" s="46" t="str">
        <f>IFERROR(VLOOKUP(AP34,'Monthly Line Picks'!$A$1:$D$2101,4,FALSE),"0")</f>
        <v>0</v>
      </c>
      <c r="AQ36" s="46">
        <f>IFERROR(VLOOKUP(AQ34,'Monthly Line Picks'!$A$1:$D$2101,4,FALSE),"0")</f>
        <v>1</v>
      </c>
      <c r="AR36" s="46">
        <f>IFERROR(VLOOKUP(AR34,'Monthly Line Picks'!$A$1:$D$2101,4,FALSE),"0")</f>
        <v>200</v>
      </c>
      <c r="AS36" s="46" t="str">
        <f>IFERROR(VLOOKUP(AS34,'Monthly Line Picks'!$A$1:$D$2101,4,FALSE),"0")</f>
        <v>0</v>
      </c>
      <c r="AT36" s="46">
        <f>IFERROR(VLOOKUP(AT34,'Monthly Line Picks'!$A$1:$D$2101,4,FALSE),"0")</f>
        <v>98</v>
      </c>
      <c r="AU36" s="46" t="str">
        <f>IFERROR(VLOOKUP(AU34,'Monthly Line Picks'!$A$1:$D$2101,4,FALSE),"0")</f>
        <v>0</v>
      </c>
      <c r="AV36" s="46" t="str">
        <f>IFERROR(VLOOKUP(AV34,'Monthly Line Picks'!$A$1:$D$2101,4,FALSE),"0")</f>
        <v>0</v>
      </c>
      <c r="AW36" s="46">
        <f>IFERROR(VLOOKUP(AW34,'Monthly Line Picks'!$A$1:$D$2101,4,FALSE),"0")</f>
        <v>63</v>
      </c>
      <c r="AX36" s="46">
        <f>IFERROR(VLOOKUP(AX34,'Monthly Line Picks'!$A$1:$D$2101,4,FALSE),"0")</f>
        <v>62</v>
      </c>
      <c r="AY36" s="46">
        <f>IFERROR(VLOOKUP(AY34,'Monthly Line Picks'!$A$1:$D$2101,4,FALSE),"0")</f>
        <v>44</v>
      </c>
      <c r="AZ36" s="46">
        <f>IFERROR(VLOOKUP(AZ34,'Monthly Line Picks'!$A$1:$D$2101,4,FALSE),"0")</f>
        <v>51</v>
      </c>
      <c r="BA36" s="46">
        <f>IFERROR(VLOOKUP(BA34,'Monthly Line Picks'!$A$1:$D$2101,4,FALSE),"0")</f>
        <v>43</v>
      </c>
      <c r="BB36" s="46">
        <f>IFERROR(VLOOKUP(BB34,'Monthly Line Picks'!$A$1:$D$2101,4,FALSE),"0")</f>
        <v>1</v>
      </c>
      <c r="BC36" s="46" t="str">
        <f>IFERROR(VLOOKUP(BC34,'Monthly Line Picks'!$A$1:$D$2101,4,FALSE),"0")</f>
        <v>0</v>
      </c>
      <c r="BD36" s="46" t="str">
        <f>IFERROR(VLOOKUP(BD34,'Monthly Line Picks'!$A$1:$D$2101,4,FALSE),"0")</f>
        <v>0</v>
      </c>
      <c r="BE36" s="46">
        <f>IFERROR(VLOOKUP(BE34,'Monthly Line Picks'!$A$1:$D$2101,4,FALSE),"0")</f>
        <v>27</v>
      </c>
      <c r="BF36" s="46" t="str">
        <f>IFERROR(VLOOKUP(BF34,'Monthly Line Picks'!$A$1:$D$2101,4,FALSE),"0")</f>
        <v>0</v>
      </c>
      <c r="BG36" s="46" t="str">
        <f>IFERROR(VLOOKUP(BG34,'Monthly Line Picks'!$A$1:$D$2101,4,FALSE),"0")</f>
        <v>0</v>
      </c>
      <c r="BH36" s="46">
        <f>IFERROR(VLOOKUP(BH34,'Monthly Line Picks'!$A$1:$D$2101,4,FALSE),"0")</f>
        <v>55</v>
      </c>
      <c r="BI36" s="46">
        <f>IFERROR(VLOOKUP(BI34,'Monthly Line Picks'!$A$1:$D$2101,4,FALSE),"0")</f>
        <v>39</v>
      </c>
      <c r="BJ36" s="46" t="str">
        <f>IFERROR(VLOOKUP(BJ34,'Monthly Line Picks'!$A$1:$D$2101,4,FALSE),"0")</f>
        <v>0</v>
      </c>
      <c r="BK36" s="46" t="str">
        <f>IFERROR(VLOOKUP(BK34,'Monthly Line Picks'!$A$1:$D$2101,4,FALSE),"0")</f>
        <v>0</v>
      </c>
      <c r="BL36" s="46">
        <f>IFERROR(VLOOKUP(BL34,'Monthly Line Picks'!$A$1:$D$2101,4,FALSE),"0")</f>
        <v>41</v>
      </c>
      <c r="BM36" s="56" t="s">
        <v>862</v>
      </c>
      <c r="BN36" s="37">
        <f>IFERROR(VLOOKUP(BM36,'Module Items'!$A$1:$B$2587,2,FALSE),"")</f>
        <v>62556</v>
      </c>
      <c r="BO36" s="44" t="str">
        <f>IFERROR(VLOOKUP(BM36,'Monthly Line Picks'!$A$1:$D$2000,4,FALSE),"0")</f>
        <v>0</v>
      </c>
      <c r="BP36" s="47" t="s">
        <v>863</v>
      </c>
      <c r="BQ36" s="37">
        <f>IFERROR(VLOOKUP(BP36,'Module Items'!$A$1:$B$2587,2,FALSE),"")</f>
        <v>20100</v>
      </c>
      <c r="BR36" s="44">
        <f>IFERROR(VLOOKUP(BP36,'Monthly Line Picks'!$A$1:$D$2000,4,FALSE),"0")</f>
        <v>4</v>
      </c>
      <c r="BS36" s="47" t="s">
        <v>864</v>
      </c>
      <c r="BT36" s="37">
        <f>IFERROR(VLOOKUP(BS36,'Module Items'!$A$1:$B$2587,2,FALSE),"")</f>
        <v>101442</v>
      </c>
      <c r="BU36" s="44">
        <f>IFERROR(VLOOKUP(BS36,'Monthly Line Picks'!$A$1:$D$2000,4,FALSE),"0")</f>
        <v>18</v>
      </c>
      <c r="BV36" s="47" t="s">
        <v>865</v>
      </c>
      <c r="BW36" s="37">
        <f>IFERROR(VLOOKUP(BV36,'Module Items'!$A$1:$B$2587,2,FALSE),"")</f>
        <v>144227</v>
      </c>
      <c r="BX36" s="44" t="str">
        <f>IFERROR(VLOOKUP(BV36,'Monthly Line Picks'!$A$1:$D$2000,4,FALSE),"0")</f>
        <v>0</v>
      </c>
      <c r="BY36" s="47" t="s">
        <v>866</v>
      </c>
      <c r="BZ36" s="37">
        <f>IFERROR(VLOOKUP(BY36,'Module Items'!$A$1:$B$2587,2,FALSE),"")</f>
        <v>85118</v>
      </c>
      <c r="CA36" s="44">
        <f>IFERROR(VLOOKUP(BY36,'Monthly Line Picks'!$A$1:$D$2000,4,FALSE),"0")</f>
        <v>3</v>
      </c>
      <c r="CB36" s="57" t="s">
        <v>867</v>
      </c>
      <c r="CC36" s="37">
        <f>IFERROR(VLOOKUP(CB36,'Module Items'!$A$1:$B$2587,2,FALSE),"")</f>
        <v>65907</v>
      </c>
      <c r="CD36" s="44" t="str">
        <f>IFERROR(VLOOKUP(CB36,'Monthly Line Picks'!$A$1:$D$2000,4,FALSE),"0")</f>
        <v>0</v>
      </c>
      <c r="CE36" s="181"/>
      <c r="CF36" s="182"/>
      <c r="CG36" s="183"/>
      <c r="CH36" s="46" t="str">
        <f>IFERROR(VLOOKUP(CH34,'Monthly Line Picks'!$A$1:$D$2101,4,FALSE),"0")</f>
        <v>0</v>
      </c>
      <c r="CI36" s="46">
        <f>IFERROR(VLOOKUP(CI34,'Monthly Line Picks'!$A$1:$D$2101,4,FALSE),"0")</f>
        <v>431</v>
      </c>
      <c r="CJ36" s="46" t="str">
        <f>IFERROR(VLOOKUP(CJ34,'Monthly Line Picks'!$A$1:$D$2101,4,FALSE),"0")</f>
        <v>0</v>
      </c>
      <c r="CK36" s="46">
        <f>IFERROR(VLOOKUP(CK34,'Monthly Line Picks'!$A$1:$D$2101,4,FALSE),"0")</f>
        <v>485</v>
      </c>
      <c r="CL36" s="46">
        <f>IFERROR(VLOOKUP(CL34,'Monthly Line Picks'!$A$1:$D$2101,4,FALSE),"0")</f>
        <v>10</v>
      </c>
      <c r="CM36" s="46">
        <f>IFERROR(VLOOKUP(CM34,'Monthly Line Picks'!$A$1:$D$2101,4,FALSE),"0")</f>
        <v>267</v>
      </c>
      <c r="CN36" s="46">
        <f>IFERROR(VLOOKUP(CN34,'Monthly Line Picks'!$A$1:$D$2101,4,FALSE),"0")</f>
        <v>43</v>
      </c>
      <c r="CO36" s="46">
        <f>IFERROR(VLOOKUP(CO34,'Monthly Line Picks'!$A$1:$D$2101,4,FALSE),"0")</f>
        <v>311</v>
      </c>
      <c r="CP36" s="46" t="str">
        <f>IFERROR(VLOOKUP(CP34,'Monthly Line Picks'!$A$1:$D$2101,4,FALSE),"0")</f>
        <v>0</v>
      </c>
      <c r="CQ36" s="46">
        <f>IFERROR(VLOOKUP(CQ34,'Monthly Line Picks'!$A$1:$D$2101,4,FALSE),"0")</f>
        <v>337</v>
      </c>
      <c r="CR36" s="46" t="str">
        <f>IFERROR(VLOOKUP(CR34,'Monthly Line Picks'!$A$1:$D$2101,4,FALSE),"0")</f>
        <v>0</v>
      </c>
      <c r="CS36" s="46">
        <f>IFERROR(VLOOKUP(CS34,'Monthly Line Picks'!$A$1:$D$2101,4,FALSE),"0")</f>
        <v>55</v>
      </c>
      <c r="CT36" s="46">
        <f>IFERROR(VLOOKUP(CT34,'Monthly Line Picks'!$A$1:$D$2101,4,FALSE),"0")</f>
        <v>161</v>
      </c>
      <c r="CU36" s="46" t="str">
        <f>IFERROR(VLOOKUP(CU34,'Monthly Line Picks'!$A$1:$D$2101,4,FALSE),"0")</f>
        <v>0</v>
      </c>
      <c r="CV36" s="46" t="str">
        <f>IFERROR(VLOOKUP(CV34,'Monthly Line Picks'!$A$1:$D$2101,4,FALSE),"0")</f>
        <v>0</v>
      </c>
      <c r="CW36" s="46" t="str">
        <f>IFERROR(VLOOKUP(CW34,'Monthly Line Picks'!$A$1:$D$2101,4,FALSE),"0")</f>
        <v>0</v>
      </c>
      <c r="CX36" s="46" t="str">
        <f>IFERROR(VLOOKUP(CX34,'Monthly Line Picks'!$A$1:$D$2101,4,FALSE),"0")</f>
        <v>0</v>
      </c>
      <c r="CY36" s="46" t="str">
        <f>IFERROR(VLOOKUP(CY34,'Monthly Line Picks'!$A$1:$D$2101,4,FALSE),"0")</f>
        <v>0</v>
      </c>
      <c r="CZ36" s="46">
        <f>IFERROR(VLOOKUP(CZ34,'Monthly Line Picks'!$A$1:$D$2101,4,FALSE),"0")</f>
        <v>93</v>
      </c>
      <c r="DA36" s="46" t="str">
        <f>IFERROR(VLOOKUP(DA34,'Monthly Line Picks'!$A$1:$D$2101,4,FALSE),"0")</f>
        <v>0</v>
      </c>
      <c r="DB36" s="46" t="str">
        <f>IFERROR(VLOOKUP(DB34,'Monthly Line Picks'!$A$1:$D$2101,4,FALSE),"0")</f>
        <v>0</v>
      </c>
      <c r="DC36" s="46" t="str">
        <f>IFERROR(VLOOKUP(DC34,'Monthly Line Picks'!$A$1:$D$2101,4,FALSE),"0")</f>
        <v>0</v>
      </c>
      <c r="DD36" s="46">
        <f>IFERROR(VLOOKUP(DD34,'Monthly Line Picks'!$A$1:$D$2101,4,FALSE),"0")</f>
        <v>64</v>
      </c>
      <c r="DE36" s="46">
        <f>IFERROR(VLOOKUP(DE34,'Monthly Line Picks'!$A$1:$D$2101,4,FALSE),"0")</f>
        <v>47</v>
      </c>
      <c r="DF36" s="46" t="str">
        <f>IFERROR(VLOOKUP(DF34,'Monthly Line Picks'!$A$1:$D$2101,4,FALSE),"0")</f>
        <v>0</v>
      </c>
      <c r="DG36" s="46" t="str">
        <f>IFERROR(VLOOKUP(DG34,'Monthly Line Picks'!$A$1:$D$2101,4,FALSE),"0")</f>
        <v>0</v>
      </c>
      <c r="DH36" s="46" t="str">
        <f>IFERROR(VLOOKUP(DH34,'Monthly Line Picks'!$A$1:$D$2101,4,FALSE),"0")</f>
        <v>0</v>
      </c>
      <c r="DI36" s="46">
        <f>IFERROR(VLOOKUP(DI34,'Monthly Line Picks'!$A$1:$D$2101,4,FALSE),"0")</f>
        <v>26</v>
      </c>
      <c r="DJ36" s="46" t="str">
        <f>IFERROR(VLOOKUP(DJ34,'Monthly Line Picks'!$A$1:$D$2101,4,FALSE),"0")</f>
        <v>0</v>
      </c>
      <c r="DK36" s="46" t="str">
        <f>IFERROR(VLOOKUP(DK34,'Monthly Line Picks'!$A$1:$D$2101,4,FALSE),"0")</f>
        <v>0</v>
      </c>
      <c r="DL36" s="46" t="str">
        <f>IFERROR(VLOOKUP(DL34,'Monthly Line Picks'!$A$1:$D$2101,4,FALSE),"0")</f>
        <v>0</v>
      </c>
      <c r="DM36" s="46">
        <f>IFERROR(VLOOKUP(DM34,'Monthly Line Picks'!$A$1:$D$2101,4,FALSE),"0")</f>
        <v>8</v>
      </c>
      <c r="DN36" s="46">
        <f>IFERROR(VLOOKUP(DN34,'Monthly Line Picks'!$A$1:$D$2101,4,FALSE),"0")</f>
        <v>34</v>
      </c>
      <c r="DO36" s="46">
        <f>IFERROR(VLOOKUP(DO34,'Monthly Line Picks'!$A$1:$D$2101,4,FALSE),"0")</f>
        <v>49</v>
      </c>
      <c r="DP36" s="46" t="str">
        <f>IFERROR(VLOOKUP(DP34,'Monthly Line Picks'!$A$1:$D$2101,4,FALSE),"0")</f>
        <v>0</v>
      </c>
      <c r="DQ36" s="46">
        <f>IFERROR(VLOOKUP(DQ34,'Monthly Line Picks'!$A$1:$D$2101,4,FALSE),"0")</f>
        <v>3</v>
      </c>
      <c r="DR36" s="46" t="str">
        <f>IFERROR(VLOOKUP(DR34,'Monthly Line Picks'!$A$1:$D$2101,4,FALSE),"0")</f>
        <v>0</v>
      </c>
      <c r="DS36" s="166"/>
      <c r="DT36" s="46" t="str">
        <f>IFERROR(VLOOKUP(DT34,'Monthly Line Picks'!$A$1:$D$1458,4,FALSE),"0")</f>
        <v>0</v>
      </c>
    </row>
    <row r="37" spans="7:128" ht="15.95" thickBot="1">
      <c r="K37" s="56" t="s">
        <v>868</v>
      </c>
      <c r="L37" s="37">
        <f>IFERROR(VLOOKUP(K37,'Module Items'!$A$1:$B$2587,2,FALSE),"")</f>
        <v>24700</v>
      </c>
      <c r="M37" s="44">
        <f>IFERROR(VLOOKUP(K37,'Monthly Line Picks'!$A$1:$D$2000,4,FALSE),"0")</f>
        <v>9</v>
      </c>
      <c r="N37" s="47" t="s">
        <v>869</v>
      </c>
      <c r="O37" s="37">
        <f>IFERROR(VLOOKUP(N37,'Module Items'!$A$1:$B$2587,2,FALSE),"")</f>
        <v>117155</v>
      </c>
      <c r="P37" s="44">
        <f>IFERROR(VLOOKUP(N37,'Monthly Line Picks'!$A$1:$D$2000,4,FALSE),"0")</f>
        <v>14</v>
      </c>
      <c r="Q37" s="47" t="s">
        <v>870</v>
      </c>
      <c r="R37" s="37">
        <f>IFERROR(VLOOKUP(Q37,'Module Items'!$A$1:$B$2587,2,FALSE),"")</f>
        <v>124194</v>
      </c>
      <c r="S37" s="44" t="str">
        <f>IFERROR(VLOOKUP(Q37,'Monthly Line Picks'!$A$1:$D$2000,4,FALSE),"0")</f>
        <v>0</v>
      </c>
      <c r="T37" s="47" t="s">
        <v>871</v>
      </c>
      <c r="U37" s="37">
        <f>IFERROR(VLOOKUP(T37,'Module Items'!$A$1:$B$2587,2,FALSE),"")</f>
        <v>131846</v>
      </c>
      <c r="V37" s="44">
        <f>IFERROR(VLOOKUP(T37,'Monthly Line Picks'!$A$1:$D$2000,4,FALSE),"0")</f>
        <v>6</v>
      </c>
      <c r="W37" s="47" t="s">
        <v>872</v>
      </c>
      <c r="X37" s="37">
        <f>IFERROR(VLOOKUP(W37,'Module Items'!$A$1:$B$2587,2,FALSE),"")</f>
        <v>101360</v>
      </c>
      <c r="Y37" s="44">
        <f>IFERROR(VLOOKUP(W37,'Monthly Line Picks'!$A$1:$D$2000,4,FALSE),"0")</f>
        <v>1</v>
      </c>
      <c r="Z37" s="57" t="s">
        <v>873</v>
      </c>
      <c r="AA37" s="37">
        <f>IFERROR(VLOOKUP(Z37,'Module Items'!$A$1:$B$2587,2,FALSE),"")</f>
        <v>100731</v>
      </c>
      <c r="AB37" s="44">
        <f>IFERROR(VLOOKUP(Z37,'Monthly Line Picks'!$A$1:$D$2000,4,FALSE),"0")</f>
        <v>14</v>
      </c>
      <c r="AC37" s="9" t="s">
        <v>874</v>
      </c>
      <c r="AD37" s="7" t="s">
        <v>875</v>
      </c>
      <c r="AE37" s="7" t="s">
        <v>876</v>
      </c>
      <c r="AF37" s="7" t="s">
        <v>877</v>
      </c>
      <c r="AG37" s="169"/>
      <c r="AH37" s="14" t="s">
        <v>878</v>
      </c>
      <c r="AI37" s="39" t="s">
        <v>879</v>
      </c>
      <c r="AJ37" s="7" t="s">
        <v>880</v>
      </c>
      <c r="AK37" s="7" t="s">
        <v>881</v>
      </c>
      <c r="AL37" s="7" t="s">
        <v>882</v>
      </c>
      <c r="AM37" s="7" t="s">
        <v>883</v>
      </c>
      <c r="AN37" s="28" t="s">
        <v>884</v>
      </c>
      <c r="AO37" s="39" t="s">
        <v>885</v>
      </c>
      <c r="AP37" s="7" t="s">
        <v>886</v>
      </c>
      <c r="AQ37" s="7" t="s">
        <v>887</v>
      </c>
      <c r="AR37" s="7" t="s">
        <v>888</v>
      </c>
      <c r="AS37" s="7" t="s">
        <v>889</v>
      </c>
      <c r="AT37" s="28" t="s">
        <v>890</v>
      </c>
      <c r="AU37" s="9" t="s">
        <v>891</v>
      </c>
      <c r="AV37" s="7" t="s">
        <v>892</v>
      </c>
      <c r="AW37" s="7" t="s">
        <v>893</v>
      </c>
      <c r="AX37" s="7" t="s">
        <v>894</v>
      </c>
      <c r="AY37" s="7" t="s">
        <v>895</v>
      </c>
      <c r="AZ37" s="28" t="s">
        <v>896</v>
      </c>
      <c r="BA37" s="39" t="s">
        <v>897</v>
      </c>
      <c r="BB37" s="7" t="s">
        <v>898</v>
      </c>
      <c r="BC37" s="7" t="s">
        <v>899</v>
      </c>
      <c r="BD37" s="7" t="s">
        <v>900</v>
      </c>
      <c r="BE37" s="7" t="s">
        <v>901</v>
      </c>
      <c r="BF37" s="28" t="s">
        <v>902</v>
      </c>
      <c r="BG37" s="39" t="s">
        <v>903</v>
      </c>
      <c r="BH37" s="7" t="s">
        <v>904</v>
      </c>
      <c r="BI37" s="7" t="s">
        <v>905</v>
      </c>
      <c r="BJ37" s="7" t="s">
        <v>906</v>
      </c>
      <c r="BK37" s="7" t="s">
        <v>907</v>
      </c>
      <c r="BL37" s="28" t="s">
        <v>908</v>
      </c>
      <c r="BM37" s="56" t="s">
        <v>909</v>
      </c>
      <c r="BN37" s="37">
        <f>IFERROR(VLOOKUP(BM37,'Module Items'!$A$1:$B$2587,2,FALSE),"")</f>
        <v>118342</v>
      </c>
      <c r="BO37" s="44" t="str">
        <f>IFERROR(VLOOKUP(BM37,'Monthly Line Picks'!$A$1:$D$2000,4,FALSE),"0")</f>
        <v>0</v>
      </c>
      <c r="BP37" s="47" t="s">
        <v>910</v>
      </c>
      <c r="BQ37" s="37">
        <f>IFERROR(VLOOKUP(BP37,'Module Items'!$A$1:$B$2587,2,FALSE),"")</f>
        <v>20675</v>
      </c>
      <c r="BR37" s="44">
        <f>IFERROR(VLOOKUP(BP37,'Monthly Line Picks'!$A$1:$D$2000,4,FALSE),"0")</f>
        <v>36</v>
      </c>
      <c r="BS37" s="47" t="s">
        <v>911</v>
      </c>
      <c r="BT37" s="37">
        <f>IFERROR(VLOOKUP(BS37,'Module Items'!$A$1:$B$2587,2,FALSE),"")</f>
        <v>113301</v>
      </c>
      <c r="BU37" s="44">
        <f>IFERROR(VLOOKUP(BS37,'Monthly Line Picks'!$A$1:$D$2000,4,FALSE),"0")</f>
        <v>19</v>
      </c>
      <c r="BV37" s="47" t="s">
        <v>912</v>
      </c>
      <c r="BW37" s="37">
        <f>IFERROR(VLOOKUP(BV37,'Module Items'!$A$1:$B$2587,2,FALSE),"")</f>
        <v>96429</v>
      </c>
      <c r="BX37" s="44">
        <f>IFERROR(VLOOKUP(BV37,'Monthly Line Picks'!$A$1:$D$2000,4,FALSE),"0")</f>
        <v>3</v>
      </c>
      <c r="BY37" s="47" t="s">
        <v>913</v>
      </c>
      <c r="BZ37" s="37">
        <f>IFERROR(VLOOKUP(BY37,'Module Items'!$A$1:$B$2587,2,FALSE),"")</f>
        <v>58098</v>
      </c>
      <c r="CA37" s="44" t="str">
        <f>IFERROR(VLOOKUP(BY37,'Monthly Line Picks'!$A$1:$D$2000,4,FALSE),"0")</f>
        <v>0</v>
      </c>
      <c r="CB37" s="57" t="s">
        <v>914</v>
      </c>
      <c r="CC37" s="37">
        <f>IFERROR(VLOOKUP(CB37,'Module Items'!$A$1:$B$2587,2,FALSE),"")</f>
        <v>73528</v>
      </c>
      <c r="CD37" s="44">
        <f>IFERROR(VLOOKUP(CB37,'Monthly Line Picks'!$A$1:$D$2000,4,FALSE),"0")</f>
        <v>5</v>
      </c>
      <c r="CE37" s="181"/>
      <c r="CF37" s="182"/>
      <c r="CG37" s="183"/>
      <c r="CH37" s="7" t="s">
        <v>915</v>
      </c>
      <c r="CI37" s="7" t="s">
        <v>916</v>
      </c>
      <c r="CJ37" s="28" t="s">
        <v>917</v>
      </c>
      <c r="CK37" s="9" t="s">
        <v>918</v>
      </c>
      <c r="CL37" s="7" t="s">
        <v>919</v>
      </c>
      <c r="CM37" s="7" t="s">
        <v>920</v>
      </c>
      <c r="CN37" s="7" t="s">
        <v>921</v>
      </c>
      <c r="CO37" s="7" t="s">
        <v>922</v>
      </c>
      <c r="CP37" s="14" t="s">
        <v>923</v>
      </c>
      <c r="CQ37" s="39" t="s">
        <v>924</v>
      </c>
      <c r="CR37" s="7" t="s">
        <v>925</v>
      </c>
      <c r="CS37" s="7" t="s">
        <v>926</v>
      </c>
      <c r="CT37" s="7" t="s">
        <v>927</v>
      </c>
      <c r="CU37" s="7" t="s">
        <v>928</v>
      </c>
      <c r="CV37" s="28" t="s">
        <v>929</v>
      </c>
      <c r="CW37" s="39" t="s">
        <v>930</v>
      </c>
      <c r="CX37" s="7" t="s">
        <v>931</v>
      </c>
      <c r="CY37" s="7" t="s">
        <v>932</v>
      </c>
      <c r="CZ37" s="7" t="s">
        <v>933</v>
      </c>
      <c r="DA37" s="7" t="s">
        <v>934</v>
      </c>
      <c r="DB37" s="28" t="s">
        <v>935</v>
      </c>
      <c r="DC37" s="9" t="s">
        <v>936</v>
      </c>
      <c r="DD37" s="7" t="s">
        <v>937</v>
      </c>
      <c r="DE37" s="7" t="s">
        <v>938</v>
      </c>
      <c r="DF37" s="7" t="s">
        <v>939</v>
      </c>
      <c r="DG37" s="7" t="s">
        <v>940</v>
      </c>
      <c r="DH37" s="28" t="s">
        <v>941</v>
      </c>
      <c r="DI37" s="39" t="s">
        <v>942</v>
      </c>
      <c r="DJ37" s="7" t="s">
        <v>943</v>
      </c>
      <c r="DK37" s="7" t="s">
        <v>944</v>
      </c>
      <c r="DL37" s="7" t="s">
        <v>945</v>
      </c>
      <c r="DM37" s="7" t="s">
        <v>946</v>
      </c>
      <c r="DN37" s="28" t="s">
        <v>947</v>
      </c>
      <c r="DO37" s="39" t="s">
        <v>948</v>
      </c>
      <c r="DP37" s="7" t="s">
        <v>949</v>
      </c>
      <c r="DQ37" s="7" t="s">
        <v>950</v>
      </c>
      <c r="DR37" s="7" t="s">
        <v>951</v>
      </c>
      <c r="DS37" s="166"/>
      <c r="DT37" s="28" t="s">
        <v>952</v>
      </c>
    </row>
    <row r="38" spans="7:128" ht="15.75" customHeight="1" thickBot="1">
      <c r="K38" s="56" t="s">
        <v>953</v>
      </c>
      <c r="L38" s="37">
        <f>IFERROR(VLOOKUP(K38,'Module Items'!$A$1:$B$2587,2,FALSE),"")</f>
        <v>22706</v>
      </c>
      <c r="M38" s="44">
        <f>IFERROR(VLOOKUP(K38,'Monthly Line Picks'!$A$1:$D$2000,4,FALSE),"0")</f>
        <v>1</v>
      </c>
      <c r="N38" s="47" t="s">
        <v>954</v>
      </c>
      <c r="O38" s="37">
        <f>IFERROR(VLOOKUP(N38,'Module Items'!$A$1:$B$2587,2,FALSE),"")</f>
        <v>71002</v>
      </c>
      <c r="P38" s="44">
        <f>IFERROR(VLOOKUP(N38,'Monthly Line Picks'!$A$1:$D$2000,4,FALSE),"0")</f>
        <v>1</v>
      </c>
      <c r="Q38" s="189" t="s">
        <v>305</v>
      </c>
      <c r="R38" s="190"/>
      <c r="S38" s="190"/>
      <c r="T38" s="190"/>
      <c r="U38" s="190"/>
      <c r="V38" s="191"/>
      <c r="W38" s="47" t="s">
        <v>955</v>
      </c>
      <c r="X38" s="37">
        <f>IFERROR(VLOOKUP(W38,'Module Items'!$A$1:$B$2587,2,FALSE),"")</f>
        <v>62296</v>
      </c>
      <c r="Y38" s="44">
        <f>IFERROR(VLOOKUP(W38,'Monthly Line Picks'!$A$1:$D$2000,4,FALSE),"0")</f>
        <v>9</v>
      </c>
      <c r="Z38" s="57" t="s">
        <v>956</v>
      </c>
      <c r="AA38" s="37">
        <f>IFERROR(VLOOKUP(Z38,'Module Items'!$A$1:$B$2587,2,FALSE),"")</f>
        <v>2333</v>
      </c>
      <c r="AB38" s="44">
        <f>IFERROR(VLOOKUP(Z38,'Monthly Line Picks'!$A$1:$D$2000,4,FALSE),"0")</f>
        <v>3</v>
      </c>
      <c r="AC38" s="46">
        <f>IFERROR(VLOOKUP(AC37,'Module Items'!$A$1:$B$2587,2,FALSE),"")</f>
        <v>158197</v>
      </c>
      <c r="AD38" s="46">
        <f>IFERROR(VLOOKUP(AD37,'Module Items'!$A$1:$B$2587,2,FALSE),"")</f>
        <v>95299</v>
      </c>
      <c r="AE38" s="46" t="str">
        <f>IFERROR(VLOOKUP(AE37,'Module Items'!$A$1:$B$2587,2,FALSE),"")</f>
        <v/>
      </c>
      <c r="AF38" s="46">
        <f>IFERROR(VLOOKUP(AF37,'Module Items'!$A$1:$B$2587,2,FALSE),"")</f>
        <v>61393</v>
      </c>
      <c r="AG38" s="169"/>
      <c r="AH38" s="46">
        <f>IFERROR(VLOOKUP(AH37,'Module Items'!$A$1:$B$2587,2,FALSE),"")</f>
        <v>108957</v>
      </c>
      <c r="AI38" s="46">
        <f>IFERROR(VLOOKUP(AI37,'Module Items'!$A$1:$B$2587,2,FALSE),"")</f>
        <v>122</v>
      </c>
      <c r="AJ38" s="46">
        <f>IFERROR(VLOOKUP(AJ37,'Module Items'!$A$1:$B$2587,2,FALSE),"")</f>
        <v>91304</v>
      </c>
      <c r="AK38" s="46">
        <f>IFERROR(VLOOKUP(AK37,'Module Items'!$A$1:$B$2587,2,FALSE),"")</f>
        <v>129275</v>
      </c>
      <c r="AL38" s="46">
        <f>IFERROR(VLOOKUP(AL37,'Module Items'!$A$1:$B$2587,2,FALSE),"")</f>
        <v>101109</v>
      </c>
      <c r="AM38" s="46">
        <f>IFERROR(VLOOKUP(AM37,'Module Items'!$A$1:$B$2587,2,FALSE),"")</f>
        <v>127395</v>
      </c>
      <c r="AN38" s="46">
        <f>IFERROR(VLOOKUP(AN37,'Module Items'!$A$1:$B$2587,2,FALSE),"")</f>
        <v>143762</v>
      </c>
      <c r="AO38" s="46">
        <f>IFERROR(VLOOKUP(AO37,'Module Items'!$A$1:$B$2587,2,FALSE),"")</f>
        <v>110815</v>
      </c>
      <c r="AP38" s="46">
        <f>IFERROR(VLOOKUP(AP37,'Module Items'!$A$1:$B$2587,2,FALSE),"")</f>
        <v>157091</v>
      </c>
      <c r="AQ38" s="46">
        <f>IFERROR(VLOOKUP(AQ37,'Module Items'!$A$1:$B$2587,2,FALSE),"")</f>
        <v>2448</v>
      </c>
      <c r="AR38" s="46" t="str">
        <f>IFERROR(VLOOKUP(AR37,'Module Items'!$A$1:$B$2587,2,FALSE),"")</f>
        <v/>
      </c>
      <c r="AS38" s="46">
        <f>IFERROR(VLOOKUP(AS37,'Module Items'!$A$1:$B$2587,2,FALSE),"")</f>
        <v>110814</v>
      </c>
      <c r="AT38" s="46">
        <f>IFERROR(VLOOKUP(AT37,'Module Items'!$A$1:$B$2587,2,FALSE),"")</f>
        <v>114922</v>
      </c>
      <c r="AU38" s="46">
        <f>IFERROR(VLOOKUP(AU37,'Module Items'!$A$1:$B$2587,2,FALSE),"")</f>
        <v>110185</v>
      </c>
      <c r="AV38" s="46">
        <f>IFERROR(VLOOKUP(AV37,'Module Items'!$A$1:$B$2587,2,FALSE),"")</f>
        <v>17</v>
      </c>
      <c r="AW38" s="46">
        <f>IFERROR(VLOOKUP(AW37,'Module Items'!$A$1:$B$2587,2,FALSE),"")</f>
        <v>100861</v>
      </c>
      <c r="AX38" s="46">
        <f>IFERROR(VLOOKUP(AX37,'Module Items'!$A$1:$B$2587,2,FALSE),"")</f>
        <v>157702</v>
      </c>
      <c r="AY38" s="46">
        <f>IFERROR(VLOOKUP(AY37,'Module Items'!$A$1:$B$2587,2,FALSE),"")</f>
        <v>137403</v>
      </c>
      <c r="AZ38" s="46" t="str">
        <f>IFERROR(VLOOKUP(AZ37,'Module Items'!$A$1:$B$2587,2,FALSE),"")</f>
        <v/>
      </c>
      <c r="BA38" s="46">
        <f>IFERROR(VLOOKUP(BA37,'Module Items'!$A$1:$B$2587,2,FALSE),"")</f>
        <v>35247</v>
      </c>
      <c r="BB38" s="46" t="str">
        <f>IFERROR(VLOOKUP(BB37,'Module Items'!$A$1:$B$2587,2,FALSE),"")</f>
        <v/>
      </c>
      <c r="BC38" s="46" t="str">
        <f>IFERROR(VLOOKUP(BC37,'Module Items'!$A$1:$B$2587,2,FALSE),"")</f>
        <v>OPEN</v>
      </c>
      <c r="BD38" s="46">
        <f>IFERROR(VLOOKUP(BD37,'Module Items'!$A$1:$B$2587,2,FALSE),"")</f>
        <v>157072</v>
      </c>
      <c r="BE38" s="46">
        <f>IFERROR(VLOOKUP(BE37,'Module Items'!$A$1:$B$2587,2,FALSE),"")</f>
        <v>79910</v>
      </c>
      <c r="BF38" s="46">
        <f>IFERROR(VLOOKUP(BF37,'Module Items'!$A$1:$B$2587,2,FALSE),"")</f>
        <v>58623</v>
      </c>
      <c r="BG38" s="46">
        <f>IFERROR(VLOOKUP(BG37,'Module Items'!$A$1:$B$2587,2,FALSE),"")</f>
        <v>467</v>
      </c>
      <c r="BH38" s="46" t="str">
        <f>IFERROR(VLOOKUP(BH37,'Module Items'!$A$1:$B$2587,2,FALSE),"")</f>
        <v/>
      </c>
      <c r="BI38" s="46" t="str">
        <f>IFERROR(VLOOKUP(BI37,'Module Items'!$A$1:$B$2587,2,FALSE),"")</f>
        <v/>
      </c>
      <c r="BJ38" s="46">
        <f>IFERROR(VLOOKUP(BJ37,'Module Items'!$A$1:$B$2587,2,FALSE),"")</f>
        <v>1406</v>
      </c>
      <c r="BK38" s="46">
        <f>IFERROR(VLOOKUP(BK37,'Module Items'!$A$1:$B$2587,2,FALSE),"")</f>
        <v>66750</v>
      </c>
      <c r="BL38" s="46">
        <f>IFERROR(VLOOKUP(BL37,'Module Items'!$A$1:$B$2587,2,FALSE),"")</f>
        <v>129749</v>
      </c>
      <c r="BM38" s="56" t="s">
        <v>957</v>
      </c>
      <c r="BN38" s="37">
        <f>IFERROR(VLOOKUP(BM38,'Module Items'!$A$1:$B$2587,2,FALSE),"")</f>
        <v>89154</v>
      </c>
      <c r="BO38" s="44">
        <f>IFERROR(VLOOKUP(BM38,'Monthly Line Picks'!$A$1:$D$2000,4,FALSE),"0")</f>
        <v>15</v>
      </c>
      <c r="BP38" s="47" t="s">
        <v>958</v>
      </c>
      <c r="BQ38" s="37">
        <f>IFERROR(VLOOKUP(BP38,'Module Items'!$A$1:$B$2587,2,FALSE),"")</f>
        <v>31580</v>
      </c>
      <c r="BR38" s="44">
        <f>IFERROR(VLOOKUP(BP38,'Monthly Line Picks'!$A$1:$D$2000,4,FALSE),"0")</f>
        <v>3</v>
      </c>
      <c r="BS38" s="187" t="s">
        <v>305</v>
      </c>
      <c r="BT38" s="187"/>
      <c r="BU38" s="187"/>
      <c r="BV38" s="187"/>
      <c r="BW38" s="53" t="str">
        <f>IFERROR(VLOOKUP(BV38,'Module Items'!$A$1:$B$2587,2,FALSE),"")</f>
        <v/>
      </c>
      <c r="BX38" s="53" t="str">
        <f>IFERROR(VLOOKUP(BV38,'Monthly Line Picks'!$A$1:$D$2101,4,FALSE),"")</f>
        <v/>
      </c>
      <c r="BY38" s="47" t="s">
        <v>959</v>
      </c>
      <c r="BZ38" s="37">
        <f>IFERROR(VLOOKUP(BY38,'Module Items'!$A$1:$B$2587,2,FALSE),"")</f>
        <v>173411</v>
      </c>
      <c r="CA38" s="44" t="str">
        <f>IFERROR(VLOOKUP(BY38,'Monthly Line Picks'!$A$1:$D$2000,4,FALSE),"0")</f>
        <v>0</v>
      </c>
      <c r="CB38" s="57" t="s">
        <v>960</v>
      </c>
      <c r="CC38" s="37">
        <f>IFERROR(VLOOKUP(CB38,'Module Items'!$A$1:$B$2587,2,FALSE),"")</f>
        <v>35103</v>
      </c>
      <c r="CD38" s="44">
        <f>IFERROR(VLOOKUP(CB38,'Monthly Line Picks'!$A$1:$D$2000,4,FALSE),"0")</f>
        <v>5</v>
      </c>
      <c r="CE38" s="181"/>
      <c r="CF38" s="182"/>
      <c r="CG38" s="183"/>
      <c r="CH38" s="46">
        <f>IFERROR(VLOOKUP(CH37,'Module Items'!$A$1:$B$2587,2,FALSE),"")</f>
        <v>155746</v>
      </c>
      <c r="CI38" s="46" t="str">
        <f>IFERROR(VLOOKUP(CI37,'Module Items'!$A$1:$B$2587,2,FALSE),"")</f>
        <v/>
      </c>
      <c r="CJ38" s="46">
        <f>IFERROR(VLOOKUP(CJ37,'Module Items'!$A$1:$B$2587,2,FALSE),"")</f>
        <v>121</v>
      </c>
      <c r="CK38" s="46">
        <f>IFERROR(VLOOKUP(CK37,'Module Items'!$A$1:$B$2587,2,FALSE),"")</f>
        <v>108763</v>
      </c>
      <c r="CL38" s="46">
        <f>IFERROR(VLOOKUP(CL37,'Module Items'!$A$1:$B$2587,2,FALSE),"")</f>
        <v>113610</v>
      </c>
      <c r="CM38" s="46">
        <f>IFERROR(VLOOKUP(CM37,'Module Items'!$A$1:$B$2587,2,FALSE),"")</f>
        <v>132591</v>
      </c>
      <c r="CN38" s="46" t="str">
        <f>IFERROR(VLOOKUP(CN37,'Module Items'!$A$1:$B$2587,2,FALSE),"")</f>
        <v>OPEN</v>
      </c>
      <c r="CO38" s="46">
        <f>IFERROR(VLOOKUP(CO37,'Module Items'!$A$1:$B$2587,2,FALSE),"")</f>
        <v>30248</v>
      </c>
      <c r="CP38" s="46">
        <f>IFERROR(VLOOKUP(CP37,'Module Items'!$A$1:$B$2587,2,FALSE),"")</f>
        <v>120024</v>
      </c>
      <c r="CQ38" s="46">
        <f>IFERROR(VLOOKUP(CQ37,'Module Items'!$A$1:$B$2587,2,FALSE),"")</f>
        <v>155888</v>
      </c>
      <c r="CR38" s="46">
        <f>IFERROR(VLOOKUP(CR37,'Module Items'!$A$1:$B$2587,2,FALSE),"")</f>
        <v>177108</v>
      </c>
      <c r="CS38" s="46">
        <f>IFERROR(VLOOKUP(CS37,'Module Items'!$A$1:$B$2587,2,FALSE),"")</f>
        <v>42859</v>
      </c>
      <c r="CT38" s="46" t="str">
        <f>IFERROR(VLOOKUP(CT37,'Module Items'!$A$1:$B$2587,2,FALSE),"")</f>
        <v>OPEN</v>
      </c>
      <c r="CU38" s="46">
        <f>IFERROR(VLOOKUP(CU37,'Module Items'!$A$1:$B$2587,2,FALSE),"")</f>
        <v>110501</v>
      </c>
      <c r="CV38" s="46">
        <f>IFERROR(VLOOKUP(CV37,'Module Items'!$A$1:$B$2587,2,FALSE),"")</f>
        <v>158205</v>
      </c>
      <c r="CW38" s="46" t="str">
        <f>IFERROR(VLOOKUP(CW37,'Module Items'!$A$1:$B$2587,2,FALSE),"")</f>
        <v>OPEN</v>
      </c>
      <c r="CX38" s="46">
        <f>IFERROR(VLOOKUP(CX37,'Module Items'!$A$1:$B$2587,2,FALSE),"")</f>
        <v>65283</v>
      </c>
      <c r="CY38" s="46">
        <f>IFERROR(VLOOKUP(CY37,'Module Items'!$A$1:$B$2587,2,FALSE),"")</f>
        <v>1111</v>
      </c>
      <c r="CZ38" s="46" t="str">
        <f>IFERROR(VLOOKUP(CZ37,'Module Items'!$A$1:$B$2587,2,FALSE),"")</f>
        <v>OPEN</v>
      </c>
      <c r="DA38" s="46">
        <f>IFERROR(VLOOKUP(DA37,'Module Items'!$A$1:$B$2587,2,FALSE),"")</f>
        <v>136385</v>
      </c>
      <c r="DB38" s="46">
        <f>IFERROR(VLOOKUP(DB37,'Module Items'!$A$1:$B$2587,2,FALSE),"")</f>
        <v>138556</v>
      </c>
      <c r="DC38" s="46">
        <f>IFERROR(VLOOKUP(DC37,'Module Items'!$A$1:$B$2587,2,FALSE),"")</f>
        <v>114040</v>
      </c>
      <c r="DD38" s="46">
        <f>IFERROR(VLOOKUP(DD37,'Module Items'!$A$1:$B$2587,2,FALSE),"")</f>
        <v>110683</v>
      </c>
      <c r="DE38" s="46">
        <f>IFERROR(VLOOKUP(DE37,'Module Items'!$A$1:$B$2587,2,FALSE),"")</f>
        <v>119995</v>
      </c>
      <c r="DF38" s="46">
        <f>IFERROR(VLOOKUP(DF37,'Module Items'!$A$1:$B$2587,2,FALSE),"")</f>
        <v>69380</v>
      </c>
      <c r="DG38" s="46">
        <f>IFERROR(VLOOKUP(DG37,'Module Items'!$A$1:$B$2587,2,FALSE),"")</f>
        <v>31435</v>
      </c>
      <c r="DH38" s="46" t="str">
        <f>IFERROR(VLOOKUP(DH37,'Module Items'!$A$1:$B$2587,2,FALSE),"")</f>
        <v>OPEN</v>
      </c>
      <c r="DI38" s="46">
        <f>IFERROR(VLOOKUP(DI37,'Module Items'!$A$1:$B$2587,2,FALSE),"")</f>
        <v>699</v>
      </c>
      <c r="DJ38" s="46">
        <f>IFERROR(VLOOKUP(DJ37,'Module Items'!$A$1:$B$2587,2,FALSE),"")</f>
        <v>134825</v>
      </c>
      <c r="DK38" s="46" t="str">
        <f>IFERROR(VLOOKUP(DK37,'Module Items'!$A$1:$B$2587,2,FALSE),"")</f>
        <v>OPEN</v>
      </c>
      <c r="DL38" s="46" t="str">
        <f>IFERROR(VLOOKUP(DL37,'Module Items'!$A$1:$B$2587,2,FALSE),"")</f>
        <v>OPEN</v>
      </c>
      <c r="DM38" s="46">
        <f>IFERROR(VLOOKUP(DM37,'Module Items'!$A$1:$B$2587,2,FALSE),"")</f>
        <v>86736</v>
      </c>
      <c r="DN38" s="46">
        <f>IFERROR(VLOOKUP(DN37,'Module Items'!$A$1:$B$2587,2,FALSE),"")</f>
        <v>113447</v>
      </c>
      <c r="DO38" s="46">
        <f>IFERROR(VLOOKUP(DO37,'Module Items'!$A$1:$B$2587,2,FALSE),"")</f>
        <v>67670</v>
      </c>
      <c r="DP38" s="46">
        <f>IFERROR(VLOOKUP(DP37,'Module Items'!$A$1:$B$2587,2,FALSE),"")</f>
        <v>156208</v>
      </c>
      <c r="DQ38" s="46">
        <f>IFERROR(VLOOKUP(DQ37,'Module Items'!$A$1:$B$2587,2,FALSE),"")</f>
        <v>109852</v>
      </c>
      <c r="DR38" s="46" t="str">
        <f>IFERROR(VLOOKUP(DR37,'Module Items'!$A$1:$B$2587,2,FALSE),"")</f>
        <v/>
      </c>
      <c r="DS38" s="166"/>
      <c r="DT38" s="46" t="str">
        <f>IFERROR(VLOOKUP(DT37,'Module Items'!$A$1:$B$2587,2,FALSE),"")</f>
        <v/>
      </c>
    </row>
    <row r="39" spans="7:128" ht="15.95" thickBot="1">
      <c r="K39" s="58" t="s">
        <v>961</v>
      </c>
      <c r="L39" s="37">
        <f>IFERROR(VLOOKUP(K39,'Module Items'!$A$1:$B$2587,2,FALSE),"")</f>
        <v>87500</v>
      </c>
      <c r="M39" s="44" t="str">
        <f>IFERROR(VLOOKUP(K39,'Monthly Line Picks'!$A$1:$D$2000,4,FALSE),"0")</f>
        <v>0</v>
      </c>
      <c r="N39" s="50" t="s">
        <v>962</v>
      </c>
      <c r="O39" s="37">
        <f>IFERROR(VLOOKUP(N39,'Module Items'!$A$1:$B$2587,2,FALSE),"")</f>
        <v>37716</v>
      </c>
      <c r="P39" s="44">
        <f>IFERROR(VLOOKUP(N39,'Monthly Line Picks'!$A$1:$D$2000,4,FALSE),"0")</f>
        <v>2</v>
      </c>
      <c r="Q39" s="192"/>
      <c r="R39" s="193"/>
      <c r="S39" s="193"/>
      <c r="T39" s="193"/>
      <c r="U39" s="193"/>
      <c r="V39" s="194"/>
      <c r="W39" s="50" t="s">
        <v>963</v>
      </c>
      <c r="X39" s="37">
        <f>IFERROR(VLOOKUP(W39,'Module Items'!$A$1:$B$2587,2,FALSE),"")</f>
        <v>83977</v>
      </c>
      <c r="Y39" s="44" t="str">
        <f>IFERROR(VLOOKUP(W39,'Monthly Line Picks'!$A$1:$D$2000,4,FALSE),"0")</f>
        <v>0</v>
      </c>
      <c r="Z39" s="59" t="s">
        <v>964</v>
      </c>
      <c r="AA39" s="37">
        <f>IFERROR(VLOOKUP(Z39,'Module Items'!$A$1:$B$2587,2,FALSE),"")</f>
        <v>76783</v>
      </c>
      <c r="AB39" s="44" t="str">
        <f>IFERROR(VLOOKUP(Z39,'Monthly Line Picks'!$A$1:$D$2000,4,FALSE),"0")</f>
        <v>0</v>
      </c>
      <c r="AC39" s="46" t="str">
        <f>IFERROR(VLOOKUP(AC37,'Monthly Line Picks'!$A$1:$D$2101,4,FALSE),"0")</f>
        <v>0</v>
      </c>
      <c r="AD39" s="46">
        <f>IFERROR(VLOOKUP(AD37,'Monthly Line Picks'!$A$1:$D$2101,4,FALSE),"0")</f>
        <v>49</v>
      </c>
      <c r="AE39" s="46" t="str">
        <f>IFERROR(VLOOKUP(AE37,'Monthly Line Picks'!$A$1:$D$2101,4,FALSE),"0")</f>
        <v>0</v>
      </c>
      <c r="AF39" s="46">
        <f>IFERROR(VLOOKUP(AF37,'Monthly Line Picks'!$A$1:$D$2101,4,FALSE),"0")</f>
        <v>231</v>
      </c>
      <c r="AG39" s="170"/>
      <c r="AH39" s="46">
        <f>IFERROR(VLOOKUP(AH37,'Monthly Line Picks'!$A$1:$D$2101,4,FALSE),"0")</f>
        <v>30</v>
      </c>
      <c r="AI39" s="46">
        <f>IFERROR(VLOOKUP(AI37,'Monthly Line Picks'!$A$1:$D$2101,4,FALSE),"0")</f>
        <v>119</v>
      </c>
      <c r="AJ39" s="46">
        <f>IFERROR(VLOOKUP(AJ37,'Monthly Line Picks'!$A$1:$D$2101,4,FALSE),"0")</f>
        <v>71</v>
      </c>
      <c r="AK39" s="46">
        <f>IFERROR(VLOOKUP(AK37,'Monthly Line Picks'!$A$1:$D$2101,4,FALSE),"0")</f>
        <v>2</v>
      </c>
      <c r="AL39" s="46">
        <f>IFERROR(VLOOKUP(AL37,'Monthly Line Picks'!$A$1:$D$2101,4,FALSE),"0")</f>
        <v>28</v>
      </c>
      <c r="AM39" s="46">
        <f>IFERROR(VLOOKUP(AM37,'Monthly Line Picks'!$A$1:$D$2101,4,FALSE),"0")</f>
        <v>311</v>
      </c>
      <c r="AN39" s="46">
        <f>IFERROR(VLOOKUP(AN37,'Monthly Line Picks'!$A$1:$D$2101,4,FALSE),"0")</f>
        <v>58</v>
      </c>
      <c r="AO39" s="46">
        <f>IFERROR(VLOOKUP(AO37,'Monthly Line Picks'!$A$1:$D$2101,4,FALSE),"0")</f>
        <v>15</v>
      </c>
      <c r="AP39" s="46">
        <f>IFERROR(VLOOKUP(AP37,'Monthly Line Picks'!$A$1:$D$2101,4,FALSE),"0")</f>
        <v>42</v>
      </c>
      <c r="AQ39" s="46">
        <f>IFERROR(VLOOKUP(AQ37,'Monthly Line Picks'!$A$1:$D$2101,4,FALSE),"0")</f>
        <v>3</v>
      </c>
      <c r="AR39" s="46" t="str">
        <f>IFERROR(VLOOKUP(AR37,'Monthly Line Picks'!$A$1:$D$2101,4,FALSE),"0")</f>
        <v>0</v>
      </c>
      <c r="AS39" s="46">
        <f>IFERROR(VLOOKUP(AS37,'Monthly Line Picks'!$A$1:$D$2101,4,FALSE),"0")</f>
        <v>9</v>
      </c>
      <c r="AT39" s="46">
        <f>IFERROR(VLOOKUP(AT37,'Monthly Line Picks'!$A$1:$D$2101,4,FALSE),"0")</f>
        <v>21</v>
      </c>
      <c r="AU39" s="46">
        <f>IFERROR(VLOOKUP(AU37,'Monthly Line Picks'!$A$1:$D$2101,4,FALSE),"0")</f>
        <v>116</v>
      </c>
      <c r="AV39" s="46">
        <f>IFERROR(VLOOKUP(AV37,'Monthly Line Picks'!$A$1:$D$2101,4,FALSE),"0")</f>
        <v>93</v>
      </c>
      <c r="AW39" s="46">
        <f>IFERROR(VLOOKUP(AW37,'Monthly Line Picks'!$A$1:$D$2101,4,FALSE),"0")</f>
        <v>171</v>
      </c>
      <c r="AX39" s="46">
        <f>IFERROR(VLOOKUP(AX37,'Monthly Line Picks'!$A$1:$D$2101,4,FALSE),"0")</f>
        <v>71</v>
      </c>
      <c r="AY39" s="46">
        <f>IFERROR(VLOOKUP(AY37,'Monthly Line Picks'!$A$1:$D$2101,4,FALSE),"0")</f>
        <v>13</v>
      </c>
      <c r="AZ39" s="46" t="str">
        <f>IFERROR(VLOOKUP(AZ37,'Monthly Line Picks'!$A$1:$D$2101,4,FALSE),"0")</f>
        <v>0</v>
      </c>
      <c r="BA39" s="46">
        <f>IFERROR(VLOOKUP(BA37,'Monthly Line Picks'!$A$1:$D$2101,4,FALSE),"0")</f>
        <v>45</v>
      </c>
      <c r="BB39" s="46" t="str">
        <f>IFERROR(VLOOKUP(BB37,'Monthly Line Picks'!$A$1:$D$2101,4,FALSE),"0")</f>
        <v>0</v>
      </c>
      <c r="BC39" s="46" t="str">
        <f>IFERROR(VLOOKUP(BC37,'Monthly Line Picks'!$A$1:$D$2101,4,FALSE),"0")</f>
        <v>0</v>
      </c>
      <c r="BD39" s="46">
        <f>IFERROR(VLOOKUP(BD37,'Monthly Line Picks'!$A$1:$D$2101,4,FALSE),"0")</f>
        <v>25</v>
      </c>
      <c r="BE39" s="46">
        <f>IFERROR(VLOOKUP(BE37,'Monthly Line Picks'!$A$1:$D$2101,4,FALSE),"0")</f>
        <v>42</v>
      </c>
      <c r="BF39" s="46">
        <f>IFERROR(VLOOKUP(BF37,'Monthly Line Picks'!$A$1:$D$2101,4,FALSE),"0")</f>
        <v>26</v>
      </c>
      <c r="BG39" s="46">
        <f>IFERROR(VLOOKUP(BG37,'Monthly Line Picks'!$A$1:$D$2101,4,FALSE),"0")</f>
        <v>36</v>
      </c>
      <c r="BH39" s="46" t="str">
        <f>IFERROR(VLOOKUP(BH37,'Monthly Line Picks'!$A$1:$D$2101,4,FALSE),"0")</f>
        <v>0</v>
      </c>
      <c r="BI39" s="46" t="str">
        <f>IFERROR(VLOOKUP(BI37,'Monthly Line Picks'!$A$1:$D$2101,4,FALSE),"0")</f>
        <v>0</v>
      </c>
      <c r="BJ39" s="46" t="str">
        <f>IFERROR(VLOOKUP(BJ37,'Monthly Line Picks'!$A$1:$D$2101,4,FALSE),"0")</f>
        <v>0</v>
      </c>
      <c r="BK39" s="46">
        <f>IFERROR(VLOOKUP(BK37,'Monthly Line Picks'!$A$1:$D$2101,4,FALSE),"0")</f>
        <v>11</v>
      </c>
      <c r="BL39" s="46">
        <f>IFERROR(VLOOKUP(BL37,'Monthly Line Picks'!$A$1:$D$2101,4,FALSE),"0")</f>
        <v>34</v>
      </c>
      <c r="BM39" s="58" t="s">
        <v>965</v>
      </c>
      <c r="BN39" s="37">
        <f>IFERROR(VLOOKUP(BM39,'Module Items'!$A$1:$B$2587,2,FALSE),"")</f>
        <v>82664</v>
      </c>
      <c r="BO39" s="44">
        <f>IFERROR(VLOOKUP(BM39,'Monthly Line Picks'!$A$1:$D$2000,4,FALSE),"0")</f>
        <v>25</v>
      </c>
      <c r="BP39" s="50" t="s">
        <v>966</v>
      </c>
      <c r="BQ39" s="37">
        <f>IFERROR(VLOOKUP(BP39,'Module Items'!$A$1:$B$2587,2,FALSE),"")</f>
        <v>100293</v>
      </c>
      <c r="BR39" s="44" t="str">
        <f>IFERROR(VLOOKUP(BP39,'Monthly Line Picks'!$A$1:$D$2000,4,FALSE),"0")</f>
        <v>0</v>
      </c>
      <c r="BS39" s="188"/>
      <c r="BT39" s="188"/>
      <c r="BU39" s="188"/>
      <c r="BV39" s="188"/>
      <c r="BW39" s="53" t="str">
        <f>IFERROR(VLOOKUP(BV39,'Module Items'!$A$1:$B$2587,2,FALSE),"")</f>
        <v/>
      </c>
      <c r="BX39" s="53" t="str">
        <f>IFERROR(VLOOKUP(BV39,'Monthly Line Picks'!$A$1:$D$2101,4,FALSE),"")</f>
        <v/>
      </c>
      <c r="BY39" s="50" t="s">
        <v>967</v>
      </c>
      <c r="BZ39" s="37">
        <f>IFERROR(VLOOKUP(BY39,'Module Items'!$A$1:$B$2587,2,FALSE),"")</f>
        <v>73462</v>
      </c>
      <c r="CA39" s="44">
        <f>IFERROR(VLOOKUP(BY39,'Monthly Line Picks'!$A$1:$D$2000,4,FALSE),"0")</f>
        <v>5</v>
      </c>
      <c r="CB39" s="59" t="s">
        <v>968</v>
      </c>
      <c r="CC39" s="37">
        <f>IFERROR(VLOOKUP(CB39,'Module Items'!$A$1:$B$2587,2,FALSE),"")</f>
        <v>137611</v>
      </c>
      <c r="CD39" s="44" t="str">
        <f>IFERROR(VLOOKUP(CB39,'Monthly Line Picks'!$A$1:$D$2000,4,FALSE),"0")</f>
        <v>0</v>
      </c>
      <c r="CE39" s="184"/>
      <c r="CF39" s="185"/>
      <c r="CG39" s="186"/>
      <c r="CH39" s="46">
        <f>IFERROR(VLOOKUP(CH37,'Monthly Line Picks'!$A$1:$D$2101,4,FALSE),"0")</f>
        <v>106</v>
      </c>
      <c r="CI39" s="46" t="str">
        <f>IFERROR(VLOOKUP(CI37,'Monthly Line Picks'!$A$1:$D$2101,4,FALSE),"0")</f>
        <v>0</v>
      </c>
      <c r="CJ39" s="46">
        <f>IFERROR(VLOOKUP(CJ37,'Monthly Line Picks'!$A$1:$D$2101,4,FALSE),"0")</f>
        <v>185</v>
      </c>
      <c r="CK39" s="46">
        <f>IFERROR(VLOOKUP(CK37,'Monthly Line Picks'!$A$1:$D$2101,4,FALSE),"0")</f>
        <v>122</v>
      </c>
      <c r="CL39" s="46">
        <f>IFERROR(VLOOKUP(CL37,'Monthly Line Picks'!$A$1:$D$2101,4,FALSE),"0")</f>
        <v>119</v>
      </c>
      <c r="CM39" s="46">
        <f>IFERROR(VLOOKUP(CM37,'Monthly Line Picks'!$A$1:$D$2101,4,FALSE),"0")</f>
        <v>3</v>
      </c>
      <c r="CN39" s="46" t="str">
        <f>IFERROR(VLOOKUP(CN37,'Monthly Line Picks'!$A$1:$D$2101,4,FALSE),"0")</f>
        <v>0</v>
      </c>
      <c r="CO39" s="46">
        <f>IFERROR(VLOOKUP(CO37,'Monthly Line Picks'!$A$1:$D$2101,4,FALSE),"0")</f>
        <v>110</v>
      </c>
      <c r="CP39" s="46">
        <f>IFERROR(VLOOKUP(CP37,'Monthly Line Picks'!$A$1:$D$2101,4,FALSE),"0")</f>
        <v>105</v>
      </c>
      <c r="CQ39" s="46">
        <f>IFERROR(VLOOKUP(CQ37,'Monthly Line Picks'!$A$1:$D$2101,4,FALSE),"0")</f>
        <v>95</v>
      </c>
      <c r="CR39" s="46" t="str">
        <f>IFERROR(VLOOKUP(CR37,'Monthly Line Picks'!$A$1:$D$2101,4,FALSE),"0")</f>
        <v>0</v>
      </c>
      <c r="CS39" s="46">
        <f>IFERROR(VLOOKUP(CS37,'Monthly Line Picks'!$A$1:$D$2101,4,FALSE),"0")</f>
        <v>275</v>
      </c>
      <c r="CT39" s="46">
        <f>IFERROR(VLOOKUP(CT37,'Monthly Line Picks'!$A$1:$D$2101,4,FALSE),"0")</f>
        <v>3</v>
      </c>
      <c r="CU39" s="46" t="str">
        <f>IFERROR(VLOOKUP(CU37,'Monthly Line Picks'!$A$1:$D$2101,4,FALSE),"0")</f>
        <v>0</v>
      </c>
      <c r="CV39" s="46">
        <f>IFERROR(VLOOKUP(CV37,'Monthly Line Picks'!$A$1:$D$2101,4,FALSE),"0")</f>
        <v>47</v>
      </c>
      <c r="CW39" s="46" t="str">
        <f>IFERROR(VLOOKUP(CW37,'Monthly Line Picks'!$A$1:$D$2101,4,FALSE),"0")</f>
        <v>0</v>
      </c>
      <c r="CX39" s="46">
        <f>IFERROR(VLOOKUP(CX37,'Monthly Line Picks'!$A$1:$D$2101,4,FALSE),"0")</f>
        <v>45</v>
      </c>
      <c r="CY39" s="46">
        <f>IFERROR(VLOOKUP(CY37,'Monthly Line Picks'!$A$1:$D$2101,4,FALSE),"0")</f>
        <v>121</v>
      </c>
      <c r="CZ39" s="46" t="str">
        <f>IFERROR(VLOOKUP(CZ37,'Monthly Line Picks'!$A$1:$D$2101,4,FALSE),"0")</f>
        <v>0</v>
      </c>
      <c r="DA39" s="46">
        <f>IFERROR(VLOOKUP(DA37,'Monthly Line Picks'!$A$1:$D$2101,4,FALSE),"0")</f>
        <v>276</v>
      </c>
      <c r="DB39" s="46">
        <f>IFERROR(VLOOKUP(DB37,'Monthly Line Picks'!$A$1:$D$2101,4,FALSE),"0")</f>
        <v>51</v>
      </c>
      <c r="DC39" s="46">
        <f>IFERROR(VLOOKUP(DC37,'Monthly Line Picks'!$A$1:$D$2101,4,FALSE),"0")</f>
        <v>81</v>
      </c>
      <c r="DD39" s="46">
        <f>IFERROR(VLOOKUP(DD37,'Monthly Line Picks'!$A$1:$D$2101,4,FALSE),"0")</f>
        <v>8</v>
      </c>
      <c r="DE39" s="46">
        <f>IFERROR(VLOOKUP(DE37,'Monthly Line Picks'!$A$1:$D$2101,4,FALSE),"0")</f>
        <v>59</v>
      </c>
      <c r="DF39" s="46">
        <f>IFERROR(VLOOKUP(DF37,'Monthly Line Picks'!$A$1:$D$2101,4,FALSE),"0")</f>
        <v>60</v>
      </c>
      <c r="DG39" s="46">
        <f>IFERROR(VLOOKUP(DG37,'Monthly Line Picks'!$A$1:$D$2101,4,FALSE),"0")</f>
        <v>62</v>
      </c>
      <c r="DH39" s="46" t="str">
        <f>IFERROR(VLOOKUP(DH37,'Monthly Line Picks'!$A$1:$D$2101,4,FALSE),"0")</f>
        <v>0</v>
      </c>
      <c r="DI39" s="46">
        <f>IFERROR(VLOOKUP(DI37,'Monthly Line Picks'!$A$1:$D$2101,4,FALSE),"0")</f>
        <v>42</v>
      </c>
      <c r="DJ39" s="46">
        <f>IFERROR(VLOOKUP(DJ37,'Monthly Line Picks'!$A$1:$D$2101,4,FALSE),"0")</f>
        <v>14</v>
      </c>
      <c r="DK39" s="46" t="str">
        <f>IFERROR(VLOOKUP(DK37,'Monthly Line Picks'!$A$1:$D$2101,4,FALSE),"0")</f>
        <v>0</v>
      </c>
      <c r="DL39" s="46" t="str">
        <f>IFERROR(VLOOKUP(DL37,'Monthly Line Picks'!$A$1:$D$2101,4,FALSE),"0")</f>
        <v>0</v>
      </c>
      <c r="DM39" s="46">
        <f>IFERROR(VLOOKUP(DM37,'Monthly Line Picks'!$A$1:$D$2101,4,FALSE),"0")</f>
        <v>32</v>
      </c>
      <c r="DN39" s="46">
        <f>IFERROR(VLOOKUP(DN37,'Monthly Line Picks'!$A$1:$D$2101,4,FALSE),"0")</f>
        <v>19</v>
      </c>
      <c r="DO39" s="46">
        <f>IFERROR(VLOOKUP(DO37,'Monthly Line Picks'!$A$1:$D$2101,4,FALSE),"0")</f>
        <v>35</v>
      </c>
      <c r="DP39" s="46">
        <f>IFERROR(VLOOKUP(DP37,'Monthly Line Picks'!$A$1:$D$2101,4,FALSE),"0")</f>
        <v>63</v>
      </c>
      <c r="DQ39" s="46">
        <f>IFERROR(VLOOKUP(DQ37,'Monthly Line Picks'!$A$1:$D$2101,4,FALSE),"0")</f>
        <v>36</v>
      </c>
      <c r="DR39" s="46" t="str">
        <f>IFERROR(VLOOKUP(DR37,'Monthly Line Picks'!$A$1:$D$2101,4,FALSE),"0")</f>
        <v>0</v>
      </c>
      <c r="DS39" s="167"/>
      <c r="DT39" s="46" t="str">
        <f>IFERROR(VLOOKUP(DT37,'Monthly Line Picks'!$A$1:$D$1458,4,FALSE),"0")</f>
        <v>0</v>
      </c>
    </row>
    <row r="40" spans="7:128" ht="15.95" thickBot="1">
      <c r="K40" s="127" t="s">
        <v>969</v>
      </c>
      <c r="L40" s="128"/>
      <c r="M40" s="128"/>
      <c r="N40" s="128"/>
      <c r="O40" s="128"/>
      <c r="P40" s="128"/>
      <c r="Q40" s="129"/>
      <c r="R40" s="129"/>
      <c r="S40" s="129"/>
      <c r="T40" s="129"/>
      <c r="U40" s="129"/>
      <c r="V40" s="129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30"/>
      <c r="BA40" s="120" t="s">
        <v>970</v>
      </c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3"/>
    </row>
    <row r="41" spans="7:128" ht="15.95" thickBot="1"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</row>
    <row r="42" spans="7:128" ht="15.95" thickBot="1">
      <c r="K42" s="124" t="s">
        <v>971</v>
      </c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6"/>
      <c r="BA42" s="117" t="s">
        <v>972</v>
      </c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18"/>
      <c r="CY42" s="118"/>
      <c r="CZ42" s="118"/>
      <c r="DA42" s="118"/>
      <c r="DB42" s="118"/>
      <c r="DC42" s="118"/>
      <c r="DD42" s="118"/>
      <c r="DE42" s="118"/>
      <c r="DF42" s="118"/>
      <c r="DG42" s="118"/>
      <c r="DH42" s="119"/>
    </row>
    <row r="43" spans="7:128" ht="15.75" customHeight="1" thickBot="1">
      <c r="G43" s="242"/>
      <c r="H43" s="213"/>
      <c r="I43" s="195"/>
      <c r="J43" s="196"/>
      <c r="K43" s="44" t="s">
        <v>973</v>
      </c>
      <c r="L43" s="37">
        <f>IFERROR(VLOOKUP(K43,'Module Items'!$A$1:$B$2587,2,FALSE),"")</f>
        <v>9733</v>
      </c>
      <c r="M43" s="44">
        <f>IFERROR(VLOOKUP(K43,'Monthly Line Picks'!$A$1:$D$2000,4,FALSE),"0")</f>
        <v>13</v>
      </c>
      <c r="N43" s="42" t="s">
        <v>974</v>
      </c>
      <c r="O43" s="37">
        <f>IFERROR(VLOOKUP(N43,'Module Items'!$A$1:$B$2587,2,FALSE),"")</f>
        <v>95530</v>
      </c>
      <c r="P43" s="44" t="str">
        <f>IFERROR(VLOOKUP(N43,'Monthly Line Picks'!$A$1:$D$2000,4,FALSE),"0")</f>
        <v>0</v>
      </c>
      <c r="Q43" s="214" t="s">
        <v>305</v>
      </c>
      <c r="R43" s="215"/>
      <c r="S43" s="215"/>
      <c r="T43" s="215"/>
      <c r="U43" s="215"/>
      <c r="V43" s="216"/>
      <c r="W43" s="42" t="s">
        <v>975</v>
      </c>
      <c r="X43" s="37">
        <f>IFERROR(VLOOKUP(W43,'Module Items'!$A$1:$B$2587,2,FALSE),"")</f>
        <v>126154</v>
      </c>
      <c r="Y43" s="44" t="str">
        <f>IFERROR(VLOOKUP(W43,'Monthly Line Picks'!$A$1:$D$2000,4,FALSE),"0")</f>
        <v>0</v>
      </c>
      <c r="Z43" s="45" t="s">
        <v>976</v>
      </c>
      <c r="AA43" s="37">
        <f>IFERROR(VLOOKUP(Z43,'Module Items'!$A$1:$B$2587,2,FALSE),"")</f>
        <v>177477</v>
      </c>
      <c r="AB43" s="44" t="str">
        <f>IFERROR(VLOOKUP(Z43,'Monthly Line Picks'!$A$1:$D$2000,4,FALSE),"0")</f>
        <v>0</v>
      </c>
      <c r="AC43" s="44">
        <f>IFERROR(VLOOKUP(AC45,'Monthly Line Picks'!$A$1:$D$2101,4,FALSE),"0")</f>
        <v>466</v>
      </c>
      <c r="AD43" s="44">
        <f>IFERROR(VLOOKUP(AD45,'Monthly Line Picks'!$A$1:$D$2101,4,FALSE),"0")</f>
        <v>37</v>
      </c>
      <c r="AE43" s="44" t="str">
        <f>IFERROR(VLOOKUP(AE45,'Monthly Line Picks'!$A$1:$D$2101,4,FALSE),"0")</f>
        <v>0</v>
      </c>
      <c r="AF43" s="44">
        <f>IFERROR(VLOOKUP(AF45,'Monthly Line Picks'!$A$1:$D$2101,4,FALSE),"0")</f>
        <v>97</v>
      </c>
      <c r="AG43" s="44" t="str">
        <f>IFERROR(VLOOKUP(AG45,'Monthly Line Picks'!$A$1:$D$2101,4,FALSE),"0")</f>
        <v>0</v>
      </c>
      <c r="AH43" s="44" t="str">
        <f>IFERROR(VLOOKUP(AH45,'Monthly Line Picks'!$A$1:$D$2101,4,FALSE),"0")</f>
        <v>0</v>
      </c>
      <c r="AI43" s="44">
        <f>IFERROR(VLOOKUP(AI45,'Monthly Line Picks'!$A$1:$D$2101,4,FALSE),"0")</f>
        <v>23</v>
      </c>
      <c r="AJ43" s="44">
        <f>IFERROR(VLOOKUP(AJ45,'Monthly Line Picks'!$A$1:$D$2101,4,FALSE),"0")</f>
        <v>77</v>
      </c>
      <c r="AK43" s="44">
        <f>IFERROR(VLOOKUP(AK45,'Monthly Line Picks'!$A$1:$D$2101,4,FALSE),"0")</f>
        <v>54</v>
      </c>
      <c r="AL43" s="44">
        <f>IFERROR(VLOOKUP(AL45,'Monthly Line Picks'!$A$1:$D$2101,4,FALSE),"0")</f>
        <v>3</v>
      </c>
      <c r="AM43" s="44" t="str">
        <f>IFERROR(VLOOKUP(AM45,'Monthly Line Picks'!$A$1:$D$2101,4,FALSE),"0")</f>
        <v>0</v>
      </c>
      <c r="AN43" s="44">
        <f>IFERROR(VLOOKUP(AN45,'Monthly Line Picks'!$A$1:$D$2101,4,FALSE),"0")</f>
        <v>114</v>
      </c>
      <c r="AO43" s="44">
        <f>IFERROR(VLOOKUP(AO45,'Monthly Line Picks'!$A$1:$D$2101,4,FALSE),"0")</f>
        <v>74</v>
      </c>
      <c r="AP43" s="44">
        <f>IFERROR(VLOOKUP(AP45,'Monthly Line Picks'!$A$1:$D$2101,4,FALSE),"0")</f>
        <v>90</v>
      </c>
      <c r="AQ43" s="44" t="str">
        <f>IFERROR(VLOOKUP(AQ45,'Monthly Line Picks'!$A$1:$D$2101,4,FALSE),"0")</f>
        <v>0</v>
      </c>
      <c r="AR43" s="44">
        <f>IFERROR(VLOOKUP(AR45,'Monthly Line Picks'!$A$1:$D$2101,4,FALSE),"0")</f>
        <v>10</v>
      </c>
      <c r="AS43" s="44">
        <f>IFERROR(VLOOKUP(AS45,'Monthly Line Picks'!$A$1:$D$2101,4,FALSE),"0")</f>
        <v>71</v>
      </c>
      <c r="AT43" s="44">
        <f>IFERROR(VLOOKUP(AT45,'Monthly Line Picks'!$A$1:$D$2101,4,FALSE),"0")</f>
        <v>80</v>
      </c>
      <c r="AU43" s="44">
        <f>IFERROR(VLOOKUP(AU45,'Monthly Line Picks'!$A$1:$D$2101,4,FALSE),"0")</f>
        <v>96</v>
      </c>
      <c r="AV43" s="44">
        <f>IFERROR(VLOOKUP(AV45,'Monthly Line Picks'!$A$1:$D$2101,4,FALSE),"0")</f>
        <v>1</v>
      </c>
      <c r="AW43" s="44">
        <f>IFERROR(VLOOKUP(AW45,'Monthly Line Picks'!$A$1:$D$2101,4,FALSE),"0")</f>
        <v>29</v>
      </c>
      <c r="AX43" s="44">
        <f>IFERROR(VLOOKUP(AX45,'Monthly Line Picks'!$A$1:$D$2101,4,FALSE),"0")</f>
        <v>16</v>
      </c>
      <c r="AY43" s="44">
        <f>IFERROR(VLOOKUP(AY45,'Monthly Line Picks'!$A$1:$D$2101,4,FALSE),"0")</f>
        <v>9</v>
      </c>
      <c r="AZ43" s="44">
        <f>IFERROR(VLOOKUP(AZ45,'Monthly Line Picks'!$A$1:$D$2101,4,FALSE),"0")</f>
        <v>7</v>
      </c>
      <c r="BA43" s="44">
        <f>IFERROR(VLOOKUP(BA45,'Monthly Line Picks'!$A$1:$D$2101,4,FALSE),"0")</f>
        <v>10</v>
      </c>
      <c r="BB43" s="44" t="str">
        <f>IFERROR(VLOOKUP(BB45,'Monthly Line Picks'!$A$1:$D$2101,4,FALSE),"0")</f>
        <v>0</v>
      </c>
      <c r="BC43" s="44">
        <f>IFERROR(VLOOKUP(BC45,'Monthly Line Picks'!$A$1:$D$2101,4,FALSE),"0")</f>
        <v>48</v>
      </c>
      <c r="BD43" s="44">
        <f>IFERROR(VLOOKUP(BD45,'Monthly Line Picks'!$A$1:$D$2101,4,FALSE),"0")</f>
        <v>42</v>
      </c>
      <c r="BE43" s="44" t="str">
        <f>IFERROR(VLOOKUP(BE45,'Monthly Line Picks'!$A$1:$D$2101,4,FALSE),"0")</f>
        <v>0</v>
      </c>
      <c r="BF43" s="44">
        <f>IFERROR(VLOOKUP(BF45,'Monthly Line Picks'!$A$1:$D$2101,4,FALSE),"0")</f>
        <v>86</v>
      </c>
      <c r="BG43" s="44" t="str">
        <f>IFERROR(VLOOKUP(BG45,'Monthly Line Picks'!$A$1:$D$2101,4,FALSE),"0")</f>
        <v>0</v>
      </c>
      <c r="BH43" s="44" t="str">
        <f>IFERROR(VLOOKUP(BH45,'Monthly Line Picks'!$A$1:$D$2101,4,FALSE),"0")</f>
        <v>0</v>
      </c>
      <c r="BI43" s="44">
        <f>IFERROR(VLOOKUP(BI45,'Monthly Line Picks'!$A$1:$D$2101,4,FALSE),"0")</f>
        <v>14</v>
      </c>
      <c r="BJ43" s="44" t="str">
        <f>IFERROR(VLOOKUP(BJ45,'Monthly Line Picks'!$A$1:$D$2101,4,FALSE),"0")</f>
        <v>0</v>
      </c>
      <c r="BK43" s="44" t="str">
        <f>IFERROR(VLOOKUP(BK45,'Monthly Line Picks'!$A$1:$D$2101,4,FALSE),"0")</f>
        <v>0</v>
      </c>
      <c r="BL43" s="44" t="str">
        <f>IFERROR(VLOOKUP(BL45,'Monthly Line Picks'!$A$1:$D$2101,4,FALSE),"0")</f>
        <v>0</v>
      </c>
      <c r="BM43" s="44" t="s">
        <v>977</v>
      </c>
      <c r="BN43" s="37">
        <f>IFERROR(VLOOKUP(BM43,'Module Items'!$A$1:$B$2587,2,FALSE),"")</f>
        <v>111164</v>
      </c>
      <c r="BO43" s="44" t="str">
        <f>IFERROR(VLOOKUP(BM43,'Monthly Line Picks'!$A$1:$D$2000,4,FALSE),"0")</f>
        <v>0</v>
      </c>
      <c r="BP43" s="42" t="s">
        <v>978</v>
      </c>
      <c r="BQ43" s="37">
        <f>IFERROR(VLOOKUP(BP43,'Module Items'!$A$1:$B$2587,2,FALSE),"")</f>
        <v>31453</v>
      </c>
      <c r="BR43" s="44">
        <f>IFERROR(VLOOKUP(BP43,'Monthly Line Picks'!$A$1:$D$2000,4,FALSE),"0")</f>
        <v>23</v>
      </c>
      <c r="BS43" s="214" t="s">
        <v>305</v>
      </c>
      <c r="BT43" s="215"/>
      <c r="BU43" s="215"/>
      <c r="BV43" s="216"/>
      <c r="BW43" s="53" t="str">
        <f>IFERROR(VLOOKUP(BV43,'Module Items'!$A$1:$B$2587,2,FALSE),"")</f>
        <v/>
      </c>
      <c r="BX43" s="53" t="str">
        <f>IFERROR(VLOOKUP(BV43,'Monthly Line Picks'!$A$1:$D$2101,4,FALSE),"")</f>
        <v/>
      </c>
      <c r="BY43" s="42" t="s">
        <v>979</v>
      </c>
      <c r="BZ43" s="37">
        <f>IFERROR(VLOOKUP(BY43,'Module Items'!$A$1:$B$2587,2,FALSE),"")</f>
        <v>19671</v>
      </c>
      <c r="CA43" s="44">
        <f>IFERROR(VLOOKUP(BY43,'Monthly Line Picks'!$A$1:$D$2000,4,FALSE),"0")</f>
        <v>11</v>
      </c>
      <c r="CB43" s="45" t="s">
        <v>980</v>
      </c>
      <c r="CC43" s="37">
        <f>IFERROR(VLOOKUP(CB43,'Module Items'!$A$1:$B$2587,2,FALSE),"")</f>
        <v>101440</v>
      </c>
      <c r="CD43" s="44">
        <f>IFERROR(VLOOKUP(CB43,'Monthly Line Picks'!$A$1:$D$2000,4,FALSE),"0")</f>
        <v>26</v>
      </c>
      <c r="CE43" s="44">
        <f>IFERROR(VLOOKUP(CE45,'Monthly Line Picks'!$A$1:$D$2101,4,FALSE),"0")</f>
        <v>179</v>
      </c>
      <c r="CF43" s="44" t="str">
        <f>IFERROR(VLOOKUP(CF45,'Monthly Line Picks'!$A$1:$D$2101,4,FALSE),"0")</f>
        <v>0</v>
      </c>
      <c r="CG43" s="44" t="str">
        <f>IFERROR(VLOOKUP(CG45,'Monthly Line Picks'!$A$1:$D$2101,4,FALSE),"0")</f>
        <v>0</v>
      </c>
      <c r="CH43" s="44">
        <f>IFERROR(VLOOKUP(CH45,'Monthly Line Picks'!$A$1:$D$2101,4,FALSE),"0")</f>
        <v>47</v>
      </c>
      <c r="CI43" s="44">
        <f>IFERROR(VLOOKUP(CI45,'Monthly Line Picks'!$A$1:$D$2101,4,FALSE),"0")</f>
        <v>13</v>
      </c>
      <c r="CJ43" s="44">
        <f>IFERROR(VLOOKUP(CJ45,'Monthly Line Picks'!$A$1:$D$2101,4,FALSE),"0")</f>
        <v>11</v>
      </c>
      <c r="CK43" s="44">
        <f>IFERROR(VLOOKUP(CK45,'Monthly Line Picks'!$A$1:$D$2101,4,FALSE),"0")</f>
        <v>105</v>
      </c>
      <c r="CL43" s="44">
        <f>IFERROR(VLOOKUP(CL45,'Monthly Line Picks'!$A$1:$D$2101,4,FALSE),"0")</f>
        <v>72</v>
      </c>
      <c r="CM43" s="44">
        <f>IFERROR(VLOOKUP(CM45,'Monthly Line Picks'!$A$1:$D$2101,4,FALSE),"0")</f>
        <v>85</v>
      </c>
      <c r="CN43" s="44">
        <f>IFERROR(VLOOKUP(CN45,'Monthly Line Picks'!$A$1:$D$2101,4,FALSE),"0")</f>
        <v>137</v>
      </c>
      <c r="CO43" s="44">
        <f>IFERROR(VLOOKUP(CO45,'Monthly Line Picks'!$A$1:$D$2101,4,FALSE),"0")</f>
        <v>163</v>
      </c>
      <c r="CP43" s="44">
        <f>IFERROR(VLOOKUP(CP45,'Monthly Line Picks'!$A$1:$D$2101,4,FALSE),"0")</f>
        <v>179</v>
      </c>
      <c r="CQ43" s="44">
        <f>IFERROR(VLOOKUP(CQ45,'Monthly Line Picks'!$A$1:$D$2101,4,FALSE),"0")</f>
        <v>197</v>
      </c>
      <c r="CR43" s="44">
        <f>IFERROR(VLOOKUP(CR45,'Monthly Line Picks'!$A$1:$D$2101,4,FALSE),"0")</f>
        <v>30</v>
      </c>
      <c r="CS43" s="44">
        <f>IFERROR(VLOOKUP(CS45,'Monthly Line Picks'!$A$1:$D$2101,4,FALSE),"0")</f>
        <v>52</v>
      </c>
      <c r="CT43" s="44">
        <f>IFERROR(VLOOKUP(CT45,'Monthly Line Picks'!$A$1:$D$2101,4,FALSE),"0")</f>
        <v>55</v>
      </c>
      <c r="CU43" s="44">
        <f>IFERROR(VLOOKUP(CU45,'Monthly Line Picks'!$A$1:$D$2101,4,FALSE),"0")</f>
        <v>24</v>
      </c>
      <c r="CV43" s="44">
        <f>IFERROR(VLOOKUP(CV45,'Monthly Line Picks'!$A$1:$D$2101,4,FALSE),"0")</f>
        <v>22</v>
      </c>
      <c r="CW43" s="44">
        <f>IFERROR(VLOOKUP(CW45,'Monthly Line Picks'!$A$1:$D$2101,4,FALSE),"0")</f>
        <v>28</v>
      </c>
      <c r="CX43" s="44">
        <f>IFERROR(VLOOKUP(CX45,'Monthly Line Picks'!$A$1:$D$2101,4,FALSE),"0")</f>
        <v>40</v>
      </c>
      <c r="CY43" s="44">
        <f>IFERROR(VLOOKUP(CY45,'Monthly Line Picks'!$A$1:$D$2101,4,FALSE),"0")</f>
        <v>23</v>
      </c>
      <c r="CZ43" s="44">
        <f>IFERROR(VLOOKUP(CZ45,'Monthly Line Picks'!$A$1:$D$2101,4,FALSE),"0")</f>
        <v>100</v>
      </c>
      <c r="DA43" s="44">
        <f>IFERROR(VLOOKUP(DA45,'Monthly Line Picks'!$A$1:$D$2101,4,FALSE),"0")</f>
        <v>19</v>
      </c>
      <c r="DB43" s="44">
        <f>IFERROR(VLOOKUP(DB45,'Monthly Line Picks'!$A$1:$D$2101,4,FALSE),"0")</f>
        <v>64</v>
      </c>
      <c r="DC43" s="44">
        <f>IFERROR(VLOOKUP(DC45,'Monthly Line Picks'!$A$1:$D$2101,4,FALSE),"0")</f>
        <v>18</v>
      </c>
      <c r="DD43" s="44" t="str">
        <f>IFERROR(VLOOKUP(DD45,'Monthly Line Picks'!$A$1:$D$2101,4,FALSE),"0")</f>
        <v>0</v>
      </c>
      <c r="DE43" s="44">
        <f>IFERROR(VLOOKUP(DE45,'Monthly Line Picks'!$A$1:$D$2101,4,FALSE),"0")</f>
        <v>16</v>
      </c>
      <c r="DF43" s="44">
        <f>IFERROR(VLOOKUP(DF45,'Monthly Line Picks'!$A$1:$D$2101,4,FALSE),"0")</f>
        <v>51</v>
      </c>
      <c r="DG43" s="44">
        <f>IFERROR(VLOOKUP(DG45,'Monthly Line Picks'!$A$1:$D$2101,4,FALSE),"0")</f>
        <v>61</v>
      </c>
      <c r="DH43" s="44">
        <f>IFERROR(VLOOKUP(DH45,'Monthly Line Picks'!$A$1:$D$2101,4,FALSE),"0")</f>
        <v>10</v>
      </c>
      <c r="DI43" s="44">
        <f>IFERROR(VLOOKUP(DI45,'Monthly Line Picks'!$A$1:$D$2101,4,FALSE),"0")</f>
        <v>11</v>
      </c>
      <c r="DJ43" s="44">
        <f>IFERROR(VLOOKUP(DJ45,'Monthly Line Picks'!$A$1:$D$2101,4,FALSE),"0")</f>
        <v>49</v>
      </c>
      <c r="DK43" s="44">
        <f>IFERROR(VLOOKUP(DK45,'Monthly Line Picks'!$A$1:$D$2101,4,FALSE),"0")</f>
        <v>19</v>
      </c>
      <c r="DL43" s="44">
        <f>IFERROR(VLOOKUP(DL45,'Monthly Line Picks'!$A$1:$D$2101,4,FALSE),"0")</f>
        <v>34</v>
      </c>
      <c r="DM43" s="44">
        <f>IFERROR(VLOOKUP(DM45,'Monthly Line Picks'!$A$1:$D$2101,4,FALSE),"0")</f>
        <v>31</v>
      </c>
      <c r="DN43" s="44">
        <f>IFERROR(VLOOKUP(DN45,'Monthly Line Picks'!$A$1:$D$2101,4,FALSE),"0")</f>
        <v>15</v>
      </c>
      <c r="DO43" s="44">
        <f>IFERROR(VLOOKUP(DO45,'Monthly Line Picks'!$A$1:$D$2101,4,FALSE),"0")</f>
        <v>11</v>
      </c>
      <c r="DP43" s="44">
        <f>IFERROR(VLOOKUP(DP45,'Monthly Line Picks'!$A$1:$D$2101,4,FALSE),"0")</f>
        <v>8</v>
      </c>
      <c r="DQ43" s="44">
        <f>IFERROR(VLOOKUP(DQ45,'Monthly Line Picks'!$A$1:$D$2101,4,FALSE),"0")</f>
        <v>7</v>
      </c>
      <c r="DR43" s="44">
        <f>IFERROR(VLOOKUP(DR45,'Monthly Line Picks'!$A$1:$D$2101,4,FALSE),"0")</f>
        <v>49</v>
      </c>
      <c r="DS43" s="44" t="str">
        <f>IFERROR(VLOOKUP(DS45,'Monthly Line Picks'!$A$1:$D$2101,4,FALSE),"0")</f>
        <v>0</v>
      </c>
      <c r="DT43" s="44">
        <f>IFERROR(VLOOKUP(DT45,'Monthly Line Picks'!$A$1:$D$2101,4,FALSE),"0")</f>
        <v>4</v>
      </c>
      <c r="DU43" s="212"/>
      <c r="DV43" s="213"/>
      <c r="DW43" s="195"/>
      <c r="DX43" s="241"/>
    </row>
    <row r="44" spans="7:128" ht="15.95" thickBot="1">
      <c r="G44" s="202"/>
      <c r="H44" s="196"/>
      <c r="I44" s="195"/>
      <c r="J44" s="196"/>
      <c r="K44" s="56" t="s">
        <v>981</v>
      </c>
      <c r="L44" s="37">
        <f>IFERROR(VLOOKUP(K44,'Module Items'!$A$1:$B$2587,2,FALSE),"")</f>
        <v>84798</v>
      </c>
      <c r="M44" s="44">
        <f>IFERROR(VLOOKUP(K44,'Monthly Line Picks'!$A$1:$D$2000,4,FALSE),"0")</f>
        <v>15</v>
      </c>
      <c r="N44" s="47" t="s">
        <v>982</v>
      </c>
      <c r="O44" s="37">
        <f>IFERROR(VLOOKUP(N44,'Module Items'!$A$1:$B$2587,2,FALSE),"")</f>
        <v>325</v>
      </c>
      <c r="P44" s="44">
        <f>IFERROR(VLOOKUP(N44,'Monthly Line Picks'!$A$1:$D$2000,4,FALSE),"0")</f>
        <v>24</v>
      </c>
      <c r="Q44" s="243"/>
      <c r="R44" s="244"/>
      <c r="S44" s="244"/>
      <c r="T44" s="244"/>
      <c r="U44" s="244"/>
      <c r="V44" s="245"/>
      <c r="W44" s="47" t="s">
        <v>983</v>
      </c>
      <c r="X44" s="37">
        <f>IFERROR(VLOOKUP(W44,'Module Items'!$A$1:$B$2587,2,FALSE),"")</f>
        <v>31486</v>
      </c>
      <c r="Y44" s="44">
        <f>IFERROR(VLOOKUP(W44,'Monthly Line Picks'!$A$1:$D$2000,4,FALSE),"0")</f>
        <v>5</v>
      </c>
      <c r="Z44" s="57" t="s">
        <v>984</v>
      </c>
      <c r="AA44" s="37">
        <f>IFERROR(VLOOKUP(Z44,'Module Items'!$A$1:$B$2587,2,FALSE),"")</f>
        <v>154</v>
      </c>
      <c r="AB44" s="44">
        <f>IFERROR(VLOOKUP(Z44,'Monthly Line Picks'!$A$1:$D$2000,4,FALSE),"0")</f>
        <v>22</v>
      </c>
      <c r="AC44" s="39" t="str">
        <f>IFERROR(VLOOKUP(AC45,'Module Items'!$A$1:$B$2587,2,FALSE),"")</f>
        <v>OPEN</v>
      </c>
      <c r="AD44" s="39">
        <f>IFERROR(VLOOKUP(AD45,'Module Items'!$A$1:$B$2587,2,FALSE),"")</f>
        <v>124671</v>
      </c>
      <c r="AE44" s="39">
        <f>IFERROR(VLOOKUP(AE45,'Module Items'!$A$1:$B$2587,2,FALSE),"")</f>
        <v>133848</v>
      </c>
      <c r="AF44" s="39">
        <f>IFERROR(VLOOKUP(AF45,'Module Items'!$A$1:$B$2587,2,FALSE),"")</f>
        <v>73225</v>
      </c>
      <c r="AG44" s="39" t="str">
        <f>IFERROR(VLOOKUP(AG45,'Module Items'!$A$1:$B$2587,2,FALSE),"")</f>
        <v/>
      </c>
      <c r="AH44" s="39" t="str">
        <f>IFERROR(VLOOKUP(AH45,'Module Items'!$A$1:$B$2587,2,FALSE),"")</f>
        <v>OPEN</v>
      </c>
      <c r="AI44" s="39">
        <f>IFERROR(VLOOKUP(AI45,'Module Items'!$A$1:$B$2587,2,FALSE),"")</f>
        <v>114054</v>
      </c>
      <c r="AJ44" s="39">
        <f>IFERROR(VLOOKUP(AJ45,'Module Items'!$A$1:$B$2587,2,FALSE),"")</f>
        <v>110419</v>
      </c>
      <c r="AK44" s="39">
        <f>IFERROR(VLOOKUP(AK45,'Module Items'!$A$1:$B$2587,2,FALSE),"")</f>
        <v>126102</v>
      </c>
      <c r="AL44" s="39" t="str">
        <f>IFERROR(VLOOKUP(AL45,'Module Items'!$A$1:$B$2587,2,FALSE),"")</f>
        <v/>
      </c>
      <c r="AM44" s="39">
        <f>IFERROR(VLOOKUP(AM45,'Module Items'!$A$1:$B$2587,2,FALSE),"")</f>
        <v>142586</v>
      </c>
      <c r="AN44" s="39">
        <f>IFERROR(VLOOKUP(AN45,'Module Items'!$A$1:$B$2587,2,FALSE),"")</f>
        <v>109249</v>
      </c>
      <c r="AO44" s="39">
        <f>IFERROR(VLOOKUP(AO45,'Module Items'!$A$1:$B$2587,2,FALSE),"")</f>
        <v>137585</v>
      </c>
      <c r="AP44" s="39">
        <f>IFERROR(VLOOKUP(AP45,'Module Items'!$A$1:$B$2587,2,FALSE),"")</f>
        <v>142820</v>
      </c>
      <c r="AQ44" s="39" t="str">
        <f>IFERROR(VLOOKUP(AQ45,'Module Items'!$A$1:$B$2587,2,FALSE),"")</f>
        <v/>
      </c>
      <c r="AR44" s="39">
        <f>IFERROR(VLOOKUP(AR45,'Module Items'!$A$1:$B$2587,2,FALSE),"")</f>
        <v>209</v>
      </c>
      <c r="AS44" s="39">
        <f>IFERROR(VLOOKUP(AS45,'Module Items'!$A$1:$B$2587,2,FALSE),"")</f>
        <v>20169</v>
      </c>
      <c r="AT44" s="39">
        <f>IFERROR(VLOOKUP(AT45,'Module Items'!$A$1:$B$2587,2,FALSE),"")</f>
        <v>237</v>
      </c>
      <c r="AU44" s="39">
        <f>IFERROR(VLOOKUP(AU45,'Module Items'!$A$1:$B$2587,2,FALSE),"")</f>
        <v>1359</v>
      </c>
      <c r="AV44" s="39">
        <f>IFERROR(VLOOKUP(AV45,'Module Items'!$A$1:$B$2587,2,FALSE),"")</f>
        <v>137505</v>
      </c>
      <c r="AW44" s="39">
        <f>IFERROR(VLOOKUP(AW45,'Module Items'!$A$1:$B$2587,2,FALSE),"")</f>
        <v>107092</v>
      </c>
      <c r="AX44" s="39">
        <f>IFERROR(VLOOKUP(AX45,'Module Items'!$A$1:$B$2587,2,FALSE),"")</f>
        <v>132710</v>
      </c>
      <c r="AY44" s="39" t="str">
        <f>IFERROR(VLOOKUP(AY45,'Module Items'!$A$1:$B$2587,2,FALSE),"")</f>
        <v/>
      </c>
      <c r="AZ44" s="39">
        <f>IFERROR(VLOOKUP(AZ45,'Module Items'!$A$1:$B$2587,2,FALSE),"")</f>
        <v>138959</v>
      </c>
      <c r="BA44" s="39">
        <f>IFERROR(VLOOKUP(BA45,'Module Items'!$A$1:$B$2587,2,FALSE),"")</f>
        <v>319</v>
      </c>
      <c r="BB44" s="39">
        <f>IFERROR(VLOOKUP(BB45,'Module Items'!$A$1:$B$2587,2,FALSE),"")</f>
        <v>115027</v>
      </c>
      <c r="BC44" s="39">
        <f>IFERROR(VLOOKUP(BC45,'Module Items'!$A$1:$B$2587,2,FALSE),"")</f>
        <v>1132</v>
      </c>
      <c r="BD44" s="39">
        <f>IFERROR(VLOOKUP(BD45,'Module Items'!$A$1:$B$2587,2,FALSE),"")</f>
        <v>12962</v>
      </c>
      <c r="BE44" s="39">
        <f>IFERROR(VLOOKUP(BE45,'Module Items'!$A$1:$B$2587,2,FALSE),"")</f>
        <v>968</v>
      </c>
      <c r="BF44" s="39">
        <f>IFERROR(VLOOKUP(BF45,'Module Items'!$A$1:$B$2587,2,FALSE),"")</f>
        <v>137003</v>
      </c>
      <c r="BG44" s="39">
        <f>IFERROR(VLOOKUP(BG45,'Module Items'!$A$1:$B$2587,2,FALSE),"")</f>
        <v>157098</v>
      </c>
      <c r="BH44" s="39">
        <f>IFERROR(VLOOKUP(BH45,'Module Items'!$A$1:$B$2587,2,FALSE),"")</f>
        <v>101026</v>
      </c>
      <c r="BI44" s="39">
        <f>IFERROR(VLOOKUP(BI45,'Module Items'!$A$1:$B$2587,2,FALSE),"")</f>
        <v>138843</v>
      </c>
      <c r="BJ44" s="39" t="str">
        <f>IFERROR(VLOOKUP(BJ45,'Module Items'!$A$1:$B$2587,2,FALSE),"")</f>
        <v/>
      </c>
      <c r="BK44" s="39">
        <f>IFERROR(VLOOKUP(BK45,'Module Items'!$A$1:$B$2587,2,FALSE),"")</f>
        <v>176802</v>
      </c>
      <c r="BL44" s="39" t="str">
        <f>IFERROR(VLOOKUP(BL45,'Module Items'!$A$1:$B$2587,2,FALSE),"")</f>
        <v/>
      </c>
      <c r="BM44" s="46" t="s">
        <v>985</v>
      </c>
      <c r="BN44" s="37">
        <f>IFERROR(VLOOKUP(BM44,'Module Items'!$A$1:$B$2587,2,FALSE),"")</f>
        <v>167202</v>
      </c>
      <c r="BO44" s="44" t="str">
        <f>IFERROR(VLOOKUP(BM44,'Monthly Line Picks'!$A$1:$D$2000,4,FALSE),"0")</f>
        <v>0</v>
      </c>
      <c r="BP44" s="47" t="s">
        <v>986</v>
      </c>
      <c r="BQ44" s="37">
        <f>IFERROR(VLOOKUP(BP44,'Module Items'!$A$1:$B$2587,2,FALSE),"")</f>
        <v>20673</v>
      </c>
      <c r="BR44" s="44">
        <f>IFERROR(VLOOKUP(BP44,'Monthly Line Picks'!$A$1:$D$2000,4,FALSE),"0")</f>
        <v>15</v>
      </c>
      <c r="BS44" s="217"/>
      <c r="BT44" s="218"/>
      <c r="BU44" s="218"/>
      <c r="BV44" s="219"/>
      <c r="BW44" s="53" t="str">
        <f>IFERROR(VLOOKUP(BV44,'Module Items'!$A$1:$B$2587,2,FALSE),"")</f>
        <v/>
      </c>
      <c r="BX44" s="53" t="str">
        <f>IFERROR(VLOOKUP(BV44,'Monthly Line Picks'!$A$1:$D$2101,4,FALSE),"")</f>
        <v/>
      </c>
      <c r="BY44" s="43" t="s">
        <v>987</v>
      </c>
      <c r="BZ44" s="37">
        <f>IFERROR(VLOOKUP(BY44,'Module Items'!$A$1:$B$2587,2,FALSE),"")</f>
        <v>11118</v>
      </c>
      <c r="CA44" s="44">
        <f>IFERROR(VLOOKUP(BY44,'Monthly Line Picks'!$A$1:$D$2000,4,FALSE),"0")</f>
        <v>3</v>
      </c>
      <c r="CB44" s="48" t="s">
        <v>988</v>
      </c>
      <c r="CC44" s="37">
        <f>IFERROR(VLOOKUP(CB44,'Module Items'!$A$1:$B$2587,2,FALSE),"")</f>
        <v>109790</v>
      </c>
      <c r="CD44" s="44" t="str">
        <f>IFERROR(VLOOKUP(CB44,'Monthly Line Picks'!$A$1:$D$2000,4,FALSE),"0")</f>
        <v>0</v>
      </c>
      <c r="CE44" s="39">
        <f>IFERROR(VLOOKUP(CE45,'Module Items'!$A$1:$B$2587,2,FALSE),"")</f>
        <v>157621</v>
      </c>
      <c r="CF44" s="39" t="str">
        <f>IFERROR(VLOOKUP(CF45,'Module Items'!$A$1:$B$2587,2,FALSE),"")</f>
        <v/>
      </c>
      <c r="CG44" s="39" t="str">
        <f>IFERROR(VLOOKUP(CG45,'Module Items'!$A$1:$B$2587,2,FALSE),"")</f>
        <v/>
      </c>
      <c r="CH44" s="39">
        <f>IFERROR(VLOOKUP(CH45,'Module Items'!$A$1:$B$2587,2,FALSE),"")</f>
        <v>109189</v>
      </c>
      <c r="CI44" s="39">
        <f>IFERROR(VLOOKUP(CI45,'Module Items'!$A$1:$B$2587,2,FALSE),"")</f>
        <v>136384</v>
      </c>
      <c r="CJ44" s="39">
        <f>IFERROR(VLOOKUP(CJ45,'Module Items'!$A$1:$B$2587,2,FALSE),"")</f>
        <v>129781</v>
      </c>
      <c r="CK44" s="39">
        <f>IFERROR(VLOOKUP(CK45,'Module Items'!$A$1:$B$2587,2,FALSE),"")</f>
        <v>65345</v>
      </c>
      <c r="CL44" s="39">
        <f>IFERROR(VLOOKUP(CL45,'Module Items'!$A$1:$B$2587,2,FALSE),"")</f>
        <v>223462</v>
      </c>
      <c r="CM44" s="39">
        <f>IFERROR(VLOOKUP(CM45,'Module Items'!$A$1:$B$2587,2,FALSE),"")</f>
        <v>110813</v>
      </c>
      <c r="CN44" s="39">
        <f>IFERROR(VLOOKUP(CN45,'Module Items'!$A$1:$B$2587,2,FALSE),"")</f>
        <v>110163</v>
      </c>
      <c r="CO44" s="39" t="str">
        <f>IFERROR(VLOOKUP(CO45,'Module Items'!$A$1:$B$2587,2,FALSE),"")</f>
        <v>OPEN</v>
      </c>
      <c r="CP44" s="39">
        <f>IFERROR(VLOOKUP(CP45,'Module Items'!$A$1:$B$2587,2,FALSE),"")</f>
        <v>156758</v>
      </c>
      <c r="CQ44" s="39">
        <f>IFERROR(VLOOKUP(CQ45,'Module Items'!$A$1:$B$2587,2,FALSE),"")</f>
        <v>101545</v>
      </c>
      <c r="CR44" s="39">
        <f>IFERROR(VLOOKUP(CR45,'Module Items'!$A$1:$B$2587,2,FALSE),"")</f>
        <v>178054</v>
      </c>
      <c r="CS44" s="39">
        <f>IFERROR(VLOOKUP(CS45,'Module Items'!$A$1:$B$2587,2,FALSE),"")</f>
        <v>72112</v>
      </c>
      <c r="CT44" s="39">
        <f>IFERROR(VLOOKUP(CT45,'Module Items'!$A$1:$B$2587,2,FALSE),"")</f>
        <v>160446</v>
      </c>
      <c r="CU44" s="39">
        <f>IFERROR(VLOOKUP(CU45,'Module Items'!$A$1:$B$2587,2,FALSE),"")</f>
        <v>116915</v>
      </c>
      <c r="CV44" s="39">
        <f>IFERROR(VLOOKUP(CV45,'Module Items'!$A$1:$B$2587,2,FALSE),"")</f>
        <v>90532</v>
      </c>
      <c r="CW44" s="39" t="str">
        <f>IFERROR(VLOOKUP(CW45,'Module Items'!$A$1:$B$2587,2,FALSE),"")</f>
        <v>OPEN</v>
      </c>
      <c r="CX44" s="39">
        <f>IFERROR(VLOOKUP(CX45,'Module Items'!$A$1:$B$2587,2,FALSE),"")</f>
        <v>111866</v>
      </c>
      <c r="CY44" s="39" t="str">
        <f>IFERROR(VLOOKUP(CY45,'Module Items'!$A$1:$B$2587,2,FALSE),"")</f>
        <v>OPEN</v>
      </c>
      <c r="CZ44" s="39">
        <f>IFERROR(VLOOKUP(CZ45,'Module Items'!$A$1:$B$2587,2,FALSE),"")</f>
        <v>135941</v>
      </c>
      <c r="DA44" s="39">
        <f>IFERROR(VLOOKUP(DA45,'Module Items'!$A$1:$B$2587,2,FALSE),"")</f>
        <v>64418</v>
      </c>
      <c r="DB44" s="39">
        <f>IFERROR(VLOOKUP(DB45,'Module Items'!$A$1:$B$2587,2,FALSE),"")</f>
        <v>1011</v>
      </c>
      <c r="DC44" s="39">
        <f>IFERROR(VLOOKUP(DC45,'Module Items'!$A$1:$B$2587,2,FALSE),"")</f>
        <v>116881</v>
      </c>
      <c r="DD44" s="39">
        <f>IFERROR(VLOOKUP(DD45,'Module Items'!$A$1:$B$2587,2,FALSE),"")</f>
        <v>110971</v>
      </c>
      <c r="DE44" s="39" t="str">
        <f>IFERROR(VLOOKUP(DE45,'Module Items'!$A$1:$B$2587,2,FALSE),"")</f>
        <v>OPEN</v>
      </c>
      <c r="DF44" s="39">
        <f>IFERROR(VLOOKUP(DF45,'Module Items'!$A$1:$B$2587,2,FALSE),"")</f>
        <v>99746</v>
      </c>
      <c r="DG44" s="39">
        <f>IFERROR(VLOOKUP(DG45,'Module Items'!$A$1:$B$2587,2,FALSE),"")</f>
        <v>114047</v>
      </c>
      <c r="DH44" s="39" t="str">
        <f>IFERROR(VLOOKUP(DH45,'Module Items'!$A$1:$B$2587,2,FALSE),"")</f>
        <v>OPEN</v>
      </c>
      <c r="DI44" s="39">
        <f>IFERROR(VLOOKUP(DI45,'Module Items'!$A$1:$B$2587,2,FALSE),"")</f>
        <v>177613</v>
      </c>
      <c r="DJ44" s="39">
        <f>IFERROR(VLOOKUP(DJ45,'Module Items'!$A$1:$B$2587,2,FALSE),"")</f>
        <v>33796</v>
      </c>
      <c r="DK44" s="39">
        <f>IFERROR(VLOOKUP(DK45,'Module Items'!$A$1:$B$2587,2,FALSE),"")</f>
        <v>31246</v>
      </c>
      <c r="DL44" s="39">
        <f>IFERROR(VLOOKUP(DL45,'Module Items'!$A$1:$B$2587,2,FALSE),"")</f>
        <v>111248</v>
      </c>
      <c r="DM44" s="39">
        <f>IFERROR(VLOOKUP(DM45,'Module Items'!$A$1:$B$2587,2,FALSE),"")</f>
        <v>127246</v>
      </c>
      <c r="DN44" s="39">
        <f>IFERROR(VLOOKUP(DN45,'Module Items'!$A$1:$B$2587,2,FALSE),"")</f>
        <v>201</v>
      </c>
      <c r="DO44" s="39">
        <f>IFERROR(VLOOKUP(DO45,'Module Items'!$A$1:$B$2587,2,FALSE),"")</f>
        <v>132786</v>
      </c>
      <c r="DP44" s="39">
        <f>IFERROR(VLOOKUP(DP45,'Module Items'!$A$1:$B$2587,2,FALSE),"")</f>
        <v>131495</v>
      </c>
      <c r="DQ44" s="39">
        <f>IFERROR(VLOOKUP(DQ45,'Module Items'!$A$1:$B$2587,2,FALSE),"")</f>
        <v>157775</v>
      </c>
      <c r="DR44" s="39" t="str">
        <f>IFERROR(VLOOKUP(DR45,'Module Items'!$A$1:$B$2587,2,FALSE),"")</f>
        <v>OPEN</v>
      </c>
      <c r="DS44" s="39" t="str">
        <f>IFERROR(VLOOKUP(DS45,'Module Items'!$A$1:$B$2587,2,FALSE),"")</f>
        <v/>
      </c>
      <c r="DT44" s="39" t="str">
        <f>IFERROR(VLOOKUP(DT45,'Module Items'!$A$1:$B$2587,2,FALSE),"")</f>
        <v>OPEN</v>
      </c>
      <c r="DU44" s="196"/>
      <c r="DV44" s="196"/>
      <c r="DW44" s="195"/>
      <c r="DX44" s="241"/>
    </row>
    <row r="45" spans="7:128" ht="15.95" thickBot="1">
      <c r="G45" s="202"/>
      <c r="H45" s="196"/>
      <c r="I45" s="195"/>
      <c r="J45" s="196"/>
      <c r="K45" s="56" t="s">
        <v>989</v>
      </c>
      <c r="L45" s="37">
        <f>IFERROR(VLOOKUP(K45,'Module Items'!$A$1:$B$2587,2,FALSE),"")</f>
        <v>100733</v>
      </c>
      <c r="M45" s="44">
        <f>IFERROR(VLOOKUP(K45,'Monthly Line Picks'!$A$1:$D$2000,4,FALSE),"0")</f>
        <v>12</v>
      </c>
      <c r="N45" s="47" t="s">
        <v>990</v>
      </c>
      <c r="O45" s="37">
        <f>IFERROR(VLOOKUP(N45,'Module Items'!$A$1:$B$2587,2,FALSE),"")</f>
        <v>1471</v>
      </c>
      <c r="P45" s="44">
        <f>IFERROR(VLOOKUP(N45,'Monthly Line Picks'!$A$1:$D$2000,4,FALSE),"0")</f>
        <v>37</v>
      </c>
      <c r="Q45" s="47" t="s">
        <v>991</v>
      </c>
      <c r="R45" s="37">
        <f>IFERROR(VLOOKUP(Q45,'Module Items'!$A$1:$B$2587,2,FALSE),"")</f>
        <v>95801</v>
      </c>
      <c r="S45" s="44">
        <f>IFERROR(VLOOKUP(Q45,'Monthly Line Picks'!$A$1:$D$2000,4,FALSE),"0")</f>
        <v>8</v>
      </c>
      <c r="T45" s="47" t="s">
        <v>992</v>
      </c>
      <c r="U45" s="37">
        <f>IFERROR(VLOOKUP(T45,'Module Items'!$A$1:$B$2587,2,FALSE),"")</f>
        <v>57380</v>
      </c>
      <c r="V45" s="44">
        <f>IFERROR(VLOOKUP(T45,'Monthly Line Picks'!$A$1:$D$2000,4,FALSE),"0")</f>
        <v>2</v>
      </c>
      <c r="W45" s="47" t="s">
        <v>993</v>
      </c>
      <c r="X45" s="37">
        <f>IFERROR(VLOOKUP(W45,'Module Items'!$A$1:$B$2587,2,FALSE),"")</f>
        <v>135404</v>
      </c>
      <c r="Y45" s="44" t="str">
        <f>IFERROR(VLOOKUP(W45,'Monthly Line Picks'!$A$1:$D$2000,4,FALSE),"0")</f>
        <v>0</v>
      </c>
      <c r="Z45" s="57" t="s">
        <v>994</v>
      </c>
      <c r="AA45" s="37">
        <f>IFERROR(VLOOKUP(Z45,'Module Items'!$A$1:$B$2587,2,FALSE),"")</f>
        <v>83932</v>
      </c>
      <c r="AB45" s="44" t="str">
        <f>IFERROR(VLOOKUP(Z45,'Monthly Line Picks'!$A$1:$D$2000,4,FALSE),"0")</f>
        <v>0</v>
      </c>
      <c r="AC45" s="10" t="s">
        <v>995</v>
      </c>
      <c r="AD45" s="13" t="s">
        <v>996</v>
      </c>
      <c r="AE45" s="13" t="s">
        <v>997</v>
      </c>
      <c r="AF45" s="13" t="s">
        <v>998</v>
      </c>
      <c r="AG45" s="13" t="s">
        <v>999</v>
      </c>
      <c r="AH45" s="11" t="s">
        <v>1000</v>
      </c>
      <c r="AI45" s="39" t="s">
        <v>1001</v>
      </c>
      <c r="AJ45" s="7" t="s">
        <v>1002</v>
      </c>
      <c r="AK45" s="7" t="s">
        <v>1003</v>
      </c>
      <c r="AL45" s="7" t="s">
        <v>1004</v>
      </c>
      <c r="AM45" s="7" t="s">
        <v>1005</v>
      </c>
      <c r="AN45" s="28" t="s">
        <v>1006</v>
      </c>
      <c r="AO45" s="39" t="s">
        <v>1007</v>
      </c>
      <c r="AP45" s="7" t="s">
        <v>1008</v>
      </c>
      <c r="AQ45" s="7" t="s">
        <v>1009</v>
      </c>
      <c r="AR45" s="7" t="s">
        <v>1010</v>
      </c>
      <c r="AS45" s="7" t="s">
        <v>1011</v>
      </c>
      <c r="AT45" s="28" t="s">
        <v>1012</v>
      </c>
      <c r="AU45" s="9" t="s">
        <v>1013</v>
      </c>
      <c r="AV45" s="7" t="s">
        <v>1014</v>
      </c>
      <c r="AW45" s="7" t="s">
        <v>1015</v>
      </c>
      <c r="AX45" s="7" t="s">
        <v>1016</v>
      </c>
      <c r="AY45" s="7" t="s">
        <v>1017</v>
      </c>
      <c r="AZ45" s="28" t="s">
        <v>1018</v>
      </c>
      <c r="BA45" s="39" t="s">
        <v>1019</v>
      </c>
      <c r="BB45" s="7" t="s">
        <v>1020</v>
      </c>
      <c r="BC45" s="7" t="s">
        <v>1021</v>
      </c>
      <c r="BD45" s="7" t="s">
        <v>1022</v>
      </c>
      <c r="BE45" s="7" t="s">
        <v>1023</v>
      </c>
      <c r="BF45" s="28" t="s">
        <v>1024</v>
      </c>
      <c r="BG45" s="39" t="s">
        <v>1025</v>
      </c>
      <c r="BH45" s="7" t="s">
        <v>1026</v>
      </c>
      <c r="BI45" s="7" t="s">
        <v>1027</v>
      </c>
      <c r="BJ45" s="7" t="s">
        <v>1028</v>
      </c>
      <c r="BK45" s="7" t="s">
        <v>1029</v>
      </c>
      <c r="BL45" s="28" t="s">
        <v>1030</v>
      </c>
      <c r="BM45" s="46" t="s">
        <v>1031</v>
      </c>
      <c r="BN45" s="37">
        <f>IFERROR(VLOOKUP(BM45,'Module Items'!$A$1:$B$2587,2,FALSE),"")</f>
        <v>132867</v>
      </c>
      <c r="BO45" s="44">
        <f>IFERROR(VLOOKUP(BM45,'Monthly Line Picks'!$A$1:$D$2000,4,FALSE),"0")</f>
        <v>18</v>
      </c>
      <c r="BP45" s="47" t="s">
        <v>1032</v>
      </c>
      <c r="BQ45" s="37">
        <f>IFERROR(VLOOKUP(BP45,'Module Items'!$A$1:$B$2587,2,FALSE),"")</f>
        <v>115008</v>
      </c>
      <c r="BR45" s="44">
        <f>IFERROR(VLOOKUP(BP45,'Monthly Line Picks'!$A$1:$D$2000,4,FALSE),"0")</f>
        <v>2</v>
      </c>
      <c r="BS45" s="47" t="s">
        <v>1033</v>
      </c>
      <c r="BT45" s="37">
        <f>IFERROR(VLOOKUP(BS45,'Module Items'!$A$1:$B$2587,2,FALSE),"")</f>
        <v>177073</v>
      </c>
      <c r="BU45" s="44">
        <f>IFERROR(VLOOKUP(BS45,'Monthly Line Picks'!$A$1:$D$2000,4,FALSE),"0")</f>
        <v>1</v>
      </c>
      <c r="BV45" s="47" t="s">
        <v>1034</v>
      </c>
      <c r="BW45" s="37">
        <f>IFERROR(VLOOKUP(BV45,'Module Items'!$A$1:$B$2587,2,FALSE),"")</f>
        <v>95216</v>
      </c>
      <c r="BX45" s="44">
        <f>IFERROR(VLOOKUP(BV45,'Monthly Line Picks'!$A$1:$D$2000,4,FALSE),"0")</f>
        <v>7</v>
      </c>
      <c r="BY45" s="43" t="s">
        <v>1035</v>
      </c>
      <c r="BZ45" s="37">
        <f>IFERROR(VLOOKUP(BY45,'Module Items'!$A$1:$B$2587,2,FALSE),"")</f>
        <v>78475</v>
      </c>
      <c r="CA45" s="44" t="str">
        <f>IFERROR(VLOOKUP(BY45,'Monthly Line Picks'!$A$1:$D$2000,4,FALSE),"0")</f>
        <v>0</v>
      </c>
      <c r="CB45" s="48" t="s">
        <v>1036</v>
      </c>
      <c r="CC45" s="37">
        <f>IFERROR(VLOOKUP(CB45,'Module Items'!$A$1:$B$2587,2,FALSE),"")</f>
        <v>9339</v>
      </c>
      <c r="CD45" s="44" t="str">
        <f>IFERROR(VLOOKUP(CB45,'Monthly Line Picks'!$A$1:$D$2000,4,FALSE),"0")</f>
        <v>0</v>
      </c>
      <c r="CE45" s="9" t="s">
        <v>1037</v>
      </c>
      <c r="CF45" s="7" t="s">
        <v>1038</v>
      </c>
      <c r="CG45" s="7" t="s">
        <v>1039</v>
      </c>
      <c r="CH45" s="7" t="s">
        <v>1040</v>
      </c>
      <c r="CI45" s="7" t="s">
        <v>1041</v>
      </c>
      <c r="CJ45" s="14" t="s">
        <v>1042</v>
      </c>
      <c r="CK45" s="39" t="s">
        <v>1043</v>
      </c>
      <c r="CL45" s="7" t="s">
        <v>1044</v>
      </c>
      <c r="CM45" s="7" t="s">
        <v>1045</v>
      </c>
      <c r="CN45" s="7" t="s">
        <v>1046</v>
      </c>
      <c r="CO45" s="7" t="s">
        <v>1047</v>
      </c>
      <c r="CP45" s="28" t="s">
        <v>1048</v>
      </c>
      <c r="CQ45" s="39" t="s">
        <v>1049</v>
      </c>
      <c r="CR45" s="7" t="s">
        <v>1050</v>
      </c>
      <c r="CS45" s="7" t="s">
        <v>1051</v>
      </c>
      <c r="CT45" s="7" t="s">
        <v>1052</v>
      </c>
      <c r="CU45" s="7" t="s">
        <v>1053</v>
      </c>
      <c r="CV45" s="28" t="s">
        <v>1054</v>
      </c>
      <c r="CW45" s="39" t="s">
        <v>1055</v>
      </c>
      <c r="CX45" s="7" t="s">
        <v>1056</v>
      </c>
      <c r="CY45" s="7" t="s">
        <v>1057</v>
      </c>
      <c r="CZ45" s="7" t="s">
        <v>1058</v>
      </c>
      <c r="DA45" s="7" t="s">
        <v>1059</v>
      </c>
      <c r="DB45" s="28" t="s">
        <v>1060</v>
      </c>
      <c r="DC45" s="39" t="s">
        <v>1061</v>
      </c>
      <c r="DD45" s="7" t="s">
        <v>1062</v>
      </c>
      <c r="DE45" s="7" t="s">
        <v>1063</v>
      </c>
      <c r="DF45" s="7" t="s">
        <v>1064</v>
      </c>
      <c r="DG45" s="7" t="s">
        <v>1065</v>
      </c>
      <c r="DH45" s="28" t="s">
        <v>1066</v>
      </c>
      <c r="DI45" s="39" t="s">
        <v>1067</v>
      </c>
      <c r="DJ45" s="7" t="s">
        <v>1068</v>
      </c>
      <c r="DK45" s="7" t="s">
        <v>1069</v>
      </c>
      <c r="DL45" s="7" t="s">
        <v>1070</v>
      </c>
      <c r="DM45" s="7" t="s">
        <v>1071</v>
      </c>
      <c r="DN45" s="28" t="s">
        <v>1072</v>
      </c>
      <c r="DO45" s="39" t="s">
        <v>1073</v>
      </c>
      <c r="DP45" s="7" t="s">
        <v>1074</v>
      </c>
      <c r="DQ45" s="7" t="s">
        <v>1075</v>
      </c>
      <c r="DR45" s="7" t="s">
        <v>1076</v>
      </c>
      <c r="DS45" s="7" t="s">
        <v>1077</v>
      </c>
      <c r="DT45" s="28" t="s">
        <v>1078</v>
      </c>
      <c r="DU45" s="196"/>
      <c r="DV45" s="196"/>
      <c r="DW45" s="195"/>
      <c r="DX45" s="241"/>
    </row>
    <row r="46" spans="7:128" ht="15.95" thickBot="1">
      <c r="G46" s="202"/>
      <c r="H46" s="196"/>
      <c r="I46" s="195"/>
      <c r="J46" s="196"/>
      <c r="K46" s="56" t="s">
        <v>1079</v>
      </c>
      <c r="L46" s="37">
        <f>IFERROR(VLOOKUP(K46,'Module Items'!$A$1:$B$2587,2,FALSE),"")</f>
        <v>72322</v>
      </c>
      <c r="M46" s="44">
        <f>IFERROR(VLOOKUP(K46,'Monthly Line Picks'!$A$1:$D$2000,4,FALSE),"0")</f>
        <v>10</v>
      </c>
      <c r="N46" s="47" t="s">
        <v>1080</v>
      </c>
      <c r="O46" s="37">
        <f>IFERROR(VLOOKUP(N46,'Module Items'!$A$1:$B$2587,2,FALSE),"")</f>
        <v>477</v>
      </c>
      <c r="P46" s="44">
        <f>IFERROR(VLOOKUP(N46,'Monthly Line Picks'!$A$1:$D$2000,4,FALSE),"0")</f>
        <v>13</v>
      </c>
      <c r="Q46" s="47" t="s">
        <v>1081</v>
      </c>
      <c r="R46" s="37">
        <f>IFERROR(VLOOKUP(Q46,'Module Items'!$A$1:$B$2587,2,FALSE),"")</f>
        <v>727</v>
      </c>
      <c r="S46" s="44">
        <f>IFERROR(VLOOKUP(Q46,'Monthly Line Picks'!$A$1:$D$2000,4,FALSE),"0")</f>
        <v>1</v>
      </c>
      <c r="T46" s="47" t="s">
        <v>1082</v>
      </c>
      <c r="U46" s="37">
        <f>IFERROR(VLOOKUP(T46,'Module Items'!$A$1:$B$2587,2,FALSE),"")</f>
        <v>116903</v>
      </c>
      <c r="V46" s="44">
        <f>IFERROR(VLOOKUP(T46,'Monthly Line Picks'!$A$1:$D$2000,4,FALSE),"0")</f>
        <v>24</v>
      </c>
      <c r="W46" s="47" t="s">
        <v>1083</v>
      </c>
      <c r="X46" s="37">
        <f>IFERROR(VLOOKUP(W46,'Module Items'!$A$1:$B$2587,2,FALSE),"")</f>
        <v>114613</v>
      </c>
      <c r="Y46" s="44">
        <f>IFERROR(VLOOKUP(W46,'Monthly Line Picks'!$A$1:$D$2000,4,FALSE),"0")</f>
        <v>9</v>
      </c>
      <c r="Z46" s="57" t="s">
        <v>1084</v>
      </c>
      <c r="AA46" s="37">
        <f>IFERROR(VLOOKUP(Z46,'Module Items'!$A$1:$B$2587,2,FALSE),"")</f>
        <v>59026</v>
      </c>
      <c r="AB46" s="44" t="str">
        <f>IFERROR(VLOOKUP(Z46,'Monthly Line Picks'!$A$1:$D$2000,4,FALSE),"0")</f>
        <v>0</v>
      </c>
      <c r="AC46" s="44" t="str">
        <f>IFERROR(VLOOKUP(AC48,'Monthly Line Picks'!$A$1:$D$2101,4,FALSE),"0")</f>
        <v>0</v>
      </c>
      <c r="AD46" s="44" t="str">
        <f>IFERROR(VLOOKUP(AD48,'Monthly Line Picks'!$A$1:$D$2101,4,FALSE),"0")</f>
        <v>0</v>
      </c>
      <c r="AE46" s="44" t="str">
        <f>IFERROR(VLOOKUP(AE48,'Monthly Line Picks'!$A$1:$D$2101,4,FALSE),"0")</f>
        <v>0</v>
      </c>
      <c r="AF46" s="44">
        <f>IFERROR(VLOOKUP(AF48,'Monthly Line Picks'!$A$1:$D$2101,4,FALSE),"0")</f>
        <v>45</v>
      </c>
      <c r="AG46" s="44" t="str">
        <f>IFERROR(VLOOKUP(AG48,'Monthly Line Picks'!$A$1:$D$2101,4,FALSE),"0")</f>
        <v>0</v>
      </c>
      <c r="AH46" s="44" t="str">
        <f>IFERROR(VLOOKUP(AH48,'Monthly Line Picks'!$A$1:$D$2101,4,FALSE),"0")</f>
        <v>0</v>
      </c>
      <c r="AI46" s="44" t="str">
        <f>IFERROR(VLOOKUP(AI48,'Monthly Line Picks'!$A$1:$D$2101,4,FALSE),"0")</f>
        <v>0</v>
      </c>
      <c r="AJ46" s="44" t="str">
        <f>IFERROR(VLOOKUP(AJ48,'Monthly Line Picks'!$A$1:$D$2101,4,FALSE),"0")</f>
        <v>0</v>
      </c>
      <c r="AK46" s="44">
        <f>IFERROR(VLOOKUP(AK48,'Monthly Line Picks'!$A$1:$D$2101,4,FALSE),"0")</f>
        <v>302</v>
      </c>
      <c r="AL46" s="44" t="str">
        <f>IFERROR(VLOOKUP(AL48,'Monthly Line Picks'!$A$1:$D$2101,4,FALSE),"0")</f>
        <v>0</v>
      </c>
      <c r="AM46" s="44" t="str">
        <f>IFERROR(VLOOKUP(AM48,'Monthly Line Picks'!$A$1:$D$2101,4,FALSE),"0")</f>
        <v>0</v>
      </c>
      <c r="AN46" s="44" t="str">
        <f>IFERROR(VLOOKUP(AN48,'Monthly Line Picks'!$A$1:$D$2101,4,FALSE),"0")</f>
        <v>0</v>
      </c>
      <c r="AO46" s="44">
        <f>IFERROR(VLOOKUP(AO48,'Monthly Line Picks'!$A$1:$D$2101,4,FALSE),"0")</f>
        <v>286</v>
      </c>
      <c r="AP46" s="44">
        <f>IFERROR(VLOOKUP(AP48,'Monthly Line Picks'!$A$1:$D$2101,4,FALSE),"0")</f>
        <v>29</v>
      </c>
      <c r="AQ46" s="44" t="str">
        <f>IFERROR(VLOOKUP(AQ48,'Monthly Line Picks'!$A$1:$D$2101,4,FALSE),"0")</f>
        <v>0</v>
      </c>
      <c r="AR46" s="44">
        <f>IFERROR(VLOOKUP(AR48,'Monthly Line Picks'!$A$1:$D$2101,4,FALSE),"0")</f>
        <v>301</v>
      </c>
      <c r="AS46" s="44">
        <f>IFERROR(VLOOKUP(AS48,'Monthly Line Picks'!$A$1:$D$2101,4,FALSE),"0")</f>
        <v>177</v>
      </c>
      <c r="AT46" s="44">
        <f>IFERROR(VLOOKUP(AT48,'Monthly Line Picks'!$A$1:$D$2101,4,FALSE),"0")</f>
        <v>257</v>
      </c>
      <c r="AU46" s="44">
        <f>IFERROR(VLOOKUP(AU48,'Monthly Line Picks'!$A$1:$D$2101,4,FALSE),"0")</f>
        <v>12</v>
      </c>
      <c r="AV46" s="44" t="str">
        <f>IFERROR(VLOOKUP(AV48,'Monthly Line Picks'!$A$1:$D$2101,4,FALSE),"0")</f>
        <v>0</v>
      </c>
      <c r="AW46" s="44" t="str">
        <f>IFERROR(VLOOKUP(AW48,'Monthly Line Picks'!$A$1:$D$2101,4,FALSE),"0")</f>
        <v>0</v>
      </c>
      <c r="AX46" s="44" t="str">
        <f>IFERROR(VLOOKUP(AX48,'Monthly Line Picks'!$A$1:$D$2101,4,FALSE),"0")</f>
        <v>0</v>
      </c>
      <c r="AY46" s="44" t="str">
        <f>IFERROR(VLOOKUP(AY48,'Monthly Line Picks'!$A$1:$D$2101,4,FALSE),"0")</f>
        <v>0</v>
      </c>
      <c r="AZ46" s="44">
        <f>IFERROR(VLOOKUP(AZ48,'Monthly Line Picks'!$A$1:$D$2101,4,FALSE),"0")</f>
        <v>32</v>
      </c>
      <c r="BA46" s="44" t="str">
        <f>IFERROR(VLOOKUP(BA48,'Monthly Line Picks'!$A$1:$D$2101,4,FALSE),"0")</f>
        <v>0</v>
      </c>
      <c r="BB46" s="44">
        <f>IFERROR(VLOOKUP(BB48,'Monthly Line Picks'!$A$1:$D$2101,4,FALSE),"0")</f>
        <v>91</v>
      </c>
      <c r="BC46" s="44" t="str">
        <f>IFERROR(VLOOKUP(BC48,'Monthly Line Picks'!$A$1:$D$2101,4,FALSE),"0")</f>
        <v>0</v>
      </c>
      <c r="BD46" s="44">
        <f>IFERROR(VLOOKUP(BD48,'Monthly Line Picks'!$A$1:$D$2101,4,FALSE),"0")</f>
        <v>41</v>
      </c>
      <c r="BE46" s="44">
        <f>IFERROR(VLOOKUP(BE48,'Monthly Line Picks'!$A$1:$D$2101,4,FALSE),"0")</f>
        <v>4</v>
      </c>
      <c r="BF46" s="44">
        <f>IFERROR(VLOOKUP(BF48,'Monthly Line Picks'!$A$1:$D$2101,4,FALSE),"0")</f>
        <v>27</v>
      </c>
      <c r="BG46" s="44">
        <f>IFERROR(VLOOKUP(BG48,'Monthly Line Picks'!$A$1:$D$2101,4,FALSE),"0")</f>
        <v>6</v>
      </c>
      <c r="BH46" s="44" t="str">
        <f>IFERROR(VLOOKUP(BH48,'Monthly Line Picks'!$A$1:$D$2101,4,FALSE),"0")</f>
        <v>0</v>
      </c>
      <c r="BI46" s="44">
        <f>IFERROR(VLOOKUP(BI48,'Monthly Line Picks'!$A$1:$D$2101,4,FALSE),"0")</f>
        <v>35</v>
      </c>
      <c r="BJ46" s="44" t="str">
        <f>IFERROR(VLOOKUP(BJ48,'Monthly Line Picks'!$A$1:$D$2101,4,FALSE),"0")</f>
        <v>0</v>
      </c>
      <c r="BK46" s="44" t="str">
        <f>IFERROR(VLOOKUP(BK48,'Monthly Line Picks'!$A$1:$D$2101,4,FALSE),"0")</f>
        <v>0</v>
      </c>
      <c r="BL46" s="44">
        <f>IFERROR(VLOOKUP(BL48,'Monthly Line Picks'!$A$1:$D$2101,4,FALSE),"0")</f>
        <v>31</v>
      </c>
      <c r="BM46" s="46" t="s">
        <v>1085</v>
      </c>
      <c r="BN46" s="37">
        <f>IFERROR(VLOOKUP(BM46,'Module Items'!$A$1:$B$2587,2,FALSE),"")</f>
        <v>30695</v>
      </c>
      <c r="BO46" s="44">
        <f>IFERROR(VLOOKUP(BM46,'Monthly Line Picks'!$A$1:$D$2000,4,FALSE),"0")</f>
        <v>44</v>
      </c>
      <c r="BP46" s="47" t="s">
        <v>1086</v>
      </c>
      <c r="BQ46" s="37">
        <f>IFERROR(VLOOKUP(BP46,'Module Items'!$A$1:$B$2587,2,FALSE),"")</f>
        <v>126040</v>
      </c>
      <c r="BR46" s="44">
        <f>IFERROR(VLOOKUP(BP46,'Monthly Line Picks'!$A$1:$D$2000,4,FALSE),"0")</f>
        <v>26</v>
      </c>
      <c r="BS46" s="47" t="s">
        <v>1087</v>
      </c>
      <c r="BT46" s="37">
        <f>IFERROR(VLOOKUP(BS46,'Module Items'!$A$1:$B$2587,2,FALSE),"")</f>
        <v>33833</v>
      </c>
      <c r="BU46" s="44">
        <f>IFERROR(VLOOKUP(BS46,'Monthly Line Picks'!$A$1:$D$2000,4,FALSE),"0")</f>
        <v>4</v>
      </c>
      <c r="BV46" s="47" t="s">
        <v>1088</v>
      </c>
      <c r="BW46" s="37">
        <f>IFERROR(VLOOKUP(BV46,'Module Items'!$A$1:$B$2587,2,FALSE),"")</f>
        <v>1974</v>
      </c>
      <c r="BX46" s="44">
        <f>IFERROR(VLOOKUP(BV46,'Monthly Line Picks'!$A$1:$D$2000,4,FALSE),"0")</f>
        <v>20</v>
      </c>
      <c r="BY46" s="43" t="s">
        <v>1089</v>
      </c>
      <c r="BZ46" s="37">
        <f>IFERROR(VLOOKUP(BY46,'Module Items'!$A$1:$B$2587,2,FALSE),"")</f>
        <v>12645</v>
      </c>
      <c r="CA46" s="44">
        <f>IFERROR(VLOOKUP(BY46,'Monthly Line Picks'!$A$1:$D$2000,4,FALSE),"0")</f>
        <v>11</v>
      </c>
      <c r="CB46" s="48" t="s">
        <v>1090</v>
      </c>
      <c r="CC46" s="37">
        <f>IFERROR(VLOOKUP(CB46,'Module Items'!$A$1:$B$2587,2,FALSE),"")</f>
        <v>157092</v>
      </c>
      <c r="CD46" s="44">
        <f>IFERROR(VLOOKUP(CB46,'Monthly Line Picks'!$A$1:$D$2000,4,FALSE),"0")</f>
        <v>21</v>
      </c>
      <c r="CE46" s="44">
        <f>IFERROR(VLOOKUP(CE48,'Monthly Line Picks'!$A$1:$D$2101,4,FALSE),"0")</f>
        <v>467</v>
      </c>
      <c r="CF46" s="44">
        <f>IFERROR(VLOOKUP(CF48,'Monthly Line Picks'!$A$1:$D$2101,4,FALSE),"0")</f>
        <v>7</v>
      </c>
      <c r="CG46" s="44">
        <f>IFERROR(VLOOKUP(CG48,'Monthly Line Picks'!$A$1:$D$2101,4,FALSE),"0")</f>
        <v>3</v>
      </c>
      <c r="CH46" s="44">
        <f>IFERROR(VLOOKUP(CH48,'Monthly Line Picks'!$A$1:$D$2101,4,FALSE),"0")</f>
        <v>1011</v>
      </c>
      <c r="CI46" s="44" t="str">
        <f>IFERROR(VLOOKUP(CI48,'Monthly Line Picks'!$A$1:$D$2101,4,FALSE),"0")</f>
        <v>0</v>
      </c>
      <c r="CJ46" s="44" t="str">
        <f>IFERROR(VLOOKUP(CJ48,'Monthly Line Picks'!$A$1:$D$2101,4,FALSE),"0")</f>
        <v>0</v>
      </c>
      <c r="CK46" s="44">
        <f>IFERROR(VLOOKUP(CK48,'Monthly Line Picks'!$A$1:$D$2101,4,FALSE),"0")</f>
        <v>100</v>
      </c>
      <c r="CL46" s="44" t="str">
        <f>IFERROR(VLOOKUP(CL48,'Monthly Line Picks'!$A$1:$D$2101,4,FALSE),"0")</f>
        <v>0</v>
      </c>
      <c r="CM46" s="44">
        <f>IFERROR(VLOOKUP(CM48,'Monthly Line Picks'!$A$1:$D$2101,4,FALSE),"0")</f>
        <v>438</v>
      </c>
      <c r="CN46" s="44">
        <f>IFERROR(VLOOKUP(CN48,'Monthly Line Picks'!$A$1:$D$2101,4,FALSE),"0")</f>
        <v>485</v>
      </c>
      <c r="CO46" s="44" t="str">
        <f>IFERROR(VLOOKUP(CO48,'Monthly Line Picks'!$A$1:$D$2101,4,FALSE),"0")</f>
        <v>0</v>
      </c>
      <c r="CP46" s="44" t="str">
        <f>IFERROR(VLOOKUP(CP48,'Monthly Line Picks'!$A$1:$D$2101,4,FALSE),"0")</f>
        <v>0</v>
      </c>
      <c r="CQ46" s="44">
        <f>IFERROR(VLOOKUP(CQ48,'Monthly Line Picks'!$A$1:$D$2101,4,FALSE),"0")</f>
        <v>5</v>
      </c>
      <c r="CR46" s="44">
        <f>IFERROR(VLOOKUP(CR48,'Monthly Line Picks'!$A$1:$D$2101,4,FALSE),"0")</f>
        <v>13</v>
      </c>
      <c r="CS46" s="44">
        <f>IFERROR(VLOOKUP(CS48,'Monthly Line Picks'!$A$1:$D$2101,4,FALSE),"0")</f>
        <v>1</v>
      </c>
      <c r="CT46" s="44">
        <f>IFERROR(VLOOKUP(CT48,'Monthly Line Picks'!$A$1:$D$2101,4,FALSE),"0")</f>
        <v>2</v>
      </c>
      <c r="CU46" s="44">
        <f>IFERROR(VLOOKUP(CU48,'Monthly Line Picks'!$A$1:$D$2101,4,FALSE),"0")</f>
        <v>19</v>
      </c>
      <c r="CV46" s="44">
        <f>IFERROR(VLOOKUP(CV48,'Monthly Line Picks'!$A$1:$D$2101,4,FALSE),"0")</f>
        <v>9</v>
      </c>
      <c r="CW46" s="44">
        <f>IFERROR(VLOOKUP(CW48,'Monthly Line Picks'!$A$1:$D$2101,4,FALSE),"0")</f>
        <v>373</v>
      </c>
      <c r="CX46" s="44">
        <f>IFERROR(VLOOKUP(CX48,'Monthly Line Picks'!$A$1:$D$2101,4,FALSE),"0")</f>
        <v>27</v>
      </c>
      <c r="CY46" s="44">
        <f>IFERROR(VLOOKUP(CY48,'Monthly Line Picks'!$A$1:$D$2101,4,FALSE),"0")</f>
        <v>91</v>
      </c>
      <c r="CZ46" s="44">
        <f>IFERROR(VLOOKUP(CZ48,'Monthly Line Picks'!$A$1:$D$2101,4,FALSE),"0")</f>
        <v>20</v>
      </c>
      <c r="DA46" s="44">
        <f>IFERROR(VLOOKUP(DA48,'Monthly Line Picks'!$A$1:$D$2101,4,FALSE),"0")</f>
        <v>2</v>
      </c>
      <c r="DB46" s="44">
        <f>IFERROR(VLOOKUP(DB48,'Monthly Line Picks'!$A$1:$D$2101,4,FALSE),"0")</f>
        <v>1</v>
      </c>
      <c r="DC46" s="44">
        <f>IFERROR(VLOOKUP(DC48,'Monthly Line Picks'!$A$1:$D$2101,4,FALSE),"0")</f>
        <v>8</v>
      </c>
      <c r="DD46" s="44">
        <f>IFERROR(VLOOKUP(DD48,'Monthly Line Picks'!$A$1:$D$2101,4,FALSE),"0")</f>
        <v>21</v>
      </c>
      <c r="DE46" s="44">
        <f>IFERROR(VLOOKUP(DE48,'Monthly Line Picks'!$A$1:$D$2101,4,FALSE),"0")</f>
        <v>27</v>
      </c>
      <c r="DF46" s="44">
        <f>IFERROR(VLOOKUP(DF48,'Monthly Line Picks'!$A$1:$D$2101,4,FALSE),"0")</f>
        <v>63</v>
      </c>
      <c r="DG46" s="44">
        <f>IFERROR(VLOOKUP(DG48,'Monthly Line Picks'!$A$1:$D$2101,4,FALSE),"0")</f>
        <v>61</v>
      </c>
      <c r="DH46" s="44">
        <f>IFERROR(VLOOKUP(DH48,'Monthly Line Picks'!$A$1:$D$2101,4,FALSE),"0")</f>
        <v>33</v>
      </c>
      <c r="DI46" s="44">
        <f>IFERROR(VLOOKUP(DI48,'Monthly Line Picks'!$A$1:$D$2101,4,FALSE),"0")</f>
        <v>30</v>
      </c>
      <c r="DJ46" s="44">
        <f>IFERROR(VLOOKUP(DJ48,'Monthly Line Picks'!$A$1:$D$2101,4,FALSE),"0")</f>
        <v>44</v>
      </c>
      <c r="DK46" s="44">
        <f>IFERROR(VLOOKUP(DK48,'Monthly Line Picks'!$A$1:$D$2101,4,FALSE),"0")</f>
        <v>13</v>
      </c>
      <c r="DL46" s="44">
        <f>IFERROR(VLOOKUP(DL48,'Monthly Line Picks'!$A$1:$D$2101,4,FALSE),"0")</f>
        <v>348</v>
      </c>
      <c r="DM46" s="44">
        <f>IFERROR(VLOOKUP(DM48,'Monthly Line Picks'!$A$1:$D$2101,4,FALSE),"0")</f>
        <v>11</v>
      </c>
      <c r="DN46" s="44">
        <f>IFERROR(VLOOKUP(DN48,'Monthly Line Picks'!$A$1:$D$2101,4,FALSE),"0")</f>
        <v>25</v>
      </c>
      <c r="DO46" s="44">
        <f>IFERROR(VLOOKUP(DO48,'Monthly Line Picks'!$A$1:$D$2101,4,FALSE),"0")</f>
        <v>5</v>
      </c>
      <c r="DP46" s="44">
        <f>IFERROR(VLOOKUP(DP48,'Monthly Line Picks'!$A$1:$D$2101,4,FALSE),"0")</f>
        <v>5</v>
      </c>
      <c r="DQ46" s="44">
        <f>IFERROR(VLOOKUP(DQ48,'Monthly Line Picks'!$A$1:$D$2101,4,FALSE),"0")</f>
        <v>8</v>
      </c>
      <c r="DR46" s="44" t="str">
        <f>IFERROR(VLOOKUP(DR48,'Monthly Line Picks'!$A$1:$D$2101,4,FALSE),"0")</f>
        <v>0</v>
      </c>
      <c r="DS46" s="44" t="str">
        <f>IFERROR(VLOOKUP(DS48,'Monthly Line Picks'!$A$1:$D$2101,4,FALSE),"0")</f>
        <v>0</v>
      </c>
      <c r="DT46" s="44">
        <f>IFERROR(VLOOKUP(DT48,'Monthly Line Picks'!$A$1:$D$2101,4,FALSE),"0")</f>
        <v>5</v>
      </c>
      <c r="DU46" s="196"/>
      <c r="DV46" s="196"/>
      <c r="DW46" s="195"/>
      <c r="DX46" s="241"/>
    </row>
    <row r="47" spans="7:128" ht="15.95" thickBot="1">
      <c r="G47" s="202"/>
      <c r="H47" s="196"/>
      <c r="I47" s="195"/>
      <c r="J47" s="196"/>
      <c r="K47" s="56" t="s">
        <v>1091</v>
      </c>
      <c r="L47" s="37">
        <f>IFERROR(VLOOKUP(K47,'Module Items'!$A$1:$B$2587,2,FALSE),"")</f>
        <v>158001</v>
      </c>
      <c r="M47" s="44" t="str">
        <f>IFERROR(VLOOKUP(K47,'Monthly Line Picks'!$A$1:$D$2000,4,FALSE),"0")</f>
        <v>0</v>
      </c>
      <c r="N47" s="47" t="s">
        <v>1092</v>
      </c>
      <c r="O47" s="37">
        <f>IFERROR(VLOOKUP(N47,'Module Items'!$A$1:$B$2587,2,FALSE),"")</f>
        <v>82527</v>
      </c>
      <c r="P47" s="44">
        <f>IFERROR(VLOOKUP(N47,'Monthly Line Picks'!$A$1:$D$2000,4,FALSE),"0")</f>
        <v>9</v>
      </c>
      <c r="Q47" s="47" t="s">
        <v>1093</v>
      </c>
      <c r="R47" s="37">
        <f>IFERROR(VLOOKUP(Q47,'Module Items'!$A$1:$B$2587,2,FALSE),"")</f>
        <v>116946</v>
      </c>
      <c r="S47" s="44">
        <f>IFERROR(VLOOKUP(Q47,'Monthly Line Picks'!$A$1:$D$2000,4,FALSE),"0")</f>
        <v>2</v>
      </c>
      <c r="T47" s="47" t="s">
        <v>1094</v>
      </c>
      <c r="U47" s="37">
        <f>IFERROR(VLOOKUP(T47,'Module Items'!$A$1:$B$2587,2,FALSE),"")</f>
        <v>2693</v>
      </c>
      <c r="V47" s="44">
        <f>IFERROR(VLOOKUP(T47,'Monthly Line Picks'!$A$1:$D$2000,4,FALSE),"0")</f>
        <v>14</v>
      </c>
      <c r="W47" s="47" t="s">
        <v>1095</v>
      </c>
      <c r="X47" s="37">
        <f>IFERROR(VLOOKUP(W47,'Module Items'!$A$1:$B$2587,2,FALSE),"")</f>
        <v>85779</v>
      </c>
      <c r="Y47" s="44" t="str">
        <f>IFERROR(VLOOKUP(W47,'Monthly Line Picks'!$A$1:$D$2000,4,FALSE),"0")</f>
        <v>0</v>
      </c>
      <c r="Z47" s="57" t="s">
        <v>1096</v>
      </c>
      <c r="AA47" s="37">
        <f>IFERROR(VLOOKUP(Z47,'Module Items'!$A$1:$B$2587,2,FALSE),"")</f>
        <v>117154</v>
      </c>
      <c r="AB47" s="44">
        <f>IFERROR(VLOOKUP(Z47,'Monthly Line Picks'!$A$1:$D$2000,4,FALSE),"0")</f>
        <v>9</v>
      </c>
      <c r="AC47" s="39" t="str">
        <f>IFERROR(VLOOKUP(AC48,'Module Items'!$A$1:$B$2587,2,FALSE),"")</f>
        <v/>
      </c>
      <c r="AD47" s="39" t="str">
        <f>IFERROR(VLOOKUP(AD48,'Module Items'!$A$1:$B$2587,2,FALSE),"")</f>
        <v/>
      </c>
      <c r="AE47" s="39" t="str">
        <f>IFERROR(VLOOKUP(AE48,'Module Items'!$A$1:$B$2587,2,FALSE),"")</f>
        <v/>
      </c>
      <c r="AF47" s="39">
        <f>IFERROR(VLOOKUP(AF48,'Module Items'!$A$1:$B$2587,2,FALSE),"")</f>
        <v>112550</v>
      </c>
      <c r="AG47" s="39" t="str">
        <f>IFERROR(VLOOKUP(AG48,'Module Items'!$A$1:$B$2587,2,FALSE),"")</f>
        <v/>
      </c>
      <c r="AH47" s="39">
        <f>IFERROR(VLOOKUP(AH48,'Module Items'!$A$1:$B$2587,2,FALSE),"")</f>
        <v>130175</v>
      </c>
      <c r="AI47" s="39" t="str">
        <f>IFERROR(VLOOKUP(AI48,'Module Items'!$A$1:$B$2587,2,FALSE),"")</f>
        <v/>
      </c>
      <c r="AJ47" s="39" t="str">
        <f>IFERROR(VLOOKUP(AJ48,'Module Items'!$A$1:$B$2587,2,FALSE),"")</f>
        <v/>
      </c>
      <c r="AK47" s="39">
        <f>IFERROR(VLOOKUP(AK48,'Module Items'!$A$1:$B$2587,2,FALSE),"")</f>
        <v>129167</v>
      </c>
      <c r="AL47" s="39">
        <f>IFERROR(VLOOKUP(AL48,'Module Items'!$A$1:$B$2587,2,FALSE),"")</f>
        <v>124944</v>
      </c>
      <c r="AM47" s="39" t="str">
        <f>IFERROR(VLOOKUP(AM48,'Module Items'!$A$1:$B$2587,2,FALSE),"")</f>
        <v/>
      </c>
      <c r="AN47" s="39" t="str">
        <f>IFERROR(VLOOKUP(AN48,'Module Items'!$A$1:$B$2587,2,FALSE),"")</f>
        <v/>
      </c>
      <c r="AO47" s="39">
        <f>IFERROR(VLOOKUP(AO48,'Module Items'!$A$1:$B$2587,2,FALSE),"")</f>
        <v>138553</v>
      </c>
      <c r="AP47" s="39">
        <f>IFERROR(VLOOKUP(AP48,'Module Items'!$A$1:$B$2587,2,FALSE),"")</f>
        <v>156650</v>
      </c>
      <c r="AQ47" s="39" t="str">
        <f>IFERROR(VLOOKUP(AQ48,'Module Items'!$A$1:$B$2587,2,FALSE),"")</f>
        <v/>
      </c>
      <c r="AR47" s="39">
        <f>IFERROR(VLOOKUP(AR48,'Module Items'!$A$1:$B$2587,2,FALSE),"")</f>
        <v>1001</v>
      </c>
      <c r="AS47" s="39">
        <f>IFERROR(VLOOKUP(AS48,'Module Items'!$A$1:$B$2587,2,FALSE),"")</f>
        <v>42040</v>
      </c>
      <c r="AT47" s="39">
        <f>IFERROR(VLOOKUP(AT48,'Module Items'!$A$1:$B$2587,2,FALSE),"")</f>
        <v>114044</v>
      </c>
      <c r="AU47" s="39">
        <f>IFERROR(VLOOKUP(AU48,'Module Items'!$A$1:$B$2587,2,FALSE),"")</f>
        <v>108956</v>
      </c>
      <c r="AV47" s="39">
        <f>IFERROR(VLOOKUP(AV48,'Module Items'!$A$1:$B$2587,2,FALSE),"")</f>
        <v>108956</v>
      </c>
      <c r="AW47" s="39" t="str">
        <f>IFERROR(VLOOKUP(AW48,'Module Items'!$A$1:$B$2587,2,FALSE),"")</f>
        <v/>
      </c>
      <c r="AX47" s="39">
        <f>IFERROR(VLOOKUP(AX48,'Module Items'!$A$1:$B$2587,2,FALSE),"")</f>
        <v>10958</v>
      </c>
      <c r="AY47" s="39">
        <f>IFERROR(VLOOKUP(AY48,'Module Items'!$A$1:$B$2587,2,FALSE),"")</f>
        <v>124755</v>
      </c>
      <c r="AZ47" s="39">
        <f>IFERROR(VLOOKUP(AZ48,'Module Items'!$A$1:$B$2587,2,FALSE),"")</f>
        <v>132593</v>
      </c>
      <c r="BA47" s="39">
        <f>IFERROR(VLOOKUP(BA48,'Module Items'!$A$1:$B$2587,2,FALSE),"")</f>
        <v>157662</v>
      </c>
      <c r="BB47" s="39">
        <f>IFERROR(VLOOKUP(BB48,'Module Items'!$A$1:$B$2587,2,FALSE),"")</f>
        <v>130171</v>
      </c>
      <c r="BC47" s="39">
        <f>IFERROR(VLOOKUP(BC48,'Module Items'!$A$1:$B$2587,2,FALSE),"")</f>
        <v>116621</v>
      </c>
      <c r="BD47" s="39">
        <f>IFERROR(VLOOKUP(BD48,'Module Items'!$A$1:$B$2587,2,FALSE),"")</f>
        <v>118325</v>
      </c>
      <c r="BE47" s="39">
        <f>IFERROR(VLOOKUP(BE48,'Module Items'!$A$1:$B$2587,2,FALSE),"")</f>
        <v>37764</v>
      </c>
      <c r="BF47" s="39">
        <f>IFERROR(VLOOKUP(BF48,'Module Items'!$A$1:$B$2587,2,FALSE),"")</f>
        <v>31746</v>
      </c>
      <c r="BG47" s="39">
        <f>IFERROR(VLOOKUP(BG48,'Module Items'!$A$1:$B$2587,2,FALSE),"")</f>
        <v>137553</v>
      </c>
      <c r="BH47" s="39">
        <f>IFERROR(VLOOKUP(BH48,'Module Items'!$A$1:$B$2587,2,FALSE),"")</f>
        <v>110259</v>
      </c>
      <c r="BI47" s="39">
        <f>IFERROR(VLOOKUP(BI48,'Module Items'!$A$1:$B$2587,2,FALSE),"")</f>
        <v>155722</v>
      </c>
      <c r="BJ47" s="39" t="str">
        <f>IFERROR(VLOOKUP(BJ48,'Module Items'!$A$1:$B$2587,2,FALSE),"")</f>
        <v/>
      </c>
      <c r="BK47" s="39" t="str">
        <f>IFERROR(VLOOKUP(BK48,'Module Items'!$A$1:$B$2587,2,FALSE),"")</f>
        <v/>
      </c>
      <c r="BL47" s="39">
        <f>IFERROR(VLOOKUP(BL48,'Module Items'!$A$1:$B$2587,2,FALSE),"")</f>
        <v>97476</v>
      </c>
      <c r="BM47" s="46" t="s">
        <v>1097</v>
      </c>
      <c r="BN47" s="37">
        <f>IFERROR(VLOOKUP(BM47,'Module Items'!$A$1:$B$2587,2,FALSE),"")</f>
        <v>1723</v>
      </c>
      <c r="BO47" s="44" t="str">
        <f>IFERROR(VLOOKUP(BM47,'Monthly Line Picks'!$A$1:$D$2000,4,FALSE),"0")</f>
        <v>0</v>
      </c>
      <c r="BP47" s="47" t="s">
        <v>1098</v>
      </c>
      <c r="BQ47" s="37">
        <f>IFERROR(VLOOKUP(BP47,'Module Items'!$A$1:$B$2587,2,FALSE),"")</f>
        <v>96316</v>
      </c>
      <c r="BR47" s="44">
        <f>IFERROR(VLOOKUP(BP47,'Monthly Line Picks'!$A$1:$D$2000,4,FALSE),"0")</f>
        <v>2</v>
      </c>
      <c r="BS47" s="47" t="s">
        <v>1099</v>
      </c>
      <c r="BT47" s="37">
        <f>IFERROR(VLOOKUP(BS47,'Module Items'!$A$1:$B$2587,2,FALSE),"")</f>
        <v>83919</v>
      </c>
      <c r="BU47" s="44">
        <f>IFERROR(VLOOKUP(BS47,'Monthly Line Picks'!$A$1:$D$2000,4,FALSE),"0")</f>
        <v>4</v>
      </c>
      <c r="BV47" s="47" t="s">
        <v>1100</v>
      </c>
      <c r="BW47" s="37">
        <f>IFERROR(VLOOKUP(BV47,'Module Items'!$A$1:$B$2587,2,FALSE),"")</f>
        <v>18603</v>
      </c>
      <c r="BX47" s="44">
        <f>IFERROR(VLOOKUP(BV47,'Monthly Line Picks'!$A$1:$D$2000,4,FALSE),"0")</f>
        <v>9</v>
      </c>
      <c r="BY47" s="43" t="s">
        <v>1101</v>
      </c>
      <c r="BZ47" s="37">
        <f>IFERROR(VLOOKUP(BY47,'Module Items'!$A$1:$B$2587,2,FALSE),"")</f>
        <v>13576</v>
      </c>
      <c r="CA47" s="44">
        <f>IFERROR(VLOOKUP(BY47,'Monthly Line Picks'!$A$1:$D$2000,4,FALSE),"0")</f>
        <v>2</v>
      </c>
      <c r="CB47" s="48" t="s">
        <v>1102</v>
      </c>
      <c r="CC47" s="37">
        <f>IFERROR(VLOOKUP(CB47,'Module Items'!$A$1:$B$2587,2,FALSE),"")</f>
        <v>93323</v>
      </c>
      <c r="CD47" s="44" t="str">
        <f>IFERROR(VLOOKUP(CB47,'Monthly Line Picks'!$A$1:$D$2000,4,FALSE),"0")</f>
        <v>0</v>
      </c>
      <c r="CE47" s="39">
        <f>IFERROR(VLOOKUP(CE48,'Module Items'!$A$1:$B$2587,2,FALSE),"")</f>
        <v>135743</v>
      </c>
      <c r="CF47" s="39" t="str">
        <f>IFERROR(VLOOKUP(CF48,'Module Items'!$A$1:$B$2587,2,FALSE),"")</f>
        <v>OPEN</v>
      </c>
      <c r="CG47" s="39" t="str">
        <f>IFERROR(VLOOKUP(CG48,'Module Items'!$A$1:$B$2587,2,FALSE),"")</f>
        <v>OPEN</v>
      </c>
      <c r="CH47" s="39">
        <f>IFERROR(VLOOKUP(CH48,'Module Items'!$A$1:$B$2587,2,FALSE),"")</f>
        <v>35148</v>
      </c>
      <c r="CI47" s="39" t="str">
        <f>IFERROR(VLOOKUP(CI48,'Module Items'!$A$1:$B$2587,2,FALSE),"")</f>
        <v/>
      </c>
      <c r="CJ47" s="39" t="str">
        <f>IFERROR(VLOOKUP(CJ48,'Module Items'!$A$1:$B$2587,2,FALSE),"")</f>
        <v/>
      </c>
      <c r="CK47" s="39">
        <f>IFERROR(VLOOKUP(CK48,'Module Items'!$A$1:$B$2587,2,FALSE),"")</f>
        <v>35286</v>
      </c>
      <c r="CL47" s="39" t="str">
        <f>IFERROR(VLOOKUP(CL48,'Module Items'!$A$1:$B$2587,2,FALSE),"")</f>
        <v>OPEN</v>
      </c>
      <c r="CM47" s="39">
        <f>IFERROR(VLOOKUP(CM48,'Module Items'!$A$1:$B$2587,2,FALSE),"")</f>
        <v>100107</v>
      </c>
      <c r="CN47" s="39">
        <f>IFERROR(VLOOKUP(CN48,'Module Items'!$A$1:$B$2587,2,FALSE),"")</f>
        <v>110451</v>
      </c>
      <c r="CO47" s="39" t="str">
        <f>IFERROR(VLOOKUP(CO48,'Module Items'!$A$1:$B$2587,2,FALSE),"")</f>
        <v/>
      </c>
      <c r="CP47" s="39" t="str">
        <f>IFERROR(VLOOKUP(CP48,'Module Items'!$A$1:$B$2587,2,FALSE),"")</f>
        <v/>
      </c>
      <c r="CQ47" s="39">
        <f>IFERROR(VLOOKUP(CQ48,'Module Items'!$A$1:$B$2587,2,FALSE),"")</f>
        <v>33279</v>
      </c>
      <c r="CR47" s="39">
        <f>IFERROR(VLOOKUP(CR48,'Module Items'!$A$1:$B$2587,2,FALSE),"")</f>
        <v>129688</v>
      </c>
      <c r="CS47" s="39">
        <f>IFERROR(VLOOKUP(CS48,'Module Items'!$A$1:$B$2587,2,FALSE),"")</f>
        <v>138808</v>
      </c>
      <c r="CT47" s="39">
        <f>IFERROR(VLOOKUP(CT48,'Module Items'!$A$1:$B$2587,2,FALSE),"")</f>
        <v>156150</v>
      </c>
      <c r="CU47" s="39">
        <f>IFERROR(VLOOKUP(CU48,'Module Items'!$A$1:$B$2587,2,FALSE),"")</f>
        <v>136871</v>
      </c>
      <c r="CV47" s="39">
        <f>IFERROR(VLOOKUP(CV48,'Module Items'!$A$1:$B$2587,2,FALSE),"")</f>
        <v>96863</v>
      </c>
      <c r="CW47" s="39">
        <f>IFERROR(VLOOKUP(CW48,'Module Items'!$A$1:$B$2587,2,FALSE),"")</f>
        <v>12747</v>
      </c>
      <c r="CX47" s="39">
        <f>IFERROR(VLOOKUP(CX48,'Module Items'!$A$1:$B$2587,2,FALSE),"")</f>
        <v>177699</v>
      </c>
      <c r="CY47" s="39">
        <f>IFERROR(VLOOKUP(CY48,'Module Items'!$A$1:$B$2587,2,FALSE),"")</f>
        <v>5284</v>
      </c>
      <c r="CZ47" s="39">
        <f>IFERROR(VLOOKUP(CZ48,'Module Items'!$A$1:$B$2587,2,FALSE),"")</f>
        <v>177772</v>
      </c>
      <c r="DA47" s="39">
        <f>IFERROR(VLOOKUP(DA48,'Module Items'!$A$1:$B$2587,2,FALSE),"")</f>
        <v>83177</v>
      </c>
      <c r="DB47" s="39">
        <f>IFERROR(VLOOKUP(DB48,'Module Items'!$A$1:$B$2587,2,FALSE),"")</f>
        <v>37765</v>
      </c>
      <c r="DC47" s="39">
        <f>IFERROR(VLOOKUP(DC48,'Module Items'!$A$1:$B$2587,2,FALSE),"")</f>
        <v>132827</v>
      </c>
      <c r="DD47" s="39">
        <f>IFERROR(VLOOKUP(DD48,'Module Items'!$A$1:$B$2587,2,FALSE),"")</f>
        <v>126060</v>
      </c>
      <c r="DE47" s="39">
        <f>IFERROR(VLOOKUP(DE48,'Module Items'!$A$1:$B$2587,2,FALSE),"")</f>
        <v>35317</v>
      </c>
      <c r="DF47" s="39">
        <f>IFERROR(VLOOKUP(DF48,'Module Items'!$A$1:$B$2587,2,FALSE),"")</f>
        <v>157090</v>
      </c>
      <c r="DG47" s="39">
        <f>IFERROR(VLOOKUP(DG48,'Module Items'!$A$1:$B$2587,2,FALSE),"")</f>
        <v>129754</v>
      </c>
      <c r="DH47" s="39">
        <f>IFERROR(VLOOKUP(DH48,'Module Items'!$A$1:$B$2587,2,FALSE),"")</f>
        <v>466</v>
      </c>
      <c r="DI47" s="39">
        <f>IFERROR(VLOOKUP(DI48,'Module Items'!$A$1:$B$2587,2,FALSE),"")</f>
        <v>35395</v>
      </c>
      <c r="DJ47" s="39">
        <f>IFERROR(VLOOKUP(DJ48,'Module Items'!$A$1:$B$2587,2,FALSE),"")</f>
        <v>142654</v>
      </c>
      <c r="DK47" s="39">
        <f>IFERROR(VLOOKUP(DK48,'Module Items'!$A$1:$B$2587,2,FALSE),"")</f>
        <v>129747</v>
      </c>
      <c r="DL47" s="39">
        <f>IFERROR(VLOOKUP(DL48,'Module Items'!$A$1:$B$2587,2,FALSE),"")</f>
        <v>114795</v>
      </c>
      <c r="DM47" s="39">
        <f>IFERROR(VLOOKUP(DM48,'Module Items'!$A$1:$B$2587,2,FALSE),"")</f>
        <v>129855</v>
      </c>
      <c r="DN47" s="39" t="str">
        <f>IFERROR(VLOOKUP(DN48,'Module Items'!$A$1:$B$2587,2,FALSE),"")</f>
        <v>OPEN</v>
      </c>
      <c r="DO47" s="39" t="str">
        <f>IFERROR(VLOOKUP(DO48,'Module Items'!$A$1:$B$2587,2,FALSE),"")</f>
        <v>OPEN</v>
      </c>
      <c r="DP47" s="39" t="str">
        <f>IFERROR(VLOOKUP(DP48,'Module Items'!$A$1:$B$2587,2,FALSE),"")</f>
        <v>OPEN</v>
      </c>
      <c r="DQ47" s="39" t="str">
        <f>IFERROR(VLOOKUP(DQ48,'Module Items'!$A$1:$B$2587,2,FALSE),"")</f>
        <v>OPEN</v>
      </c>
      <c r="DR47" s="39" t="str">
        <f>IFERROR(VLOOKUP(DR48,'Module Items'!$A$1:$B$2587,2,FALSE),"")</f>
        <v>OPEN</v>
      </c>
      <c r="DS47" s="39" t="str">
        <f>IFERROR(VLOOKUP(DS48,'Module Items'!$A$1:$B$2587,2,FALSE),"")</f>
        <v/>
      </c>
      <c r="DT47" s="39" t="str">
        <f>IFERROR(VLOOKUP(DT48,'Module Items'!$A$1:$B$2587,2,FALSE),"")</f>
        <v>OPEN</v>
      </c>
      <c r="DU47" s="196"/>
      <c r="DV47" s="196"/>
      <c r="DW47" s="195"/>
      <c r="DX47" s="241"/>
    </row>
    <row r="48" spans="7:128" ht="15.95" thickBot="1">
      <c r="G48" s="198"/>
      <c r="H48" s="199"/>
      <c r="I48" s="199"/>
      <c r="J48" s="199"/>
      <c r="K48" s="56" t="s">
        <v>1103</v>
      </c>
      <c r="L48" s="37">
        <f>IFERROR(VLOOKUP(K48,'Module Items'!$A$1:$B$2587,2,FALSE),"")</f>
        <v>91366</v>
      </c>
      <c r="M48" s="44">
        <f>IFERROR(VLOOKUP(K48,'Monthly Line Picks'!$A$1:$D$2000,4,FALSE),"0")</f>
        <v>4</v>
      </c>
      <c r="N48" s="47" t="s">
        <v>1104</v>
      </c>
      <c r="O48" s="37">
        <f>IFERROR(VLOOKUP(N48,'Module Items'!$A$1:$B$2587,2,FALSE),"")</f>
        <v>142314</v>
      </c>
      <c r="P48" s="44" t="str">
        <f>IFERROR(VLOOKUP(N48,'Monthly Line Picks'!$A$1:$D$2000,4,FALSE),"0")</f>
        <v>0</v>
      </c>
      <c r="Q48" s="47" t="s">
        <v>1105</v>
      </c>
      <c r="R48" s="37">
        <f>IFERROR(VLOOKUP(Q48,'Module Items'!$A$1:$B$2587,2,FALSE),"")</f>
        <v>35402</v>
      </c>
      <c r="S48" s="44">
        <f>IFERROR(VLOOKUP(Q48,'Monthly Line Picks'!$A$1:$D$2000,4,FALSE),"0")</f>
        <v>19</v>
      </c>
      <c r="T48" s="47" t="s">
        <v>1106</v>
      </c>
      <c r="U48" s="37">
        <f>IFERROR(VLOOKUP(T48,'Module Items'!$A$1:$B$2587,2,FALSE),"")</f>
        <v>144225</v>
      </c>
      <c r="V48" s="44">
        <f>IFERROR(VLOOKUP(T48,'Monthly Line Picks'!$A$1:$D$2000,4,FALSE),"0")</f>
        <v>30</v>
      </c>
      <c r="W48" s="47" t="s">
        <v>1107</v>
      </c>
      <c r="X48" s="37">
        <f>IFERROR(VLOOKUP(W48,'Module Items'!$A$1:$B$2587,2,FALSE),"")</f>
        <v>101247</v>
      </c>
      <c r="Y48" s="44">
        <f>IFERROR(VLOOKUP(W48,'Monthly Line Picks'!$A$1:$D$2000,4,FALSE),"0")</f>
        <v>3</v>
      </c>
      <c r="Z48" s="57" t="s">
        <v>1108</v>
      </c>
      <c r="AA48" s="37">
        <f>IFERROR(VLOOKUP(Z48,'Module Items'!$A$1:$B$2587,2,FALSE),"")</f>
        <v>79448</v>
      </c>
      <c r="AB48" s="44">
        <f>IFERROR(VLOOKUP(Z48,'Monthly Line Picks'!$A$1:$D$2000,4,FALSE),"0")</f>
        <v>3</v>
      </c>
      <c r="AC48" s="10" t="s">
        <v>1109</v>
      </c>
      <c r="AD48" s="13" t="s">
        <v>1110</v>
      </c>
      <c r="AE48" s="13" t="s">
        <v>1111</v>
      </c>
      <c r="AF48" s="41" t="s">
        <v>1112</v>
      </c>
      <c r="AG48" s="13" t="s">
        <v>1113</v>
      </c>
      <c r="AH48" s="11" t="s">
        <v>1114</v>
      </c>
      <c r="AI48" s="39" t="s">
        <v>1115</v>
      </c>
      <c r="AJ48" s="7" t="s">
        <v>1116</v>
      </c>
      <c r="AK48" s="7" t="s">
        <v>1117</v>
      </c>
      <c r="AL48" s="7" t="s">
        <v>1118</v>
      </c>
      <c r="AM48" s="7" t="s">
        <v>1119</v>
      </c>
      <c r="AN48" s="28" t="s">
        <v>1120</v>
      </c>
      <c r="AO48" s="39" t="s">
        <v>1121</v>
      </c>
      <c r="AP48" s="7" t="s">
        <v>1122</v>
      </c>
      <c r="AQ48" s="7" t="s">
        <v>1123</v>
      </c>
      <c r="AR48" s="7" t="s">
        <v>1124</v>
      </c>
      <c r="AS48" s="7" t="s">
        <v>1125</v>
      </c>
      <c r="AT48" s="28" t="s">
        <v>1126</v>
      </c>
      <c r="AU48" s="9" t="s">
        <v>1127</v>
      </c>
      <c r="AV48" s="7" t="s">
        <v>1128</v>
      </c>
      <c r="AW48" s="7" t="s">
        <v>1129</v>
      </c>
      <c r="AX48" s="7" t="s">
        <v>1130</v>
      </c>
      <c r="AY48" s="7" t="s">
        <v>1131</v>
      </c>
      <c r="AZ48" s="28" t="s">
        <v>1132</v>
      </c>
      <c r="BA48" s="39" t="s">
        <v>1133</v>
      </c>
      <c r="BB48" s="7" t="s">
        <v>1134</v>
      </c>
      <c r="BC48" s="7" t="s">
        <v>1135</v>
      </c>
      <c r="BD48" s="7" t="s">
        <v>1136</v>
      </c>
      <c r="BE48" s="7" t="s">
        <v>1137</v>
      </c>
      <c r="BF48" s="28" t="s">
        <v>1138</v>
      </c>
      <c r="BG48" s="39" t="s">
        <v>1139</v>
      </c>
      <c r="BH48" s="7" t="s">
        <v>1140</v>
      </c>
      <c r="BI48" s="7" t="s">
        <v>1141</v>
      </c>
      <c r="BJ48" s="7" t="s">
        <v>1142</v>
      </c>
      <c r="BK48" s="7" t="s">
        <v>1143</v>
      </c>
      <c r="BL48" s="28" t="s">
        <v>1144</v>
      </c>
      <c r="BM48" s="46" t="s">
        <v>1145</v>
      </c>
      <c r="BN48" s="37">
        <f>IFERROR(VLOOKUP(BM48,'Module Items'!$A$1:$B$2587,2,FALSE),"")</f>
        <v>35297</v>
      </c>
      <c r="BO48" s="44">
        <f>IFERROR(VLOOKUP(BM48,'Monthly Line Picks'!$A$1:$D$2000,4,FALSE),"0")</f>
        <v>16</v>
      </c>
      <c r="BP48" s="47" t="s">
        <v>1146</v>
      </c>
      <c r="BQ48" s="37">
        <f>IFERROR(VLOOKUP(BP48,'Module Items'!$A$1:$B$2587,2,FALSE),"")</f>
        <v>106382</v>
      </c>
      <c r="BR48" s="44" t="str">
        <f>IFERROR(VLOOKUP(BP48,'Monthly Line Picks'!$A$1:$D$2000,4,FALSE),"0")</f>
        <v>0</v>
      </c>
      <c r="BS48" s="47" t="s">
        <v>1147</v>
      </c>
      <c r="BT48" s="37">
        <f>IFERROR(VLOOKUP(BS48,'Module Items'!$A$1:$B$2587,2,FALSE),"")</f>
        <v>118836</v>
      </c>
      <c r="BU48" s="44">
        <f>IFERROR(VLOOKUP(BS48,'Monthly Line Picks'!$A$1:$D$2000,4,FALSE),"0")</f>
        <v>8</v>
      </c>
      <c r="BV48" s="47" t="s">
        <v>1148</v>
      </c>
      <c r="BW48" s="37">
        <f>IFERROR(VLOOKUP(BV48,'Module Items'!$A$1:$B$2587,2,FALSE),"")</f>
        <v>9438</v>
      </c>
      <c r="BX48" s="44">
        <f>IFERROR(VLOOKUP(BV48,'Monthly Line Picks'!$A$1:$D$2000,4,FALSE),"0")</f>
        <v>14</v>
      </c>
      <c r="BY48" s="43" t="s">
        <v>1149</v>
      </c>
      <c r="BZ48" s="37">
        <f>IFERROR(VLOOKUP(BY48,'Module Items'!$A$1:$B$2587,2,FALSE),"")</f>
        <v>9437</v>
      </c>
      <c r="CA48" s="44">
        <f>IFERROR(VLOOKUP(BY48,'Monthly Line Picks'!$A$1:$D$2000,4,FALSE),"0")</f>
        <v>7</v>
      </c>
      <c r="CB48" s="48" t="s">
        <v>1150</v>
      </c>
      <c r="CC48" s="37">
        <f>IFERROR(VLOOKUP(CB48,'Module Items'!$A$1:$B$2587,2,FALSE),"")</f>
        <v>37918</v>
      </c>
      <c r="CD48" s="44">
        <f>IFERROR(VLOOKUP(CB48,'Monthly Line Picks'!$A$1:$D$2000,4,FALSE),"0")</f>
        <v>7</v>
      </c>
      <c r="CE48" s="9" t="s">
        <v>1151</v>
      </c>
      <c r="CF48" s="7" t="s">
        <v>1152</v>
      </c>
      <c r="CG48" s="7" t="s">
        <v>1153</v>
      </c>
      <c r="CH48" s="7" t="s">
        <v>1154</v>
      </c>
      <c r="CI48" s="7" t="s">
        <v>1155</v>
      </c>
      <c r="CJ48" s="14" t="s">
        <v>1156</v>
      </c>
      <c r="CK48" s="39" t="s">
        <v>1157</v>
      </c>
      <c r="CL48" s="9" t="s">
        <v>1158</v>
      </c>
      <c r="CM48" s="9" t="s">
        <v>1159</v>
      </c>
      <c r="CN48" s="7" t="s">
        <v>1160</v>
      </c>
      <c r="CO48" s="7" t="s">
        <v>1161</v>
      </c>
      <c r="CP48" s="28" t="s">
        <v>1162</v>
      </c>
      <c r="CQ48" s="37" t="s">
        <v>1163</v>
      </c>
      <c r="CR48" s="7" t="s">
        <v>1164</v>
      </c>
      <c r="CS48" s="28" t="s">
        <v>1165</v>
      </c>
      <c r="CT48" s="7" t="s">
        <v>1166</v>
      </c>
      <c r="CU48" s="7" t="s">
        <v>1167</v>
      </c>
      <c r="CV48" s="28" t="s">
        <v>1168</v>
      </c>
      <c r="CW48" s="39" t="s">
        <v>1169</v>
      </c>
      <c r="CX48" s="7" t="s">
        <v>1170</v>
      </c>
      <c r="CY48" s="7" t="s">
        <v>1171</v>
      </c>
      <c r="CZ48" s="7" t="s">
        <v>1172</v>
      </c>
      <c r="DA48" s="7" t="s">
        <v>1173</v>
      </c>
      <c r="DB48" s="28" t="s">
        <v>1174</v>
      </c>
      <c r="DC48" s="39" t="s">
        <v>1175</v>
      </c>
      <c r="DD48" s="7" t="s">
        <v>1176</v>
      </c>
      <c r="DE48" s="7" t="s">
        <v>1177</v>
      </c>
      <c r="DF48" s="7" t="s">
        <v>1178</v>
      </c>
      <c r="DG48" s="7" t="s">
        <v>1179</v>
      </c>
      <c r="DH48" s="28" t="s">
        <v>1180</v>
      </c>
      <c r="DI48" s="39" t="s">
        <v>1181</v>
      </c>
      <c r="DJ48" s="7" t="s">
        <v>1182</v>
      </c>
      <c r="DK48" s="7" t="s">
        <v>1183</v>
      </c>
      <c r="DL48" s="7" t="s">
        <v>1184</v>
      </c>
      <c r="DM48" s="7" t="s">
        <v>1185</v>
      </c>
      <c r="DN48" s="28" t="s">
        <v>1186</v>
      </c>
      <c r="DO48" s="39" t="s">
        <v>1187</v>
      </c>
      <c r="DP48" s="7" t="s">
        <v>1188</v>
      </c>
      <c r="DQ48" s="7" t="s">
        <v>1189</v>
      </c>
      <c r="DR48" s="7" t="s">
        <v>1190</v>
      </c>
      <c r="DS48" s="7" t="s">
        <v>1191</v>
      </c>
      <c r="DT48" s="28" t="s">
        <v>1192</v>
      </c>
      <c r="DU48" s="199"/>
      <c r="DV48" s="199"/>
      <c r="DW48" s="199"/>
      <c r="DX48" s="239"/>
    </row>
    <row r="49" spans="7:128" ht="15.95" thickBot="1">
      <c r="G49" s="198"/>
      <c r="H49" s="199"/>
      <c r="I49" s="199"/>
      <c r="J49" s="199"/>
      <c r="K49" s="56" t="s">
        <v>1193</v>
      </c>
      <c r="L49" s="37">
        <f>IFERROR(VLOOKUP(K49,'Module Items'!$A$1:$B$2587,2,FALSE),"")</f>
        <v>112384</v>
      </c>
      <c r="M49" s="44">
        <f>IFERROR(VLOOKUP(K49,'Monthly Line Picks'!$A$1:$D$2000,4,FALSE),"0")</f>
        <v>2</v>
      </c>
      <c r="N49" s="47" t="s">
        <v>1194</v>
      </c>
      <c r="O49" s="37">
        <f>IFERROR(VLOOKUP(N49,'Module Items'!$A$1:$B$2587,2,FALSE),"")</f>
        <v>19489</v>
      </c>
      <c r="P49" s="44">
        <f>IFERROR(VLOOKUP(N49,'Monthly Line Picks'!$A$1:$D$2000,4,FALSE),"0")</f>
        <v>7</v>
      </c>
      <c r="Q49" s="47" t="s">
        <v>1195</v>
      </c>
      <c r="R49" s="37">
        <f>IFERROR(VLOOKUP(Q49,'Module Items'!$A$1:$B$2587,2,FALSE),"")</f>
        <v>98959</v>
      </c>
      <c r="S49" s="44" t="str">
        <f>IFERROR(VLOOKUP(Q49,'Monthly Line Picks'!$A$1:$D$2000,4,FALSE),"0")</f>
        <v>0</v>
      </c>
      <c r="T49" s="47" t="s">
        <v>1196</v>
      </c>
      <c r="U49" s="37">
        <f>IFERROR(VLOOKUP(T49,'Module Items'!$A$1:$B$2587,2,FALSE),"")</f>
        <v>60169</v>
      </c>
      <c r="V49" s="44">
        <f>IFERROR(VLOOKUP(T49,'Monthly Line Picks'!$A$1:$D$2000,4,FALSE),"0")</f>
        <v>7</v>
      </c>
      <c r="W49" s="47" t="s">
        <v>1197</v>
      </c>
      <c r="X49" s="37">
        <f>IFERROR(VLOOKUP(W49,'Module Items'!$A$1:$B$2587,2,FALSE),"")</f>
        <v>110043</v>
      </c>
      <c r="Y49" s="44" t="str">
        <f>IFERROR(VLOOKUP(W49,'Monthly Line Picks'!$A$1:$D$2000,4,FALSE),"0")</f>
        <v>0</v>
      </c>
      <c r="Z49" s="57" t="s">
        <v>1198</v>
      </c>
      <c r="AA49" s="37">
        <f>IFERROR(VLOOKUP(Z49,'Module Items'!$A$1:$B$2587,2,FALSE),"")</f>
        <v>97854</v>
      </c>
      <c r="AB49" s="44">
        <f>IFERROR(VLOOKUP(Z49,'Monthly Line Picks'!$A$1:$D$2000,4,FALSE),"0")</f>
        <v>3</v>
      </c>
      <c r="AC49" s="44">
        <f>IFERROR(VLOOKUP(AC51,'Monthly Line Picks'!$A$1:$D$2101,4,FALSE),"0")</f>
        <v>8</v>
      </c>
      <c r="AD49" s="44">
        <f>IFERROR(VLOOKUP(AD51,'Monthly Line Picks'!$A$1:$D$2101,4,FALSE),"0")</f>
        <v>89</v>
      </c>
      <c r="AE49" s="44">
        <f>IFERROR(VLOOKUP(AE51,'Monthly Line Picks'!$A$1:$D$2101,4,FALSE),"0")</f>
        <v>55</v>
      </c>
      <c r="AF49" s="44" t="str">
        <f>IFERROR(VLOOKUP(AF51,'Monthly Line Picks'!$A$1:$D$2101,4,FALSE),"0")</f>
        <v>0</v>
      </c>
      <c r="AG49" s="44" t="str">
        <f>IFERROR(VLOOKUP(AG51,'Monthly Line Picks'!$A$1:$D$2101,4,FALSE),"0")</f>
        <v>0</v>
      </c>
      <c r="AH49" s="44" t="str">
        <f>IFERROR(VLOOKUP(AH51,'Monthly Line Picks'!$A$1:$D$2101,4,FALSE),"0")</f>
        <v>0</v>
      </c>
      <c r="AI49" s="44">
        <f>IFERROR(VLOOKUP(AI51,'Monthly Line Picks'!$A$1:$D$2101,4,FALSE),"0")</f>
        <v>41</v>
      </c>
      <c r="AJ49" s="44" t="str">
        <f>IFERROR(VLOOKUP(AJ51,'Monthly Line Picks'!$A$1:$D$2101,4,FALSE),"0")</f>
        <v>0</v>
      </c>
      <c r="AK49" s="44">
        <f>IFERROR(VLOOKUP(AK51,'Monthly Line Picks'!$A$1:$D$2101,4,FALSE),"0")</f>
        <v>311</v>
      </c>
      <c r="AL49" s="44">
        <f>IFERROR(VLOOKUP(AL51,'Monthly Line Picks'!$A$1:$D$2101,4,FALSE),"0")</f>
        <v>113</v>
      </c>
      <c r="AM49" s="44" t="str">
        <f>IFERROR(VLOOKUP(AM51,'Monthly Line Picks'!$A$1:$D$2101,4,FALSE),"0")</f>
        <v>0</v>
      </c>
      <c r="AN49" s="44">
        <f>IFERROR(VLOOKUP(AN51,'Monthly Line Picks'!$A$1:$D$2101,4,FALSE),"0")</f>
        <v>91</v>
      </c>
      <c r="AO49" s="44" t="str">
        <f>IFERROR(VLOOKUP(AO51,'Monthly Line Picks'!$A$1:$D$2101,4,FALSE),"0")</f>
        <v>0</v>
      </c>
      <c r="AP49" s="44">
        <f>IFERROR(VLOOKUP(AP51,'Monthly Line Picks'!$A$1:$D$2101,4,FALSE),"0")</f>
        <v>11</v>
      </c>
      <c r="AQ49" s="44">
        <f>IFERROR(VLOOKUP(AQ51,'Monthly Line Picks'!$A$1:$D$2101,4,FALSE),"0")</f>
        <v>46</v>
      </c>
      <c r="AR49" s="44">
        <f>IFERROR(VLOOKUP(AR51,'Monthly Line Picks'!$A$1:$D$2101,4,FALSE),"0")</f>
        <v>7</v>
      </c>
      <c r="AS49" s="44">
        <f>IFERROR(VLOOKUP(AS51,'Monthly Line Picks'!$A$1:$D$2101,4,FALSE),"0")</f>
        <v>77</v>
      </c>
      <c r="AT49" s="44">
        <f>IFERROR(VLOOKUP(AT51,'Monthly Line Picks'!$A$1:$D$2101,4,FALSE),"0")</f>
        <v>84</v>
      </c>
      <c r="AU49" s="44">
        <f>IFERROR(VLOOKUP(AU51,'Monthly Line Picks'!$A$1:$D$2101,4,FALSE),"0")</f>
        <v>80</v>
      </c>
      <c r="AV49" s="44">
        <f>IFERROR(VLOOKUP(AV51,'Monthly Line Picks'!$A$1:$D$2101,4,FALSE),"0")</f>
        <v>4</v>
      </c>
      <c r="AW49" s="44">
        <f>IFERROR(VLOOKUP(AW51,'Monthly Line Picks'!$A$1:$D$2101,4,FALSE),"0")</f>
        <v>2</v>
      </c>
      <c r="AX49" s="44">
        <f>IFERROR(VLOOKUP(AX51,'Monthly Line Picks'!$A$1:$D$2101,4,FALSE),"0")</f>
        <v>19</v>
      </c>
      <c r="AY49" s="44">
        <f>IFERROR(VLOOKUP(AY51,'Monthly Line Picks'!$A$1:$D$2101,4,FALSE),"0")</f>
        <v>30</v>
      </c>
      <c r="AZ49" s="44">
        <f>IFERROR(VLOOKUP(AZ51,'Monthly Line Picks'!$A$1:$D$2101,4,FALSE),"0")</f>
        <v>27</v>
      </c>
      <c r="BA49" s="44">
        <f>IFERROR(VLOOKUP(BA51,'Monthly Line Picks'!$A$1:$D$2101,4,FALSE),"0")</f>
        <v>22</v>
      </c>
      <c r="BB49" s="44">
        <f>IFERROR(VLOOKUP(BB51,'Monthly Line Picks'!$A$1:$D$2101,4,FALSE),"0")</f>
        <v>45</v>
      </c>
      <c r="BC49" s="44">
        <f>IFERROR(VLOOKUP(BC51,'Monthly Line Picks'!$A$1:$D$2101,4,FALSE),"0")</f>
        <v>120</v>
      </c>
      <c r="BD49" s="44">
        <f>IFERROR(VLOOKUP(BD51,'Monthly Line Picks'!$A$1:$D$2101,4,FALSE),"0")</f>
        <v>161</v>
      </c>
      <c r="BE49" s="44" t="str">
        <f>IFERROR(VLOOKUP(BE51,'Monthly Line Picks'!$A$1:$D$2101,4,FALSE),"0")</f>
        <v>0</v>
      </c>
      <c r="BF49" s="44">
        <f>IFERROR(VLOOKUP(BF51,'Monthly Line Picks'!$A$1:$D$2101,4,FALSE),"0")</f>
        <v>49</v>
      </c>
      <c r="BG49" s="44" t="str">
        <f>IFERROR(VLOOKUP(BG51,'Monthly Line Picks'!$A$1:$D$2101,4,FALSE),"0")</f>
        <v>0</v>
      </c>
      <c r="BH49" s="44">
        <f>IFERROR(VLOOKUP(BH51,'Monthly Line Picks'!$A$1:$D$2101,4,FALSE),"0")</f>
        <v>2</v>
      </c>
      <c r="BI49" s="44">
        <f>IFERROR(VLOOKUP(BI51,'Monthly Line Picks'!$A$1:$D$2101,4,FALSE),"0")</f>
        <v>4</v>
      </c>
      <c r="BJ49" s="44">
        <f>IFERROR(VLOOKUP(BJ51,'Monthly Line Picks'!$A$1:$D$2101,4,FALSE),"0")</f>
        <v>24</v>
      </c>
      <c r="BK49" s="44">
        <f>IFERROR(VLOOKUP(BK51,'Monthly Line Picks'!$A$1:$D$2101,4,FALSE),"0")</f>
        <v>2</v>
      </c>
      <c r="BL49" s="44">
        <f>IFERROR(VLOOKUP(BL51,'Monthly Line Picks'!$A$1:$D$2101,4,FALSE),"0")</f>
        <v>36</v>
      </c>
      <c r="BM49" s="46" t="s">
        <v>1199</v>
      </c>
      <c r="BN49" s="37">
        <f>IFERROR(VLOOKUP(BM49,'Module Items'!$A$1:$B$2587,2,FALSE),"")</f>
        <v>121257</v>
      </c>
      <c r="BO49" s="44">
        <f>IFERROR(VLOOKUP(BM49,'Monthly Line Picks'!$A$1:$D$2000,4,FALSE),"0")</f>
        <v>57</v>
      </c>
      <c r="BP49" s="47" t="s">
        <v>1200</v>
      </c>
      <c r="BQ49" s="37">
        <f>IFERROR(VLOOKUP(BP49,'Module Items'!$A$1:$B$2587,2,FALSE),"")</f>
        <v>1930</v>
      </c>
      <c r="BR49" s="44" t="str">
        <f>IFERROR(VLOOKUP(BP49,'Monthly Line Picks'!$A$1:$D$2000,4,FALSE),"0")</f>
        <v>0</v>
      </c>
      <c r="BS49" s="47" t="s">
        <v>1201</v>
      </c>
      <c r="BT49" s="37">
        <f>IFERROR(VLOOKUP(BS49,'Module Items'!$A$1:$B$2587,2,FALSE),"")</f>
        <v>11895</v>
      </c>
      <c r="BU49" s="44">
        <f>IFERROR(VLOOKUP(BS49,'Monthly Line Picks'!$A$1:$D$2000,4,FALSE),"0")</f>
        <v>12</v>
      </c>
      <c r="BV49" s="47" t="s">
        <v>1202</v>
      </c>
      <c r="BW49" s="37">
        <f>IFERROR(VLOOKUP(BV49,'Module Items'!$A$1:$B$2587,2,FALSE),"")</f>
        <v>14426</v>
      </c>
      <c r="BX49" s="44">
        <f>IFERROR(VLOOKUP(BV49,'Monthly Line Picks'!$A$1:$D$2000,4,FALSE),"0")</f>
        <v>2</v>
      </c>
      <c r="BY49" s="43" t="s">
        <v>1203</v>
      </c>
      <c r="BZ49" s="37">
        <f>IFERROR(VLOOKUP(BY49,'Module Items'!$A$1:$B$2587,2,FALSE),"")</f>
        <v>47658</v>
      </c>
      <c r="CA49" s="44">
        <f>IFERROR(VLOOKUP(BY49,'Monthly Line Picks'!$A$1:$D$2000,4,FALSE),"0")</f>
        <v>2</v>
      </c>
      <c r="CB49" s="48" t="s">
        <v>1204</v>
      </c>
      <c r="CC49" s="37">
        <f>IFERROR(VLOOKUP(CB49,'Module Items'!$A$1:$B$2587,2,FALSE),"")</f>
        <v>337</v>
      </c>
      <c r="CD49" s="44">
        <f>IFERROR(VLOOKUP(CB49,'Monthly Line Picks'!$A$1:$D$2000,4,FALSE),"0")</f>
        <v>7</v>
      </c>
      <c r="CE49" s="44">
        <f>IFERROR(VLOOKUP(CE51,'Monthly Line Picks'!$A$1:$D$2101,4,FALSE),"0")</f>
        <v>4</v>
      </c>
      <c r="CF49" s="44">
        <f>IFERROR(VLOOKUP(CF51,'Monthly Line Picks'!$A$1:$D$2101,4,FALSE),"0")</f>
        <v>351</v>
      </c>
      <c r="CG49" s="44">
        <f>IFERROR(VLOOKUP(CG51,'Monthly Line Picks'!$A$1:$D$2101,4,FALSE),"0")</f>
        <v>12</v>
      </c>
      <c r="CH49" s="44">
        <f>IFERROR(VLOOKUP(CH51,'Monthly Line Picks'!$A$1:$D$2101,4,FALSE),"0")</f>
        <v>22</v>
      </c>
      <c r="CI49" s="44" t="str">
        <f>IFERROR(VLOOKUP(CI51,'Monthly Line Picks'!$A$1:$D$2101,4,FALSE),"0")</f>
        <v>0</v>
      </c>
      <c r="CJ49" s="44">
        <f>IFERROR(VLOOKUP(CJ51,'Monthly Line Picks'!$A$1:$D$2101,4,FALSE),"0")</f>
        <v>1</v>
      </c>
      <c r="CK49" s="44">
        <f>IFERROR(VLOOKUP(CK51,'Monthly Line Picks'!$A$1:$D$2101,4,FALSE),"0")</f>
        <v>211</v>
      </c>
      <c r="CL49" s="44">
        <f>IFERROR(VLOOKUP(CL51,'Monthly Line Picks'!$A$1:$D$2101,4,FALSE),"0")</f>
        <v>21</v>
      </c>
      <c r="CM49" s="44">
        <f>IFERROR(VLOOKUP(CM51,'Monthly Line Picks'!$A$1:$D$2101,4,FALSE),"0")</f>
        <v>15</v>
      </c>
      <c r="CN49" s="44" t="str">
        <f>IFERROR(VLOOKUP(CN51,'Monthly Line Picks'!$A$1:$D$2101,4,FALSE),"0")</f>
        <v>0</v>
      </c>
      <c r="CO49" s="44">
        <f>IFERROR(VLOOKUP(CO51,'Monthly Line Picks'!$A$1:$D$2101,4,FALSE),"0")</f>
        <v>96</v>
      </c>
      <c r="CP49" s="44" t="str">
        <f>IFERROR(VLOOKUP(CP51,'Monthly Line Picks'!$A$1:$D$2101,4,FALSE),"0")</f>
        <v>0</v>
      </c>
      <c r="CQ49" s="44">
        <f>IFERROR(VLOOKUP(CQ51,'Monthly Line Picks'!$A$1:$D$2101,4,FALSE),"0")</f>
        <v>175</v>
      </c>
      <c r="CR49" s="44">
        <f>IFERROR(VLOOKUP(CR51,'Monthly Line Picks'!$A$1:$D$2101,4,FALSE),"0")</f>
        <v>15</v>
      </c>
      <c r="CS49" s="44">
        <f>IFERROR(VLOOKUP(CS51,'Monthly Line Picks'!$A$1:$D$2101,4,FALSE),"0")</f>
        <v>96</v>
      </c>
      <c r="CT49" s="44" t="str">
        <f>IFERROR(VLOOKUP(CT51,'Monthly Line Picks'!$A$1:$D$2101,4,FALSE),"0")</f>
        <v>0</v>
      </c>
      <c r="CU49" s="44">
        <f>IFERROR(VLOOKUP(CU51,'Monthly Line Picks'!$A$1:$D$2101,4,FALSE),"0")</f>
        <v>45</v>
      </c>
      <c r="CV49" s="44" t="str">
        <f>IFERROR(VLOOKUP(CV51,'Monthly Line Picks'!$A$1:$D$2101,4,FALSE),"0")</f>
        <v>0</v>
      </c>
      <c r="CW49" s="44">
        <f>IFERROR(VLOOKUP(CW51,'Monthly Line Picks'!$A$1:$D$2101,4,FALSE),"0")</f>
        <v>47</v>
      </c>
      <c r="CX49" s="44">
        <f>IFERROR(VLOOKUP(CX51,'Monthly Line Picks'!$A$1:$D$2101,4,FALSE),"0")</f>
        <v>27</v>
      </c>
      <c r="CY49" s="44">
        <f>IFERROR(VLOOKUP(CY51,'Monthly Line Picks'!$A$1:$D$2101,4,FALSE),"0")</f>
        <v>41</v>
      </c>
      <c r="CZ49" s="44" t="str">
        <f>IFERROR(VLOOKUP(CZ51,'Monthly Line Picks'!$A$1:$D$2101,4,FALSE),"0")</f>
        <v>0</v>
      </c>
      <c r="DA49" s="44">
        <f>IFERROR(VLOOKUP(DA51,'Monthly Line Picks'!$A$1:$D$2101,4,FALSE),"0")</f>
        <v>1</v>
      </c>
      <c r="DB49" s="44" t="str">
        <f>IFERROR(VLOOKUP(DB51,'Monthly Line Picks'!$A$1:$D$2101,4,FALSE),"0")</f>
        <v>0</v>
      </c>
      <c r="DC49" s="44">
        <f>IFERROR(VLOOKUP(DC51,'Monthly Line Picks'!$A$1:$D$2101,4,FALSE),"0")</f>
        <v>399</v>
      </c>
      <c r="DD49" s="44">
        <f>IFERROR(VLOOKUP(DD51,'Monthly Line Picks'!$A$1:$D$2101,4,FALSE),"0")</f>
        <v>34</v>
      </c>
      <c r="DE49" s="44">
        <f>IFERROR(VLOOKUP(DE51,'Monthly Line Picks'!$A$1:$D$2101,4,FALSE),"0")</f>
        <v>38</v>
      </c>
      <c r="DF49" s="44">
        <f>IFERROR(VLOOKUP(DF51,'Monthly Line Picks'!$A$1:$D$2101,4,FALSE),"0")</f>
        <v>53</v>
      </c>
      <c r="DG49" s="44">
        <f>IFERROR(VLOOKUP(DG51,'Monthly Line Picks'!$A$1:$D$2101,4,FALSE),"0")</f>
        <v>28</v>
      </c>
      <c r="DH49" s="44">
        <f>IFERROR(VLOOKUP(DH51,'Monthly Line Picks'!$A$1:$D$2101,4,FALSE),"0")</f>
        <v>3</v>
      </c>
      <c r="DI49" s="44">
        <f>IFERROR(VLOOKUP(DI51,'Monthly Line Picks'!$A$1:$D$2101,4,FALSE),"0")</f>
        <v>6</v>
      </c>
      <c r="DJ49" s="44" t="str">
        <f>IFERROR(VLOOKUP(DJ51,'Monthly Line Picks'!$A$1:$D$2101,4,FALSE),"0")</f>
        <v>0</v>
      </c>
      <c r="DK49" s="44">
        <f>IFERROR(VLOOKUP(DK51,'Monthly Line Picks'!$A$1:$D$2101,4,FALSE),"0")</f>
        <v>1</v>
      </c>
      <c r="DL49" s="44">
        <f>IFERROR(VLOOKUP(DL51,'Monthly Line Picks'!$A$1:$D$2101,4,FALSE),"0")</f>
        <v>49</v>
      </c>
      <c r="DM49" s="44">
        <f>IFERROR(VLOOKUP(DM51,'Monthly Line Picks'!$A$1:$D$2101,4,FALSE),"0")</f>
        <v>77</v>
      </c>
      <c r="DN49" s="44">
        <f>IFERROR(VLOOKUP(DN51,'Monthly Line Picks'!$A$1:$D$2101,4,FALSE),"0")</f>
        <v>26</v>
      </c>
      <c r="DO49" s="44">
        <f>IFERROR(VLOOKUP(DO51,'Monthly Line Picks'!$A$1:$D$2101,4,FALSE),"0")</f>
        <v>2</v>
      </c>
      <c r="DP49" s="44">
        <f>IFERROR(VLOOKUP(DP51,'Monthly Line Picks'!$A$1:$D$2101,4,FALSE),"0")</f>
        <v>4</v>
      </c>
      <c r="DQ49" s="44">
        <f>IFERROR(VLOOKUP(DQ51,'Monthly Line Picks'!$A$1:$D$2101,4,FALSE),"0")</f>
        <v>11</v>
      </c>
      <c r="DR49" s="44">
        <f>IFERROR(VLOOKUP(DR51,'Monthly Line Picks'!$A$1:$D$2101,4,FALSE),"0")</f>
        <v>1</v>
      </c>
      <c r="DS49" s="44" t="str">
        <f>IFERROR(VLOOKUP(DS51,'Monthly Line Picks'!$A$1:$D$2101,4,FALSE),"0")</f>
        <v>0</v>
      </c>
      <c r="DT49" s="44" t="str">
        <f>IFERROR(VLOOKUP(DT51,'Monthly Line Picks'!$A$1:$D$2101,4,FALSE),"0")</f>
        <v>0</v>
      </c>
      <c r="DU49" s="199"/>
      <c r="DV49" s="199"/>
      <c r="DW49" s="199"/>
      <c r="DX49" s="239"/>
    </row>
    <row r="50" spans="7:128" ht="15.95" thickBot="1">
      <c r="G50" s="198"/>
      <c r="H50" s="199"/>
      <c r="I50" s="199"/>
      <c r="J50" s="199"/>
      <c r="K50" s="56" t="s">
        <v>1205</v>
      </c>
      <c r="L50" s="37">
        <f>IFERROR(VLOOKUP(K50,'Module Items'!$A$1:$B$2587,2,FALSE),"")</f>
        <v>95575</v>
      </c>
      <c r="M50" s="44">
        <f>IFERROR(VLOOKUP(K50,'Monthly Line Picks'!$A$1:$D$2000,4,FALSE),"0")</f>
        <v>1</v>
      </c>
      <c r="N50" s="47" t="s">
        <v>1206</v>
      </c>
      <c r="O50" s="37">
        <f>IFERROR(VLOOKUP(N50,'Module Items'!$A$1:$B$2587,2,FALSE),"")</f>
        <v>79501</v>
      </c>
      <c r="P50" s="44">
        <f>IFERROR(VLOOKUP(N50,'Monthly Line Picks'!$A$1:$D$2000,4,FALSE),"0")</f>
        <v>2</v>
      </c>
      <c r="Q50" s="47" t="s">
        <v>1207</v>
      </c>
      <c r="R50" s="37">
        <f>IFERROR(VLOOKUP(Q50,'Module Items'!$A$1:$B$2587,2,FALSE),"")</f>
        <v>105900</v>
      </c>
      <c r="S50" s="44" t="str">
        <f>IFERROR(VLOOKUP(Q50,'Monthly Line Picks'!$A$1:$D$2000,4,FALSE),"0")</f>
        <v>0</v>
      </c>
      <c r="T50" s="47" t="s">
        <v>1208</v>
      </c>
      <c r="U50" s="37">
        <f>IFERROR(VLOOKUP(T50,'Module Items'!$A$1:$B$2587,2,FALSE),"")</f>
        <v>100959</v>
      </c>
      <c r="V50" s="44" t="str">
        <f>IFERROR(VLOOKUP(T50,'Monthly Line Picks'!$A$1:$D$2000,4,FALSE),"0")</f>
        <v>0</v>
      </c>
      <c r="W50" s="47" t="s">
        <v>1209</v>
      </c>
      <c r="X50" s="37">
        <f>IFERROR(VLOOKUP(W50,'Module Items'!$A$1:$B$2587,2,FALSE),"")</f>
        <v>1692</v>
      </c>
      <c r="Y50" s="44">
        <f>IFERROR(VLOOKUP(W50,'Monthly Line Picks'!$A$1:$D$2000,4,FALSE),"0")</f>
        <v>2</v>
      </c>
      <c r="Z50" s="57" t="s">
        <v>1210</v>
      </c>
      <c r="AA50" s="37">
        <f>IFERROR(VLOOKUP(Z50,'Module Items'!$A$1:$B$2587,2,FALSE),"")</f>
        <v>30696</v>
      </c>
      <c r="AB50" s="44">
        <f>IFERROR(VLOOKUP(Z50,'Monthly Line Picks'!$A$1:$D$2000,4,FALSE),"0")</f>
        <v>21</v>
      </c>
      <c r="AC50" s="39">
        <f>IFERROR(VLOOKUP(AC51,'Module Items'!$A$1:$B$2587,2,FALSE),"")</f>
        <v>156854</v>
      </c>
      <c r="AD50" s="39">
        <f>IFERROR(VLOOKUP(AD51,'Module Items'!$A$1:$B$2587,2,FALSE),"")</f>
        <v>436</v>
      </c>
      <c r="AE50" s="39">
        <f>IFERROR(VLOOKUP(AE51,'Module Items'!$A$1:$B$2587,2,FALSE),"")</f>
        <v>1397</v>
      </c>
      <c r="AF50" s="39" t="str">
        <f>IFERROR(VLOOKUP(AF51,'Module Items'!$A$1:$B$2587,2,FALSE),"")</f>
        <v/>
      </c>
      <c r="AG50" s="39" t="str">
        <f>IFERROR(VLOOKUP(AG51,'Module Items'!$A$1:$B$2587,2,FALSE),"")</f>
        <v/>
      </c>
      <c r="AH50" s="39" t="str">
        <f>IFERROR(VLOOKUP(AH51,'Module Items'!$A$1:$B$2587,2,FALSE),"")</f>
        <v>OPEN</v>
      </c>
      <c r="AI50" s="39">
        <f>IFERROR(VLOOKUP(AI51,'Module Items'!$A$1:$B$2587,2,FALSE),"")</f>
        <v>137009</v>
      </c>
      <c r="AJ50" s="39" t="str">
        <f>IFERROR(VLOOKUP(AJ51,'Module Items'!$A$1:$B$2587,2,FALSE),"")</f>
        <v/>
      </c>
      <c r="AK50" s="39">
        <f>IFERROR(VLOOKUP(AK51,'Module Items'!$A$1:$B$2587,2,FALSE),"")</f>
        <v>127720</v>
      </c>
      <c r="AL50" s="39">
        <f>IFERROR(VLOOKUP(AL51,'Module Items'!$A$1:$B$2587,2,FALSE),"")</f>
        <v>110671</v>
      </c>
      <c r="AM50" s="39" t="str">
        <f>IFERROR(VLOOKUP(AM51,'Module Items'!$A$1:$B$2587,2,FALSE),"")</f>
        <v/>
      </c>
      <c r="AN50" s="39">
        <f>IFERROR(VLOOKUP(AN51,'Module Items'!$A$1:$B$2587,2,FALSE),"")</f>
        <v>105</v>
      </c>
      <c r="AO50" s="39" t="str">
        <f>IFERROR(VLOOKUP(AO51,'Module Items'!$A$1:$B$2587,2,FALSE),"")</f>
        <v/>
      </c>
      <c r="AP50" s="39">
        <f>IFERROR(VLOOKUP(AP51,'Module Items'!$A$1:$B$2587,2,FALSE),"")</f>
        <v>82522</v>
      </c>
      <c r="AQ50" s="39">
        <f>IFERROR(VLOOKUP(AQ51,'Module Items'!$A$1:$B$2587,2,FALSE),"")</f>
        <v>129080</v>
      </c>
      <c r="AR50" s="39">
        <f>IFERROR(VLOOKUP(AR51,'Module Items'!$A$1:$B$2587,2,FALSE),"")</f>
        <v>132797</v>
      </c>
      <c r="AS50" s="39">
        <f>IFERROR(VLOOKUP(AS51,'Module Items'!$A$1:$B$2587,2,FALSE),"")</f>
        <v>112429</v>
      </c>
      <c r="AT50" s="39">
        <f>IFERROR(VLOOKUP(AT51,'Module Items'!$A$1:$B$2587,2,FALSE),"")</f>
        <v>118945</v>
      </c>
      <c r="AU50" s="39">
        <f>IFERROR(VLOOKUP(AU51,'Module Items'!$A$1:$B$2587,2,FALSE),"")</f>
        <v>113619</v>
      </c>
      <c r="AV50" s="39">
        <f>IFERROR(VLOOKUP(AV51,'Module Items'!$A$1:$B$2587,2,FALSE),"")</f>
        <v>138517</v>
      </c>
      <c r="AW50" s="39">
        <f>IFERROR(VLOOKUP(AW51,'Module Items'!$A$1:$B$2587,2,FALSE),"")</f>
        <v>114384</v>
      </c>
      <c r="AX50" s="39">
        <f>IFERROR(VLOOKUP(AX51,'Module Items'!$A$1:$B$2587,2,FALSE),"")</f>
        <v>13568</v>
      </c>
      <c r="AY50" s="39">
        <f>IFERROR(VLOOKUP(AY51,'Module Items'!$A$1:$B$2587,2,FALSE),"")</f>
        <v>138954</v>
      </c>
      <c r="AZ50" s="39">
        <f>IFERROR(VLOOKUP(AZ51,'Module Items'!$A$1:$B$2587,2,FALSE),"")</f>
        <v>127748</v>
      </c>
      <c r="BA50" s="39">
        <f>IFERROR(VLOOKUP(BA51,'Module Items'!$A$1:$B$2587,2,FALSE),"")</f>
        <v>40075</v>
      </c>
      <c r="BB50" s="39">
        <f>IFERROR(VLOOKUP(BB51,'Module Items'!$A$1:$B$2587,2,FALSE),"")</f>
        <v>93977</v>
      </c>
      <c r="BC50" s="39">
        <f>IFERROR(VLOOKUP(BC51,'Module Items'!$A$1:$B$2587,2,FALSE),"")</f>
        <v>103236</v>
      </c>
      <c r="BD50" s="39">
        <f>IFERROR(VLOOKUP(BD51,'Module Items'!$A$1:$B$2587,2,FALSE),"")</f>
        <v>127468</v>
      </c>
      <c r="BE50" s="39" t="str">
        <f>IFERROR(VLOOKUP(BE51,'Module Items'!$A$1:$B$2587,2,FALSE),"")</f>
        <v/>
      </c>
      <c r="BF50" s="39">
        <f>IFERROR(VLOOKUP(BF51,'Module Items'!$A$1:$B$2587,2,FALSE),"")</f>
        <v>119</v>
      </c>
      <c r="BG50" s="39">
        <f>IFERROR(VLOOKUP(BG51,'Module Items'!$A$1:$B$2587,2,FALSE),"")</f>
        <v>78513</v>
      </c>
      <c r="BH50" s="39">
        <f>IFERROR(VLOOKUP(BH51,'Module Items'!$A$1:$B$2587,2,FALSE),"")</f>
        <v>138930</v>
      </c>
      <c r="BI50" s="39">
        <f>IFERROR(VLOOKUP(BI51,'Module Items'!$A$1:$B$2587,2,FALSE),"")</f>
        <v>138817</v>
      </c>
      <c r="BJ50" s="39">
        <f>IFERROR(VLOOKUP(BJ51,'Module Items'!$A$1:$B$2587,2,FALSE),"")</f>
        <v>138847</v>
      </c>
      <c r="BK50" s="39">
        <f>IFERROR(VLOOKUP(BK51,'Module Items'!$A$1:$B$2587,2,FALSE),"")</f>
        <v>138809</v>
      </c>
      <c r="BL50" s="39">
        <f>IFERROR(VLOOKUP(BL51,'Module Items'!$A$1:$B$2587,2,FALSE),"")</f>
        <v>85468</v>
      </c>
      <c r="BM50" s="46" t="s">
        <v>1211</v>
      </c>
      <c r="BN50" s="37">
        <f>IFERROR(VLOOKUP(BM50,'Module Items'!$A$1:$B$2587,2,FALSE),"")</f>
        <v>63167</v>
      </c>
      <c r="BO50" s="44">
        <f>IFERROR(VLOOKUP(BM50,'Monthly Line Picks'!$A$1:$D$2000,4,FALSE),"0")</f>
        <v>16</v>
      </c>
      <c r="BP50" s="47" t="s">
        <v>1212</v>
      </c>
      <c r="BQ50" s="37">
        <f>IFERROR(VLOOKUP(BP50,'Module Items'!$A$1:$B$2587,2,FALSE),"")</f>
        <v>6832</v>
      </c>
      <c r="BR50" s="44">
        <f>IFERROR(VLOOKUP(BP50,'Monthly Line Picks'!$A$1:$D$2000,4,FALSE),"0")</f>
        <v>19</v>
      </c>
      <c r="BS50" s="47" t="s">
        <v>1213</v>
      </c>
      <c r="BT50" s="37">
        <f>IFERROR(VLOOKUP(BS50,'Module Items'!$A$1:$B$2587,2,FALSE),"")</f>
        <v>59362</v>
      </c>
      <c r="BU50" s="44">
        <f>IFERROR(VLOOKUP(BS50,'Monthly Line Picks'!$A$1:$D$2000,4,FALSE),"0")</f>
        <v>13</v>
      </c>
      <c r="BV50" s="47" t="s">
        <v>1214</v>
      </c>
      <c r="BW50" s="37">
        <f>IFERROR(VLOOKUP(BV50,'Module Items'!$A$1:$B$2587,2,FALSE),"")</f>
        <v>13048</v>
      </c>
      <c r="BX50" s="44">
        <f>IFERROR(VLOOKUP(BV50,'Monthly Line Picks'!$A$1:$D$2000,4,FALSE),"0")</f>
        <v>24</v>
      </c>
      <c r="BY50" s="43" t="s">
        <v>1215</v>
      </c>
      <c r="BZ50" s="37">
        <f>IFERROR(VLOOKUP(BY50,'Module Items'!$A$1:$B$2587,2,FALSE),"")</f>
        <v>157513</v>
      </c>
      <c r="CA50" s="44">
        <f>IFERROR(VLOOKUP(BY50,'Monthly Line Picks'!$A$1:$D$2000,4,FALSE),"0")</f>
        <v>11</v>
      </c>
      <c r="CB50" s="48" t="s">
        <v>1216</v>
      </c>
      <c r="CC50" s="37">
        <f>IFERROR(VLOOKUP(CB50,'Module Items'!$A$1:$B$2587,2,FALSE),"")</f>
        <v>7399</v>
      </c>
      <c r="CD50" s="44" t="str">
        <f>IFERROR(VLOOKUP(CB50,'Monthly Line Picks'!$A$1:$D$2000,4,FALSE),"0")</f>
        <v>0</v>
      </c>
      <c r="CE50" s="39" t="str">
        <f>IFERROR(VLOOKUP(CE51,'Module Items'!$A$1:$B$2587,2,FALSE),"")</f>
        <v>OPEN</v>
      </c>
      <c r="CF50" s="39">
        <f>IFERROR(VLOOKUP(CF51,'Module Items'!$A$1:$B$2587,2,FALSE),"")</f>
        <v>120003</v>
      </c>
      <c r="CG50" s="39" t="str">
        <f>IFERROR(VLOOKUP(CG51,'Module Items'!$A$1:$B$2587,2,FALSE),"")</f>
        <v>OPEN</v>
      </c>
      <c r="CH50" s="39">
        <f>IFERROR(VLOOKUP(CH51,'Module Items'!$A$1:$B$2587,2,FALSE),"")</f>
        <v>63150</v>
      </c>
      <c r="CI50" s="39" t="str">
        <f>IFERROR(VLOOKUP(CI51,'Module Items'!$A$1:$B$2587,2,FALSE),"")</f>
        <v>OPEN</v>
      </c>
      <c r="CJ50" s="39">
        <f>IFERROR(VLOOKUP(CJ51,'Module Items'!$A$1:$B$2587,2,FALSE),"")</f>
        <v>143722</v>
      </c>
      <c r="CK50" s="39">
        <f>IFERROR(VLOOKUP(CK51,'Module Items'!$A$1:$B$2587,2,FALSE),"")</f>
        <v>157698</v>
      </c>
      <c r="CL50" s="39">
        <f>IFERROR(VLOOKUP(CL51,'Module Items'!$A$1:$B$2587,2,FALSE),"")</f>
        <v>177106</v>
      </c>
      <c r="CM50" s="39">
        <f>IFERROR(VLOOKUP(CM51,'Module Items'!$A$1:$B$2587,2,FALSE),"")</f>
        <v>18486</v>
      </c>
      <c r="CN50" s="39">
        <f>IFERROR(VLOOKUP(CN51,'Module Items'!$A$1:$B$2587,2,FALSE),"")</f>
        <v>110505</v>
      </c>
      <c r="CO50" s="39">
        <f>IFERROR(VLOOKUP(CO51,'Module Items'!$A$1:$B$2587,2,FALSE),"")</f>
        <v>124946</v>
      </c>
      <c r="CP50" s="39" t="str">
        <f>IFERROR(VLOOKUP(CP51,'Module Items'!$A$1:$B$2587,2,FALSE),"")</f>
        <v>OPEN</v>
      </c>
      <c r="CQ50" s="39">
        <f>IFERROR(VLOOKUP(CQ51,'Module Items'!$A$1:$B$2587,2,FALSE),"")</f>
        <v>110165</v>
      </c>
      <c r="CR50" s="39">
        <f>IFERROR(VLOOKUP(CR51,'Module Items'!$A$1:$B$2587,2,FALSE),"")</f>
        <v>126101</v>
      </c>
      <c r="CS50" s="39">
        <f>IFERROR(VLOOKUP(CS51,'Module Items'!$A$1:$B$2587,2,FALSE),"")</f>
        <v>7487</v>
      </c>
      <c r="CT50" s="39" t="str">
        <f>IFERROR(VLOOKUP(CT51,'Module Items'!$A$1:$B$2587,2,FALSE),"")</f>
        <v>OPEN</v>
      </c>
      <c r="CU50" s="39">
        <f>IFERROR(VLOOKUP(CU51,'Module Items'!$A$1:$B$2587,2,FALSE),"")</f>
        <v>160318</v>
      </c>
      <c r="CV50" s="39">
        <f>IFERROR(VLOOKUP(CV51,'Module Items'!$A$1:$B$2587,2,FALSE),"")</f>
        <v>157879</v>
      </c>
      <c r="CW50" s="39">
        <f>IFERROR(VLOOKUP(CW51,'Module Items'!$A$1:$B$2587,2,FALSE),"")</f>
        <v>631</v>
      </c>
      <c r="CX50" s="39">
        <f>IFERROR(VLOOKUP(CX51,'Module Items'!$A$1:$B$2587,2,FALSE),"")</f>
        <v>1911</v>
      </c>
      <c r="CY50" s="39">
        <f>IFERROR(VLOOKUP(CY51,'Module Items'!$A$1:$B$2587,2,FALSE),"")</f>
        <v>118355</v>
      </c>
      <c r="CZ50" s="39">
        <f>IFERROR(VLOOKUP(CZ51,'Module Items'!$A$1:$B$2587,2,FALSE),"")</f>
        <v>758</v>
      </c>
      <c r="DA50" s="39">
        <f>IFERROR(VLOOKUP(DA51,'Module Items'!$A$1:$B$2587,2,FALSE),"")</f>
        <v>104534</v>
      </c>
      <c r="DB50" s="39">
        <f>IFERROR(VLOOKUP(DB51,'Module Items'!$A$1:$B$2587,2,FALSE),"")</f>
        <v>173137</v>
      </c>
      <c r="DC50" s="39">
        <f>IFERROR(VLOOKUP(DC51,'Module Items'!$A$1:$B$2587,2,FALSE),"")</f>
        <v>39603</v>
      </c>
      <c r="DD50" s="39">
        <f>IFERROR(VLOOKUP(DD51,'Module Items'!$A$1:$B$2587,2,FALSE),"")</f>
        <v>2683</v>
      </c>
      <c r="DE50" s="39">
        <f>IFERROR(VLOOKUP(DE51,'Module Items'!$A$1:$B$2587,2,FALSE),"")</f>
        <v>157005</v>
      </c>
      <c r="DF50" s="39">
        <f>IFERROR(VLOOKUP(DF51,'Module Items'!$A$1:$B$2587,2,FALSE),"")</f>
        <v>135385</v>
      </c>
      <c r="DG50" s="39">
        <f>IFERROR(VLOOKUP(DG51,'Module Items'!$A$1:$B$2587,2,FALSE),"")</f>
        <v>101443</v>
      </c>
      <c r="DH50" s="39">
        <f>IFERROR(VLOOKUP(DH51,'Module Items'!$A$1:$B$2587,2,FALSE),"")</f>
        <v>113990</v>
      </c>
      <c r="DI50" s="39">
        <f>IFERROR(VLOOKUP(DI51,'Module Items'!$A$1:$B$2587,2,FALSE),"")</f>
        <v>15951</v>
      </c>
      <c r="DJ50" s="39" t="str">
        <f>IFERROR(VLOOKUP(DJ51,'Module Items'!$A$1:$B$2587,2,FALSE),"")</f>
        <v/>
      </c>
      <c r="DK50" s="39" t="str">
        <f>IFERROR(VLOOKUP(DK51,'Module Items'!$A$1:$B$2587,2,FALSE),"")</f>
        <v>OPEN</v>
      </c>
      <c r="DL50" s="39">
        <f>IFERROR(VLOOKUP(DL51,'Module Items'!$A$1:$B$2587,2,FALSE),"")</f>
        <v>138407</v>
      </c>
      <c r="DM50" s="39">
        <f>IFERROR(VLOOKUP(DM51,'Module Items'!$A$1:$B$2587,2,FALSE),"")</f>
        <v>87672</v>
      </c>
      <c r="DN50" s="39" t="str">
        <f>IFERROR(VLOOKUP(DN51,'Module Items'!$A$1:$B$2587,2,FALSE),"")</f>
        <v>OPEN</v>
      </c>
      <c r="DO50" s="39" t="str">
        <f>IFERROR(VLOOKUP(DO51,'Module Items'!$A$1:$B$2587,2,FALSE),"")</f>
        <v>OPEN</v>
      </c>
      <c r="DP50" s="39">
        <f>IFERROR(VLOOKUP(DP51,'Module Items'!$A$1:$B$2587,2,FALSE),"")</f>
        <v>109849</v>
      </c>
      <c r="DQ50" s="39" t="str">
        <f>IFERROR(VLOOKUP(DQ51,'Module Items'!$A$1:$B$2587,2,FALSE),"")</f>
        <v>OPEN</v>
      </c>
      <c r="DR50" s="39">
        <f>IFERROR(VLOOKUP(DR51,'Module Items'!$A$1:$B$2587,2,FALSE),"")</f>
        <v>9840</v>
      </c>
      <c r="DS50" s="39" t="str">
        <f>IFERROR(VLOOKUP(DS51,'Module Items'!$A$1:$B$2587,2,FALSE),"")</f>
        <v/>
      </c>
      <c r="DT50" s="39">
        <f>IFERROR(VLOOKUP(DT51,'Module Items'!$A$1:$B$2587,2,FALSE),"")</f>
        <v>142637</v>
      </c>
      <c r="DU50" s="199"/>
      <c r="DV50" s="199"/>
      <c r="DW50" s="199"/>
      <c r="DX50" s="239"/>
    </row>
    <row r="51" spans="7:128" ht="15.95" thickBot="1">
      <c r="G51" s="200"/>
      <c r="H51" s="201"/>
      <c r="I51" s="201"/>
      <c r="J51" s="201"/>
      <c r="K51" s="58" t="s">
        <v>1217</v>
      </c>
      <c r="L51" s="37">
        <f>IFERROR(VLOOKUP(K51,'Module Items'!$A$1:$B$2587,2,FALSE),"")</f>
        <v>8597</v>
      </c>
      <c r="M51" s="44" t="str">
        <f>IFERROR(VLOOKUP(K51,'Monthly Line Picks'!$A$1:$D$2000,4,FALSE),"0")</f>
        <v>0</v>
      </c>
      <c r="N51" s="50" t="s">
        <v>1218</v>
      </c>
      <c r="O51" s="37">
        <f>IFERROR(VLOOKUP(N51,'Module Items'!$A$1:$B$2587,2,FALSE),"")</f>
        <v>14034</v>
      </c>
      <c r="P51" s="44">
        <f>IFERROR(VLOOKUP(N51,'Monthly Line Picks'!$A$1:$D$2000,4,FALSE),"0")</f>
        <v>15</v>
      </c>
      <c r="Q51" s="50" t="s">
        <v>1219</v>
      </c>
      <c r="R51" s="37">
        <f>IFERROR(VLOOKUP(Q51,'Module Items'!$A$1:$B$2587,2,FALSE),"")</f>
        <v>122680</v>
      </c>
      <c r="S51" s="44" t="str">
        <f>IFERROR(VLOOKUP(Q51,'Monthly Line Picks'!$A$1:$D$2000,4,FALSE),"0")</f>
        <v>0</v>
      </c>
      <c r="T51" s="50" t="s">
        <v>1220</v>
      </c>
      <c r="U51" s="37">
        <f>IFERROR(VLOOKUP(T51,'Module Items'!$A$1:$B$2587,2,FALSE),"")</f>
        <v>100002</v>
      </c>
      <c r="V51" s="44" t="str">
        <f>IFERROR(VLOOKUP(T51,'Monthly Line Picks'!$A$1:$D$2000,4,FALSE),"0")</f>
        <v>0</v>
      </c>
      <c r="W51" s="50" t="s">
        <v>1221</v>
      </c>
      <c r="X51" s="37">
        <f>IFERROR(VLOOKUP(W51,'Module Items'!$A$1:$B$2587,2,FALSE),"")</f>
        <v>79184</v>
      </c>
      <c r="Y51" s="44" t="str">
        <f>IFERROR(VLOOKUP(W51,'Monthly Line Picks'!$A$1:$D$2000,4,FALSE),"0")</f>
        <v>0</v>
      </c>
      <c r="Z51" s="59" t="s">
        <v>1222</v>
      </c>
      <c r="AA51" s="37">
        <f>IFERROR(VLOOKUP(Z51,'Module Items'!$A$1:$B$2587,2,FALSE),"")</f>
        <v>2009</v>
      </c>
      <c r="AB51" s="44">
        <f>IFERROR(VLOOKUP(Z51,'Monthly Line Picks'!$A$1:$D$2000,4,FALSE),"0")</f>
        <v>5</v>
      </c>
      <c r="AC51" s="29" t="s">
        <v>1223</v>
      </c>
      <c r="AD51" s="32" t="s">
        <v>1224</v>
      </c>
      <c r="AE51" s="32" t="s">
        <v>1225</v>
      </c>
      <c r="AF51" s="32" t="s">
        <v>1226</v>
      </c>
      <c r="AG51" s="32" t="s">
        <v>1227</v>
      </c>
      <c r="AH51" s="35" t="s">
        <v>1228</v>
      </c>
      <c r="AI51" s="38" t="s">
        <v>1229</v>
      </c>
      <c r="AJ51" s="32" t="s">
        <v>1230</v>
      </c>
      <c r="AK51" s="32" t="s">
        <v>1231</v>
      </c>
      <c r="AL51" s="32" t="s">
        <v>1232</v>
      </c>
      <c r="AM51" s="32" t="s">
        <v>1233</v>
      </c>
      <c r="AN51" s="33" t="s">
        <v>1234</v>
      </c>
      <c r="AO51" s="38" t="s">
        <v>1235</v>
      </c>
      <c r="AP51" s="32" t="s">
        <v>1236</v>
      </c>
      <c r="AQ51" s="32" t="s">
        <v>1237</v>
      </c>
      <c r="AR51" s="32" t="s">
        <v>1238</v>
      </c>
      <c r="AS51" s="32" t="s">
        <v>1239</v>
      </c>
      <c r="AT51" s="33" t="s">
        <v>1240</v>
      </c>
      <c r="AU51" s="29" t="s">
        <v>1241</v>
      </c>
      <c r="AV51" s="32" t="s">
        <v>1242</v>
      </c>
      <c r="AW51" s="32" t="s">
        <v>1243</v>
      </c>
      <c r="AX51" s="32" t="s">
        <v>1244</v>
      </c>
      <c r="AY51" s="32" t="s">
        <v>1245</v>
      </c>
      <c r="AZ51" s="33" t="s">
        <v>1246</v>
      </c>
      <c r="BA51" s="38" t="s">
        <v>1247</v>
      </c>
      <c r="BB51" s="32" t="s">
        <v>1248</v>
      </c>
      <c r="BC51" s="32" t="s">
        <v>1249</v>
      </c>
      <c r="BD51" s="32" t="s">
        <v>1250</v>
      </c>
      <c r="BE51" s="32" t="s">
        <v>1251</v>
      </c>
      <c r="BF51" s="33" t="s">
        <v>1252</v>
      </c>
      <c r="BG51" s="38" t="s">
        <v>1253</v>
      </c>
      <c r="BH51" s="32" t="s">
        <v>1254</v>
      </c>
      <c r="BI51" s="32" t="s">
        <v>1255</v>
      </c>
      <c r="BJ51" s="32" t="s">
        <v>1256</v>
      </c>
      <c r="BK51" s="32" t="s">
        <v>1257</v>
      </c>
      <c r="BL51" s="33" t="s">
        <v>1258</v>
      </c>
      <c r="BM51" s="49" t="s">
        <v>1259</v>
      </c>
      <c r="BN51" s="37">
        <f>IFERROR(VLOOKUP(BM51,'Module Items'!$A$1:$B$2587,2,FALSE),"")</f>
        <v>78505</v>
      </c>
      <c r="BO51" s="44">
        <f>IFERROR(VLOOKUP(BM51,'Monthly Line Picks'!$A$1:$D$2000,4,FALSE),"0")</f>
        <v>5</v>
      </c>
      <c r="BP51" s="50" t="s">
        <v>1260</v>
      </c>
      <c r="BQ51" s="37">
        <f>IFERROR(VLOOKUP(BP51,'Module Items'!$A$1:$B$2587,2,FALSE),"")</f>
        <v>3653</v>
      </c>
      <c r="BR51" s="44">
        <f>IFERROR(VLOOKUP(BP51,'Monthly Line Picks'!$A$1:$D$2000,4,FALSE),"0")</f>
        <v>2</v>
      </c>
      <c r="BS51" s="50" t="s">
        <v>1261</v>
      </c>
      <c r="BT51" s="37">
        <f>IFERROR(VLOOKUP(BS51,'Module Items'!$A$1:$B$2587,2,FALSE),"")</f>
        <v>17489</v>
      </c>
      <c r="BU51" s="44">
        <f>IFERROR(VLOOKUP(BS51,'Monthly Line Picks'!$A$1:$D$2000,4,FALSE),"0")</f>
        <v>9</v>
      </c>
      <c r="BV51" s="50" t="s">
        <v>1262</v>
      </c>
      <c r="BW51" s="37">
        <f>IFERROR(VLOOKUP(BV51,'Module Items'!$A$1:$B$2587,2,FALSE),"")</f>
        <v>92079</v>
      </c>
      <c r="BX51" s="44">
        <f>IFERROR(VLOOKUP(BV51,'Monthly Line Picks'!$A$1:$D$2000,4,FALSE),"0")</f>
        <v>5</v>
      </c>
      <c r="BY51" s="51" t="s">
        <v>1263</v>
      </c>
      <c r="BZ51" s="37">
        <f>IFERROR(VLOOKUP(BY51,'Module Items'!$A$1:$B$2587,2,FALSE),"")</f>
        <v>110040</v>
      </c>
      <c r="CA51" s="44">
        <f>IFERROR(VLOOKUP(BY51,'Monthly Line Picks'!$A$1:$D$2000,4,FALSE),"0")</f>
        <v>8</v>
      </c>
      <c r="CB51" s="52" t="s">
        <v>1264</v>
      </c>
      <c r="CC51" s="37">
        <f>IFERROR(VLOOKUP(CB51,'Module Items'!$A$1:$B$2587,2,FALSE),"")</f>
        <v>82768</v>
      </c>
      <c r="CD51" s="44" t="str">
        <f>IFERROR(VLOOKUP(CB51,'Monthly Line Picks'!$A$1:$D$2000,4,FALSE),"0")</f>
        <v>0</v>
      </c>
      <c r="CE51" s="29" t="s">
        <v>1265</v>
      </c>
      <c r="CF51" s="32" t="s">
        <v>1266</v>
      </c>
      <c r="CG51" s="32" t="s">
        <v>1267</v>
      </c>
      <c r="CH51" s="32" t="s">
        <v>1268</v>
      </c>
      <c r="CI51" s="32" t="s">
        <v>1269</v>
      </c>
      <c r="CJ51" s="35" t="s">
        <v>1270</v>
      </c>
      <c r="CK51" s="38" t="s">
        <v>1271</v>
      </c>
      <c r="CL51" s="32" t="s">
        <v>1272</v>
      </c>
      <c r="CM51" s="32" t="s">
        <v>1273</v>
      </c>
      <c r="CN51" s="32" t="s">
        <v>1274</v>
      </c>
      <c r="CO51" s="32" t="s">
        <v>1275</v>
      </c>
      <c r="CP51" s="33" t="s">
        <v>1276</v>
      </c>
      <c r="CQ51" s="38" t="s">
        <v>1277</v>
      </c>
      <c r="CR51" s="32" t="s">
        <v>1278</v>
      </c>
      <c r="CS51" s="32" t="s">
        <v>1279</v>
      </c>
      <c r="CT51" s="32" t="s">
        <v>1280</v>
      </c>
      <c r="CU51" s="32" t="s">
        <v>1281</v>
      </c>
      <c r="CV51" s="33" t="s">
        <v>1282</v>
      </c>
      <c r="CW51" s="38" t="s">
        <v>1283</v>
      </c>
      <c r="CX51" s="32" t="s">
        <v>1284</v>
      </c>
      <c r="CY51" s="32" t="s">
        <v>1285</v>
      </c>
      <c r="CZ51" s="32" t="s">
        <v>1286</v>
      </c>
      <c r="DA51" s="32" t="s">
        <v>1287</v>
      </c>
      <c r="DB51" s="33" t="s">
        <v>1288</v>
      </c>
      <c r="DC51" s="38" t="s">
        <v>1289</v>
      </c>
      <c r="DD51" s="32" t="s">
        <v>1290</v>
      </c>
      <c r="DE51" s="32" t="s">
        <v>1291</v>
      </c>
      <c r="DF51" s="32" t="s">
        <v>1292</v>
      </c>
      <c r="DG51" s="32" t="s">
        <v>1293</v>
      </c>
      <c r="DH51" s="33" t="s">
        <v>1294</v>
      </c>
      <c r="DI51" s="38" t="s">
        <v>1295</v>
      </c>
      <c r="DJ51" s="32" t="s">
        <v>1296</v>
      </c>
      <c r="DK51" s="32" t="s">
        <v>1297</v>
      </c>
      <c r="DL51" s="32" t="s">
        <v>1298</v>
      </c>
      <c r="DM51" s="32" t="s">
        <v>1299</v>
      </c>
      <c r="DN51" s="33" t="s">
        <v>1300</v>
      </c>
      <c r="DO51" s="38" t="s">
        <v>1301</v>
      </c>
      <c r="DP51" s="32" t="s">
        <v>1302</v>
      </c>
      <c r="DQ51" s="32" t="s">
        <v>1303</v>
      </c>
      <c r="DR51" s="32" t="s">
        <v>1304</v>
      </c>
      <c r="DS51" s="32" t="s">
        <v>1305</v>
      </c>
      <c r="DT51" s="33" t="s">
        <v>1306</v>
      </c>
      <c r="DU51" s="201"/>
      <c r="DV51" s="201"/>
      <c r="DW51" s="201"/>
      <c r="DX51" s="240"/>
    </row>
    <row r="52" spans="7:128" ht="15.95" thickTop="1"/>
    <row r="53" spans="7:128">
      <c r="K53" s="197" t="s">
        <v>1307</v>
      </c>
      <c r="L53" s="197"/>
      <c r="M53" s="197"/>
      <c r="N53" s="197"/>
    </row>
    <row r="54" spans="7:128">
      <c r="L54" s="110" t="s">
        <v>1308</v>
      </c>
      <c r="M54" s="110" t="s">
        <v>1309</v>
      </c>
      <c r="O54" s="40"/>
    </row>
    <row r="55" spans="7:128">
      <c r="K55" s="109" t="s">
        <v>1310</v>
      </c>
      <c r="L55" s="23">
        <f>SUM(K6:T6)+SUM(K9:T9)+SUM(K12:T12)+SUM(V6:AZ6)+SUM(V9:AZ9)+SUM(V12:AZ12)</f>
        <v>1710</v>
      </c>
      <c r="M55" s="23">
        <f>ROUNDUP(L55/21,0)</f>
        <v>82</v>
      </c>
      <c r="N55" s="60"/>
      <c r="O55" s="171"/>
      <c r="P55" s="171"/>
      <c r="Q55" s="171"/>
    </row>
    <row r="56" spans="7:128">
      <c r="K56" s="109" t="s">
        <v>1311</v>
      </c>
      <c r="L56" s="23">
        <f>SUM(K16:AZ16)+SUM(K19:AZ19)+SUM(K22:AZ22)</f>
        <v>3190</v>
      </c>
      <c r="M56" s="23">
        <f t="shared" ref="M56:M62" si="0">ROUNDUP(L56/21,0)</f>
        <v>152</v>
      </c>
      <c r="N56" s="60"/>
      <c r="O56" s="60"/>
    </row>
    <row r="57" spans="7:128">
      <c r="K57" s="109" t="s">
        <v>1312</v>
      </c>
      <c r="L57" s="23">
        <f>SUM(BC4:BC12)+SUM(BF4:BF12)+SUM(BF4:BF12)+SUM(BI4:BI10)+SUM(BL4:BL12)+SUM(BO4:BO12)+SUM(BR4:BR12)+SUM(BY6:DB6)+SUM(BY9:DB9)+SUM(BY12:DB12)+SUM(DE4:DE12)+SUM(DH4:DH12)+SUM(DK4:DK12)+SUM(DN4:DN12)+SUM(DQ4:DQ12)+SUM(DT4:DT12)</f>
        <v>3201</v>
      </c>
      <c r="M57" s="23">
        <f t="shared" si="0"/>
        <v>153</v>
      </c>
      <c r="N57" s="60"/>
      <c r="O57" s="60"/>
    </row>
    <row r="58" spans="7:128">
      <c r="K58" s="109" t="s">
        <v>1313</v>
      </c>
      <c r="L58" s="23" cm="1">
        <f t="array" ref="L58">SUM(BC16:BC24)+SUM(BF16:BF24)+SUM(BI18:BI24)+SUM(BL16:BL24)+SUM(BO16:BO24)+SUM(BR16:BR24)+SUM(BV16:DB16)+SUM(BV19:DB19)+SUM(BV22:DB22)+SUM(DE16:DE24+SUM(DH16:DH24)+SUM(DK16:DK24)+SUM(DN16:DN24)+SUM(DQ16:DQ24)+SUM(DT16:DT24))</f>
        <v>6701</v>
      </c>
      <c r="M58" s="23">
        <f t="shared" si="0"/>
        <v>320</v>
      </c>
      <c r="N58" s="60"/>
      <c r="O58" s="60"/>
    </row>
    <row r="59" spans="7:128">
      <c r="K59" s="109" t="s">
        <v>1314</v>
      </c>
      <c r="L59" s="23">
        <f>SUM(BO31:BO39)+SUM(BR31:BR39)+SUM(BU31:BU37)+SUM(BX31:BX39)+SUM(CA31:CA39)+SUM(CD31:CD39)+SUM(CH33:DR33)+SUM(DT33)+SUM(DT36)+SUM(DT39)+SUM(CH36:DR36)+SUM(CH39:DR39)</f>
        <v>5963</v>
      </c>
      <c r="M59" s="23">
        <f t="shared" si="0"/>
        <v>284</v>
      </c>
      <c r="N59" s="60"/>
      <c r="O59" s="60"/>
    </row>
    <row r="60" spans="7:128">
      <c r="K60" s="109" t="s">
        <v>1315</v>
      </c>
      <c r="L60" s="23">
        <f>SUM(BO43:BO51)+SUM(BR43:BR51)+SUM(BU45:BU51)+SUM(BX43:BX51)+SUM(CA43:CA51)+SUM(CD43:CD51)+SUM(CE43:DT43)+SUM(CE46:DT46)+SUM(CE49:DT49)</f>
        <v>8225</v>
      </c>
      <c r="M60" s="23">
        <f t="shared" si="0"/>
        <v>392</v>
      </c>
      <c r="N60" s="60"/>
      <c r="O60" s="60"/>
    </row>
    <row r="61" spans="7:128">
      <c r="K61" s="109" t="s">
        <v>1316</v>
      </c>
      <c r="L61" s="23">
        <f>SUM(M31:M39)+SUM(P31:P39)+SUM(S31:S37)+SUM(V31:V37)+SUM(Y31:Y39)+SUM(AB31:AB39)+SUM(AC33:AF33)+SUM(AC36:AF36)+SUM(AC39:AF39)+SUM(AH33:BL33)+SUM(AH36:BL36)+SUM(AH39:BL39)</f>
        <v>5791</v>
      </c>
      <c r="M61" s="23">
        <f t="shared" si="0"/>
        <v>276</v>
      </c>
      <c r="N61" s="60"/>
    </row>
    <row r="62" spans="7:128">
      <c r="K62" s="109" t="s">
        <v>1317</v>
      </c>
      <c r="L62" s="23">
        <f>SUM(M43:M51)+SUM(P43:P51)+SUM(S45:S51)+SUM(V45:V51)+SUM(Y43:Y51)+SUM(AB43:AB51)+SUM(AC43:BL43)+SUM(AC46:BL46)+SUM(AC49:BL49)</f>
        <v>5143</v>
      </c>
      <c r="M62" s="23">
        <f t="shared" si="0"/>
        <v>245</v>
      </c>
      <c r="N62" s="60"/>
    </row>
    <row r="64" spans="7:128">
      <c r="L64">
        <f>SUM(L55:L62)</f>
        <v>39924</v>
      </c>
      <c r="M64" s="60">
        <f>SUM(M55:M62)</f>
        <v>1904</v>
      </c>
    </row>
  </sheetData>
  <mergeCells count="70">
    <mergeCell ref="DU48:DX51"/>
    <mergeCell ref="G47:H47"/>
    <mergeCell ref="I47:J47"/>
    <mergeCell ref="DU47:DV47"/>
    <mergeCell ref="DW47:DX47"/>
    <mergeCell ref="DI16:DJ17"/>
    <mergeCell ref="DU45:DV45"/>
    <mergeCell ref="DW45:DX45"/>
    <mergeCell ref="G46:H46"/>
    <mergeCell ref="DW43:DX43"/>
    <mergeCell ref="G44:H44"/>
    <mergeCell ref="I44:J44"/>
    <mergeCell ref="DU44:DV44"/>
    <mergeCell ref="DW44:DX44"/>
    <mergeCell ref="BS43:BV44"/>
    <mergeCell ref="G43:H43"/>
    <mergeCell ref="I43:J43"/>
    <mergeCell ref="DU43:DV43"/>
    <mergeCell ref="Q43:V44"/>
    <mergeCell ref="DU46:DV46"/>
    <mergeCell ref="DW46:DX46"/>
    <mergeCell ref="DU16:DV16"/>
    <mergeCell ref="DU21:DX24"/>
    <mergeCell ref="DU18:DV18"/>
    <mergeCell ref="DW18:DX18"/>
    <mergeCell ref="DU19:DV19"/>
    <mergeCell ref="DW19:DX19"/>
    <mergeCell ref="DU20:DV20"/>
    <mergeCell ref="DW20:DX20"/>
    <mergeCell ref="DW16:DX16"/>
    <mergeCell ref="DU17:DV17"/>
    <mergeCell ref="DW17:DX17"/>
    <mergeCell ref="BG16:BJ17"/>
    <mergeCell ref="BP1:CF2"/>
    <mergeCell ref="BG11:BJ12"/>
    <mergeCell ref="BS4:BU13"/>
    <mergeCell ref="U4:U12"/>
    <mergeCell ref="BV4:BX13"/>
    <mergeCell ref="BS15:BU24"/>
    <mergeCell ref="DI11:DJ12"/>
    <mergeCell ref="G4:J12"/>
    <mergeCell ref="C4:F12"/>
    <mergeCell ref="C16:F24"/>
    <mergeCell ref="U1:AI2"/>
    <mergeCell ref="AO1:AZ2"/>
    <mergeCell ref="G21:J24"/>
    <mergeCell ref="G18:H18"/>
    <mergeCell ref="I18:J18"/>
    <mergeCell ref="G19:H19"/>
    <mergeCell ref="I19:J19"/>
    <mergeCell ref="G20:H20"/>
    <mergeCell ref="I20:J20"/>
    <mergeCell ref="G17:H17"/>
    <mergeCell ref="I17:J17"/>
    <mergeCell ref="G16:H16"/>
    <mergeCell ref="I16:J16"/>
    <mergeCell ref="K53:N53"/>
    <mergeCell ref="G48:J51"/>
    <mergeCell ref="I46:J46"/>
    <mergeCell ref="G45:H45"/>
    <mergeCell ref="I45:J45"/>
    <mergeCell ref="DS31:DS39"/>
    <mergeCell ref="AG31:AG39"/>
    <mergeCell ref="O55:Q55"/>
    <mergeCell ref="BP28:CF29"/>
    <mergeCell ref="CE31:CG39"/>
    <mergeCell ref="BS38:BV39"/>
    <mergeCell ref="U28:AI29"/>
    <mergeCell ref="AO28:AZ29"/>
    <mergeCell ref="Q38:V39"/>
  </mergeCells>
  <phoneticPr fontId="12" type="noConversion"/>
  <conditionalFormatting sqref="K6:T6">
    <cfRule type="cellIs" dxfId="551" priority="284" operator="between">
      <formula>76</formula>
      <formula>150</formula>
    </cfRule>
    <cfRule type="cellIs" dxfId="550" priority="283" operator="between">
      <formula>151</formula>
      <formula>225</formula>
    </cfRule>
    <cfRule type="cellIs" dxfId="549" priority="285" operator="between">
      <formula>1</formula>
      <formula>75</formula>
    </cfRule>
    <cfRule type="cellIs" dxfId="548" priority="281" operator="between">
      <formula>301</formula>
      <formula>2000</formula>
    </cfRule>
    <cfRule type="cellIs" dxfId="547" priority="282" operator="between">
      <formula>226</formula>
      <formula>300</formula>
    </cfRule>
  </conditionalFormatting>
  <conditionalFormatting sqref="K9:T9">
    <cfRule type="cellIs" dxfId="546" priority="276" operator="between">
      <formula>301</formula>
      <formula>2000</formula>
    </cfRule>
    <cfRule type="cellIs" dxfId="545" priority="277" operator="between">
      <formula>226</formula>
      <formula>300</formula>
    </cfRule>
    <cfRule type="cellIs" dxfId="544" priority="278" operator="between">
      <formula>151</formula>
      <formula>225</formula>
    </cfRule>
    <cfRule type="cellIs" dxfId="543" priority="279" operator="between">
      <formula>76</formula>
      <formula>150</formula>
    </cfRule>
    <cfRule type="cellIs" dxfId="542" priority="280" operator="between">
      <formula>1</formula>
      <formula>75</formula>
    </cfRule>
  </conditionalFormatting>
  <conditionalFormatting sqref="K12:T12">
    <cfRule type="cellIs" dxfId="541" priority="275" operator="between">
      <formula>1</formula>
      <formula>75</formula>
    </cfRule>
    <cfRule type="cellIs" dxfId="540" priority="271" operator="between">
      <formula>301</formula>
      <formula>2000</formula>
    </cfRule>
    <cfRule type="cellIs" dxfId="539" priority="272" operator="between">
      <formula>226</formula>
      <formula>300</formula>
    </cfRule>
    <cfRule type="cellIs" dxfId="538" priority="273" operator="between">
      <formula>151</formula>
      <formula>225</formula>
    </cfRule>
    <cfRule type="cellIs" dxfId="537" priority="274" operator="between">
      <formula>76</formula>
      <formula>150</formula>
    </cfRule>
  </conditionalFormatting>
  <conditionalFormatting sqref="M31:M39">
    <cfRule type="cellIs" dxfId="536" priority="206" operator="between">
      <formula>301</formula>
      <formula>2000</formula>
    </cfRule>
    <cfRule type="cellIs" dxfId="535" priority="207" operator="between">
      <formula>226</formula>
      <formula>300</formula>
    </cfRule>
    <cfRule type="cellIs" dxfId="534" priority="208" operator="between">
      <formula>151</formula>
      <formula>225</formula>
    </cfRule>
    <cfRule type="cellIs" dxfId="533" priority="210" operator="between">
      <formula>1</formula>
      <formula>75</formula>
    </cfRule>
    <cfRule type="cellIs" dxfId="532" priority="209" operator="between">
      <formula>76</formula>
      <formula>150</formula>
    </cfRule>
  </conditionalFormatting>
  <conditionalFormatting sqref="M43:M51">
    <cfRule type="cellIs" dxfId="531" priority="240" operator="between">
      <formula>1</formula>
      <formula>75</formula>
    </cfRule>
    <cfRule type="cellIs" dxfId="530" priority="236" operator="between">
      <formula>301</formula>
      <formula>2000</formula>
    </cfRule>
    <cfRule type="cellIs" dxfId="529" priority="237" operator="between">
      <formula>226</formula>
      <formula>300</formula>
    </cfRule>
    <cfRule type="cellIs" dxfId="528" priority="238" operator="between">
      <formula>151</formula>
      <formula>225</formula>
    </cfRule>
    <cfRule type="cellIs" dxfId="527" priority="239" operator="between">
      <formula>76</formula>
      <formula>150</formula>
    </cfRule>
  </conditionalFormatting>
  <conditionalFormatting sqref="P31:P39">
    <cfRule type="cellIs" dxfId="526" priority="202" operator="between">
      <formula>226</formula>
      <formula>300</formula>
    </cfRule>
    <cfRule type="cellIs" dxfId="525" priority="201" operator="between">
      <formula>301</formula>
      <formula>2000</formula>
    </cfRule>
    <cfRule type="cellIs" dxfId="524" priority="204" operator="between">
      <formula>76</formula>
      <formula>150</formula>
    </cfRule>
    <cfRule type="cellIs" dxfId="523" priority="205" operator="between">
      <formula>1</formula>
      <formula>75</formula>
    </cfRule>
    <cfRule type="cellIs" dxfId="522" priority="203" operator="between">
      <formula>151</formula>
      <formula>225</formula>
    </cfRule>
  </conditionalFormatting>
  <conditionalFormatting sqref="P43:P51">
    <cfRule type="cellIs" dxfId="521" priority="231" operator="between">
      <formula>301</formula>
      <formula>2000</formula>
    </cfRule>
    <cfRule type="cellIs" dxfId="520" priority="232" operator="between">
      <formula>226</formula>
      <formula>300</formula>
    </cfRule>
    <cfRule type="cellIs" dxfId="519" priority="233" operator="between">
      <formula>151</formula>
      <formula>225</formula>
    </cfRule>
    <cfRule type="cellIs" dxfId="518" priority="234" operator="between">
      <formula>76</formula>
      <formula>150</formula>
    </cfRule>
    <cfRule type="cellIs" dxfId="517" priority="235" operator="between">
      <formula>1</formula>
      <formula>75</formula>
    </cfRule>
  </conditionalFormatting>
  <conditionalFormatting sqref="S31:S37">
    <cfRule type="cellIs" dxfId="516" priority="200" operator="between">
      <formula>1</formula>
      <formula>75</formula>
    </cfRule>
    <cfRule type="cellIs" dxfId="515" priority="196" operator="between">
      <formula>301</formula>
      <formula>2000</formula>
    </cfRule>
    <cfRule type="cellIs" dxfId="514" priority="198" operator="between">
      <formula>151</formula>
      <formula>225</formula>
    </cfRule>
    <cfRule type="cellIs" dxfId="513" priority="197" operator="between">
      <formula>226</formula>
      <formula>300</formula>
    </cfRule>
    <cfRule type="cellIs" dxfId="512" priority="199" operator="between">
      <formula>76</formula>
      <formula>150</formula>
    </cfRule>
  </conditionalFormatting>
  <conditionalFormatting sqref="S45:S51">
    <cfRule type="cellIs" dxfId="511" priority="190" operator="between">
      <formula>1</formula>
      <formula>75</formula>
    </cfRule>
    <cfRule type="cellIs" dxfId="510" priority="189" operator="between">
      <formula>76</formula>
      <formula>150</formula>
    </cfRule>
    <cfRule type="cellIs" dxfId="509" priority="188" operator="between">
      <formula>151</formula>
      <formula>225</formula>
    </cfRule>
    <cfRule type="cellIs" dxfId="508" priority="187" operator="between">
      <formula>226</formula>
      <formula>300</formula>
    </cfRule>
    <cfRule type="cellIs" dxfId="507" priority="186" operator="between">
      <formula>301</formula>
      <formula>2000</formula>
    </cfRule>
  </conditionalFormatting>
  <conditionalFormatting sqref="V31:V37">
    <cfRule type="cellIs" dxfId="506" priority="192" operator="between">
      <formula>226</formula>
      <formula>300</formula>
    </cfRule>
    <cfRule type="cellIs" dxfId="505" priority="191" operator="between">
      <formula>301</formula>
      <formula>2000</formula>
    </cfRule>
    <cfRule type="cellIs" dxfId="504" priority="195" operator="between">
      <formula>1</formula>
      <formula>75</formula>
    </cfRule>
    <cfRule type="cellIs" dxfId="503" priority="193" operator="between">
      <formula>151</formula>
      <formula>225</formula>
    </cfRule>
    <cfRule type="cellIs" dxfId="502" priority="194" operator="between">
      <formula>76</formula>
      <formula>150</formula>
    </cfRule>
  </conditionalFormatting>
  <conditionalFormatting sqref="V45:V51">
    <cfRule type="cellIs" dxfId="501" priority="185" operator="between">
      <formula>1</formula>
      <formula>75</formula>
    </cfRule>
    <cfRule type="cellIs" dxfId="500" priority="184" operator="between">
      <formula>76</formula>
      <formula>150</formula>
    </cfRule>
    <cfRule type="cellIs" dxfId="499" priority="183" operator="between">
      <formula>151</formula>
      <formula>225</formula>
    </cfRule>
    <cfRule type="cellIs" dxfId="498" priority="181" operator="between">
      <formula>301</formula>
      <formula>2000</formula>
    </cfRule>
    <cfRule type="cellIs" dxfId="497" priority="182" operator="between">
      <formula>226</formula>
      <formula>300</formula>
    </cfRule>
  </conditionalFormatting>
  <conditionalFormatting sqref="V6:AZ6">
    <cfRule type="cellIs" dxfId="496" priority="267" operator="between">
      <formula>226</formula>
      <formula>300</formula>
    </cfRule>
    <cfRule type="cellIs" dxfId="495" priority="266" operator="between">
      <formula>301</formula>
      <formula>2000</formula>
    </cfRule>
    <cfRule type="cellIs" dxfId="494" priority="268" operator="between">
      <formula>151</formula>
      <formula>225</formula>
    </cfRule>
    <cfRule type="cellIs" dxfId="493" priority="269" operator="between">
      <formula>76</formula>
      <formula>150</formula>
    </cfRule>
    <cfRule type="cellIs" dxfId="492" priority="270" operator="between">
      <formula>1</formula>
      <formula>75</formula>
    </cfRule>
  </conditionalFormatting>
  <conditionalFormatting sqref="V9:AZ9">
    <cfRule type="cellIs" dxfId="491" priority="264" operator="between">
      <formula>76</formula>
      <formula>150</formula>
    </cfRule>
    <cfRule type="cellIs" dxfId="490" priority="263" operator="between">
      <formula>151</formula>
      <formula>225</formula>
    </cfRule>
    <cfRule type="cellIs" dxfId="489" priority="262" operator="between">
      <formula>226</formula>
      <formula>300</formula>
    </cfRule>
    <cfRule type="cellIs" dxfId="488" priority="261" operator="between">
      <formula>301</formula>
      <formula>2000</formula>
    </cfRule>
    <cfRule type="cellIs" dxfId="487" priority="265" operator="between">
      <formula>1</formula>
      <formula>75</formula>
    </cfRule>
  </conditionalFormatting>
  <conditionalFormatting sqref="V12:AZ12">
    <cfRule type="cellIs" dxfId="486" priority="260" operator="between">
      <formula>1</formula>
      <formula>75</formula>
    </cfRule>
    <cfRule type="cellIs" dxfId="485" priority="259" operator="between">
      <formula>76</formula>
      <formula>150</formula>
    </cfRule>
    <cfRule type="cellIs" dxfId="484" priority="258" operator="between">
      <formula>151</formula>
      <formula>225</formula>
    </cfRule>
    <cfRule type="cellIs" dxfId="483" priority="257" operator="between">
      <formula>226</formula>
      <formula>300</formula>
    </cfRule>
    <cfRule type="cellIs" dxfId="482" priority="256" operator="between">
      <formula>301</formula>
      <formula>2000</formula>
    </cfRule>
  </conditionalFormatting>
  <conditionalFormatting sqref="Y31:Y39">
    <cfRule type="cellIs" dxfId="481" priority="219" operator="between">
      <formula>76</formula>
      <formula>150</formula>
    </cfRule>
    <cfRule type="cellIs" dxfId="480" priority="216" operator="between">
      <formula>301</formula>
      <formula>2000</formula>
    </cfRule>
    <cfRule type="cellIs" dxfId="479" priority="220" operator="between">
      <formula>1</formula>
      <formula>75</formula>
    </cfRule>
    <cfRule type="cellIs" dxfId="478" priority="218" operator="between">
      <formula>151</formula>
      <formula>225</formula>
    </cfRule>
    <cfRule type="cellIs" dxfId="477" priority="217" operator="between">
      <formula>226</formula>
      <formula>300</formula>
    </cfRule>
  </conditionalFormatting>
  <conditionalFormatting sqref="Y43:Y51">
    <cfRule type="cellIs" dxfId="476" priority="229" operator="between">
      <formula>76</formula>
      <formula>150</formula>
    </cfRule>
    <cfRule type="cellIs" dxfId="475" priority="230" operator="between">
      <formula>1</formula>
      <formula>75</formula>
    </cfRule>
    <cfRule type="cellIs" dxfId="474" priority="226" operator="between">
      <formula>301</formula>
      <formula>2000</formula>
    </cfRule>
    <cfRule type="cellIs" dxfId="473" priority="227" operator="between">
      <formula>226</formula>
      <formula>300</formula>
    </cfRule>
    <cfRule type="cellIs" dxfId="472" priority="228" operator="between">
      <formula>151</formula>
      <formula>225</formula>
    </cfRule>
  </conditionalFormatting>
  <conditionalFormatting sqref="AB31:AB39">
    <cfRule type="cellIs" dxfId="471" priority="215" operator="between">
      <formula>1</formula>
      <formula>75</formula>
    </cfRule>
    <cfRule type="cellIs" dxfId="470" priority="212" operator="between">
      <formula>226</formula>
      <formula>300</formula>
    </cfRule>
    <cfRule type="cellIs" dxfId="469" priority="211" operator="between">
      <formula>301</formula>
      <formula>2000</formula>
    </cfRule>
    <cfRule type="cellIs" dxfId="468" priority="214" operator="between">
      <formula>76</formula>
      <formula>150</formula>
    </cfRule>
    <cfRule type="cellIs" dxfId="467" priority="213" operator="between">
      <formula>151</formula>
      <formula>225</formula>
    </cfRule>
  </conditionalFormatting>
  <conditionalFormatting sqref="AB43:AB51">
    <cfRule type="cellIs" dxfId="466" priority="221" operator="between">
      <formula>301</formula>
      <formula>2000</formula>
    </cfRule>
    <cfRule type="cellIs" dxfId="465" priority="225" operator="between">
      <formula>1</formula>
      <formula>75</formula>
    </cfRule>
    <cfRule type="cellIs" dxfId="464" priority="224" operator="between">
      <formula>76</formula>
      <formula>150</formula>
    </cfRule>
    <cfRule type="cellIs" dxfId="463" priority="223" operator="between">
      <formula>151</formula>
      <formula>225</formula>
    </cfRule>
    <cfRule type="cellIs" dxfId="462" priority="222" operator="between">
      <formula>226</formula>
      <formula>300</formula>
    </cfRule>
  </conditionalFormatting>
  <conditionalFormatting sqref="AC33:AF33">
    <cfRule type="cellIs" dxfId="461" priority="300" operator="between">
      <formula>1</formula>
      <formula>75</formula>
    </cfRule>
    <cfRule type="cellIs" dxfId="460" priority="299" operator="between">
      <formula>76</formula>
      <formula>150</formula>
    </cfRule>
    <cfRule type="cellIs" dxfId="459" priority="298" operator="between">
      <formula>151</formula>
      <formula>225</formula>
    </cfRule>
    <cfRule type="cellIs" dxfId="458" priority="297" operator="between">
      <formula>226</formula>
      <formula>300</formula>
    </cfRule>
    <cfRule type="cellIs" dxfId="457" priority="296" operator="between">
      <formula>301</formula>
      <formula>2000</formula>
    </cfRule>
  </conditionalFormatting>
  <conditionalFormatting sqref="AC36:AF36">
    <cfRule type="cellIs" dxfId="456" priority="292" operator="between">
      <formula>226</formula>
      <formula>300</formula>
    </cfRule>
    <cfRule type="cellIs" dxfId="455" priority="291" operator="between">
      <formula>301</formula>
      <formula>2000</formula>
    </cfRule>
    <cfRule type="cellIs" dxfId="454" priority="295" operator="between">
      <formula>1</formula>
      <formula>75</formula>
    </cfRule>
    <cfRule type="cellIs" dxfId="453" priority="294" operator="between">
      <formula>76</formula>
      <formula>150</formula>
    </cfRule>
    <cfRule type="cellIs" dxfId="452" priority="293" operator="between">
      <formula>151</formula>
      <formula>225</formula>
    </cfRule>
  </conditionalFormatting>
  <conditionalFormatting sqref="AC39:AF39">
    <cfRule type="cellIs" dxfId="451" priority="289" operator="between">
      <formula>76</formula>
      <formula>150</formula>
    </cfRule>
    <cfRule type="cellIs" dxfId="450" priority="290" operator="between">
      <formula>1</formula>
      <formula>75</formula>
    </cfRule>
    <cfRule type="cellIs" dxfId="449" priority="287" operator="between">
      <formula>226</formula>
      <formula>300</formula>
    </cfRule>
    <cfRule type="cellIs" dxfId="448" priority="286" operator="between">
      <formula>301</formula>
      <formula>2000</formula>
    </cfRule>
    <cfRule type="cellIs" dxfId="447" priority="288" operator="between">
      <formula>151</formula>
      <formula>225</formula>
    </cfRule>
  </conditionalFormatting>
  <conditionalFormatting sqref="AH33:BL33">
    <cfRule type="cellIs" dxfId="446" priority="252" operator="between">
      <formula>226</formula>
      <formula>300</formula>
    </cfRule>
    <cfRule type="cellIs" dxfId="445" priority="253" operator="between">
      <formula>151</formula>
      <formula>225</formula>
    </cfRule>
    <cfRule type="cellIs" dxfId="444" priority="255" operator="between">
      <formula>1</formula>
      <formula>75</formula>
    </cfRule>
    <cfRule type="cellIs" dxfId="443" priority="254" operator="between">
      <formula>76</formula>
      <formula>150</formula>
    </cfRule>
    <cfRule type="cellIs" dxfId="442" priority="251" operator="between">
      <formula>301</formula>
      <formula>2000</formula>
    </cfRule>
  </conditionalFormatting>
  <conditionalFormatting sqref="AH36:BL36">
    <cfRule type="cellIs" dxfId="441" priority="249" operator="between">
      <formula>76</formula>
      <formula>150</formula>
    </cfRule>
    <cfRule type="cellIs" dxfId="440" priority="250" operator="between">
      <formula>1</formula>
      <formula>75</formula>
    </cfRule>
    <cfRule type="cellIs" dxfId="439" priority="248" operator="between">
      <formula>151</formula>
      <formula>225</formula>
    </cfRule>
    <cfRule type="cellIs" dxfId="438" priority="247" operator="between">
      <formula>226</formula>
      <formula>300</formula>
    </cfRule>
    <cfRule type="cellIs" dxfId="437" priority="246" operator="between">
      <formula>301</formula>
      <formula>2000</formula>
    </cfRule>
  </conditionalFormatting>
  <conditionalFormatting sqref="AH39:BL39">
    <cfRule type="cellIs" dxfId="436" priority="245" operator="between">
      <formula>1</formula>
      <formula>75</formula>
    </cfRule>
    <cfRule type="cellIs" dxfId="435" priority="244" operator="between">
      <formula>76</formula>
      <formula>150</formula>
    </cfRule>
    <cfRule type="cellIs" dxfId="434" priority="243" operator="between">
      <formula>151</formula>
      <formula>225</formula>
    </cfRule>
    <cfRule type="cellIs" dxfId="433" priority="242" operator="between">
      <formula>226</formula>
      <formula>300</formula>
    </cfRule>
    <cfRule type="cellIs" dxfId="432" priority="241" operator="between">
      <formula>301</formula>
      <formula>2000</formula>
    </cfRule>
  </conditionalFormatting>
  <conditionalFormatting sqref="BC4:BC12">
    <cfRule type="cellIs" dxfId="431" priority="100" operator="between">
      <formula>1</formula>
      <formula>75</formula>
    </cfRule>
    <cfRule type="cellIs" dxfId="430" priority="99" operator="between">
      <formula>76</formula>
      <formula>150</formula>
    </cfRule>
    <cfRule type="cellIs" dxfId="429" priority="98" operator="between">
      <formula>151</formula>
      <formula>225</formula>
    </cfRule>
    <cfRule type="cellIs" dxfId="428" priority="97" operator="between">
      <formula>226</formula>
      <formula>300</formula>
    </cfRule>
    <cfRule type="cellIs" dxfId="427" priority="96" operator="between">
      <formula>301</formula>
      <formula>2000</formula>
    </cfRule>
  </conditionalFormatting>
  <conditionalFormatting sqref="BC16:BC24">
    <cfRule type="cellIs" dxfId="426" priority="104" operator="between">
      <formula>76</formula>
      <formula>150</formula>
    </cfRule>
    <cfRule type="cellIs" dxfId="425" priority="105" operator="between">
      <formula>1</formula>
      <formula>75</formula>
    </cfRule>
    <cfRule type="cellIs" dxfId="424" priority="101" operator="between">
      <formula>301</formula>
      <formula>2000</formula>
    </cfRule>
    <cfRule type="cellIs" dxfId="423" priority="102" operator="between">
      <formula>226</formula>
      <formula>300</formula>
    </cfRule>
    <cfRule type="cellIs" dxfId="422" priority="103" operator="between">
      <formula>151</formula>
      <formula>225</formula>
    </cfRule>
  </conditionalFormatting>
  <conditionalFormatting sqref="BF4:BF12">
    <cfRule type="cellIs" dxfId="421" priority="91" operator="between">
      <formula>301</formula>
      <formula>2000</formula>
    </cfRule>
    <cfRule type="cellIs" dxfId="420" priority="93" operator="between">
      <formula>151</formula>
      <formula>225</formula>
    </cfRule>
    <cfRule type="cellIs" dxfId="419" priority="94" operator="between">
      <formula>76</formula>
      <formula>150</formula>
    </cfRule>
    <cfRule type="cellIs" dxfId="418" priority="95" operator="between">
      <formula>1</formula>
      <formula>75</formula>
    </cfRule>
    <cfRule type="cellIs" dxfId="417" priority="92" operator="between">
      <formula>226</formula>
      <formula>300</formula>
    </cfRule>
  </conditionalFormatting>
  <conditionalFormatting sqref="BF16:BF24">
    <cfRule type="cellIs" dxfId="416" priority="110" operator="between">
      <formula>1</formula>
      <formula>75</formula>
    </cfRule>
    <cfRule type="cellIs" dxfId="415" priority="107" operator="between">
      <formula>226</formula>
      <formula>300</formula>
    </cfRule>
    <cfRule type="cellIs" dxfId="414" priority="108" operator="between">
      <formula>151</formula>
      <formula>225</formula>
    </cfRule>
    <cfRule type="cellIs" dxfId="413" priority="109" operator="between">
      <formula>76</formula>
      <formula>150</formula>
    </cfRule>
    <cfRule type="cellIs" dxfId="412" priority="106" operator="between">
      <formula>301</formula>
      <formula>2000</formula>
    </cfRule>
  </conditionalFormatting>
  <conditionalFormatting sqref="BI4:BI10">
    <cfRule type="cellIs" dxfId="411" priority="20" operator="between">
      <formula>1</formula>
      <formula>75</formula>
    </cfRule>
    <cfRule type="cellIs" dxfId="410" priority="19" operator="between">
      <formula>76</formula>
      <formula>150</formula>
    </cfRule>
    <cfRule type="cellIs" dxfId="409" priority="18" operator="between">
      <formula>151</formula>
      <formula>225</formula>
    </cfRule>
    <cfRule type="cellIs" dxfId="408" priority="17" operator="between">
      <formula>226</formula>
      <formula>300</formula>
    </cfRule>
    <cfRule type="cellIs" dxfId="407" priority="16" operator="between">
      <formula>301</formula>
      <formula>2000</formula>
    </cfRule>
  </conditionalFormatting>
  <conditionalFormatting sqref="BI18:BI24">
    <cfRule type="cellIs" dxfId="406" priority="6" operator="between">
      <formula>301</formula>
      <formula>2000</formula>
    </cfRule>
    <cfRule type="cellIs" dxfId="405" priority="10" operator="between">
      <formula>1</formula>
      <formula>75</formula>
    </cfRule>
    <cfRule type="cellIs" dxfId="404" priority="9" operator="between">
      <formula>76</formula>
      <formula>150</formula>
    </cfRule>
    <cfRule type="cellIs" dxfId="403" priority="8" operator="between">
      <formula>151</formula>
      <formula>225</formula>
    </cfRule>
    <cfRule type="cellIs" dxfId="402" priority="7" operator="between">
      <formula>226</formula>
      <formula>300</formula>
    </cfRule>
  </conditionalFormatting>
  <conditionalFormatting sqref="BL4:BL10">
    <cfRule type="cellIs" dxfId="401" priority="14" operator="between">
      <formula>76</formula>
      <formula>150</formula>
    </cfRule>
    <cfRule type="cellIs" dxfId="400" priority="11" operator="between">
      <formula>301</formula>
      <formula>2000</formula>
    </cfRule>
    <cfRule type="cellIs" dxfId="399" priority="15" operator="between">
      <formula>1</formula>
      <formula>75</formula>
    </cfRule>
    <cfRule type="cellIs" dxfId="398" priority="13" operator="between">
      <formula>151</formula>
      <formula>225</formula>
    </cfRule>
    <cfRule type="cellIs" dxfId="397" priority="12" operator="between">
      <formula>226</formula>
      <formula>300</formula>
    </cfRule>
  </conditionalFormatting>
  <conditionalFormatting sqref="BL18:BL24">
    <cfRule type="cellIs" dxfId="396" priority="2" operator="between">
      <formula>226</formula>
      <formula>300</formula>
    </cfRule>
    <cfRule type="cellIs" dxfId="395" priority="1" operator="between">
      <formula>301</formula>
      <formula>2000</formula>
    </cfRule>
    <cfRule type="cellIs" dxfId="394" priority="5" operator="between">
      <formula>1</formula>
      <formula>75</formula>
    </cfRule>
    <cfRule type="cellIs" dxfId="393" priority="4" operator="between">
      <formula>76</formula>
      <formula>150</formula>
    </cfRule>
    <cfRule type="cellIs" dxfId="392" priority="3" operator="between">
      <formula>151</formula>
      <formula>225</formula>
    </cfRule>
  </conditionalFormatting>
  <conditionalFormatting sqref="BO4:BO12">
    <cfRule type="cellIs" dxfId="391" priority="87" operator="between">
      <formula>226</formula>
      <formula>300</formula>
    </cfRule>
    <cfRule type="cellIs" dxfId="390" priority="86" operator="between">
      <formula>301</formula>
      <formula>2000</formula>
    </cfRule>
    <cfRule type="cellIs" dxfId="389" priority="90" operator="between">
      <formula>1</formula>
      <formula>75</formula>
    </cfRule>
    <cfRule type="cellIs" dxfId="388" priority="89" operator="between">
      <formula>76</formula>
      <formula>150</formula>
    </cfRule>
    <cfRule type="cellIs" dxfId="387" priority="88" operator="between">
      <formula>151</formula>
      <formula>225</formula>
    </cfRule>
  </conditionalFormatting>
  <conditionalFormatting sqref="BO16:BO24">
    <cfRule type="cellIs" dxfId="386" priority="115" operator="between">
      <formula>1</formula>
      <formula>75</formula>
    </cfRule>
    <cfRule type="cellIs" dxfId="385" priority="114" operator="between">
      <formula>76</formula>
      <formula>150</formula>
    </cfRule>
    <cfRule type="cellIs" dxfId="384" priority="113" operator="between">
      <formula>151</formula>
      <formula>225</formula>
    </cfRule>
    <cfRule type="cellIs" dxfId="383" priority="112" operator="between">
      <formula>226</formula>
      <formula>300</formula>
    </cfRule>
    <cfRule type="cellIs" dxfId="382" priority="111" operator="between">
      <formula>301</formula>
      <formula>2000</formula>
    </cfRule>
  </conditionalFormatting>
  <conditionalFormatting sqref="BO31:BO39">
    <cfRule type="cellIs" dxfId="381" priority="132" operator="between">
      <formula>226</formula>
      <formula>300</formula>
    </cfRule>
    <cfRule type="cellIs" dxfId="380" priority="133" operator="between">
      <formula>151</formula>
      <formula>225</formula>
    </cfRule>
    <cfRule type="cellIs" dxfId="379" priority="134" operator="between">
      <formula>76</formula>
      <formula>150</formula>
    </cfRule>
    <cfRule type="cellIs" dxfId="378" priority="135" operator="between">
      <formula>1</formula>
      <formula>75</formula>
    </cfRule>
    <cfRule type="cellIs" dxfId="377" priority="131" operator="between">
      <formula>301</formula>
      <formula>2000</formula>
    </cfRule>
  </conditionalFormatting>
  <conditionalFormatting sqref="BO43:BO51">
    <cfRule type="cellIs" dxfId="376" priority="126" operator="between">
      <formula>301</formula>
      <formula>2000</formula>
    </cfRule>
    <cfRule type="cellIs" dxfId="375" priority="130" operator="between">
      <formula>1</formula>
      <formula>75</formula>
    </cfRule>
    <cfRule type="cellIs" dxfId="374" priority="129" operator="between">
      <formula>76</formula>
      <formula>150</formula>
    </cfRule>
    <cfRule type="cellIs" dxfId="373" priority="128" operator="between">
      <formula>151</formula>
      <formula>225</formula>
    </cfRule>
    <cfRule type="cellIs" dxfId="372" priority="127" operator="between">
      <formula>226</formula>
      <formula>300</formula>
    </cfRule>
  </conditionalFormatting>
  <conditionalFormatting sqref="BR4:BR12">
    <cfRule type="cellIs" dxfId="371" priority="85" operator="between">
      <formula>1</formula>
      <formula>75</formula>
    </cfRule>
    <cfRule type="cellIs" dxfId="370" priority="84" operator="between">
      <formula>76</formula>
      <formula>150</formula>
    </cfRule>
    <cfRule type="cellIs" dxfId="369" priority="83" operator="between">
      <formula>151</formula>
      <formula>225</formula>
    </cfRule>
    <cfRule type="cellIs" dxfId="368" priority="82" operator="between">
      <formula>226</formula>
      <formula>300</formula>
    </cfRule>
    <cfRule type="cellIs" dxfId="367" priority="81" operator="between">
      <formula>301</formula>
      <formula>2000</formula>
    </cfRule>
  </conditionalFormatting>
  <conditionalFormatting sqref="BR16:BR24">
    <cfRule type="cellIs" dxfId="366" priority="117" operator="between">
      <formula>226</formula>
      <formula>300</formula>
    </cfRule>
    <cfRule type="cellIs" dxfId="365" priority="116" operator="between">
      <formula>301</formula>
      <formula>2000</formula>
    </cfRule>
    <cfRule type="cellIs" dxfId="364" priority="118" operator="between">
      <formula>151</formula>
      <formula>225</formula>
    </cfRule>
    <cfRule type="cellIs" dxfId="363" priority="119" operator="between">
      <formula>76</formula>
      <formula>150</formula>
    </cfRule>
    <cfRule type="cellIs" dxfId="362" priority="120" operator="between">
      <formula>1</formula>
      <formula>75</formula>
    </cfRule>
  </conditionalFormatting>
  <conditionalFormatting sqref="BR31:BR39">
    <cfRule type="cellIs" dxfId="361" priority="137" operator="between">
      <formula>226</formula>
      <formula>300</formula>
    </cfRule>
    <cfRule type="cellIs" dxfId="360" priority="138" operator="between">
      <formula>151</formula>
      <formula>225</formula>
    </cfRule>
    <cfRule type="cellIs" dxfId="359" priority="139" operator="between">
      <formula>76</formula>
      <formula>150</formula>
    </cfRule>
    <cfRule type="cellIs" dxfId="358" priority="140" operator="between">
      <formula>1</formula>
      <formula>75</formula>
    </cfRule>
    <cfRule type="cellIs" dxfId="357" priority="136" operator="between">
      <formula>301</formula>
      <formula>2000</formula>
    </cfRule>
  </conditionalFormatting>
  <conditionalFormatting sqref="BR43:BR51">
    <cfRule type="cellIs" dxfId="356" priority="121" operator="between">
      <formula>301</formula>
      <formula>2000</formula>
    </cfRule>
    <cfRule type="cellIs" dxfId="355" priority="125" operator="between">
      <formula>1</formula>
      <formula>75</formula>
    </cfRule>
    <cfRule type="cellIs" dxfId="354" priority="124" operator="between">
      <formula>76</formula>
      <formula>150</formula>
    </cfRule>
    <cfRule type="cellIs" dxfId="353" priority="123" operator="between">
      <formula>151</formula>
      <formula>225</formula>
    </cfRule>
    <cfRule type="cellIs" dxfId="352" priority="122" operator="between">
      <formula>226</formula>
      <formula>300</formula>
    </cfRule>
  </conditionalFormatting>
  <conditionalFormatting sqref="BU31:BU37">
    <cfRule type="cellIs" dxfId="351" priority="179" operator="between">
      <formula>76</formula>
      <formula>150</formula>
    </cfRule>
    <cfRule type="cellIs" dxfId="350" priority="180" operator="between">
      <formula>1</formula>
      <formula>75</formula>
    </cfRule>
    <cfRule type="cellIs" dxfId="349" priority="176" operator="between">
      <formula>301</formula>
      <formula>2000</formula>
    </cfRule>
    <cfRule type="cellIs" dxfId="348" priority="177" operator="between">
      <formula>226</formula>
      <formula>300</formula>
    </cfRule>
    <cfRule type="cellIs" dxfId="347" priority="178" operator="between">
      <formula>151</formula>
      <formula>225</formula>
    </cfRule>
  </conditionalFormatting>
  <conditionalFormatting sqref="BU45:BU51">
    <cfRule type="cellIs" dxfId="346" priority="169" operator="between">
      <formula>76</formula>
      <formula>150</formula>
    </cfRule>
    <cfRule type="cellIs" dxfId="345" priority="168" operator="between">
      <formula>151</formula>
      <formula>225</formula>
    </cfRule>
    <cfRule type="cellIs" dxfId="344" priority="167" operator="between">
      <formula>226</formula>
      <formula>300</formula>
    </cfRule>
    <cfRule type="cellIs" dxfId="343" priority="166" operator="between">
      <formula>301</formula>
      <formula>2000</formula>
    </cfRule>
    <cfRule type="cellIs" dxfId="342" priority="170" operator="between">
      <formula>1</formula>
      <formula>75</formula>
    </cfRule>
  </conditionalFormatting>
  <conditionalFormatting sqref="BX31:BX37">
    <cfRule type="cellIs" dxfId="341" priority="171" operator="between">
      <formula>301</formula>
      <formula>2000</formula>
    </cfRule>
    <cfRule type="cellIs" dxfId="340" priority="172" operator="between">
      <formula>226</formula>
      <formula>300</formula>
    </cfRule>
    <cfRule type="cellIs" dxfId="339" priority="173" operator="between">
      <formula>151</formula>
      <formula>225</formula>
    </cfRule>
    <cfRule type="cellIs" dxfId="338" priority="174" operator="between">
      <formula>76</formula>
      <formula>150</formula>
    </cfRule>
    <cfRule type="cellIs" dxfId="337" priority="175" operator="between">
      <formula>1</formula>
      <formula>75</formula>
    </cfRule>
  </conditionalFormatting>
  <conditionalFormatting sqref="BX45:BX51">
    <cfRule type="cellIs" dxfId="336" priority="164" operator="between">
      <formula>76</formula>
      <formula>150</formula>
    </cfRule>
    <cfRule type="cellIs" dxfId="335" priority="163" operator="between">
      <formula>151</formula>
      <formula>225</formula>
    </cfRule>
    <cfRule type="cellIs" dxfId="334" priority="162" operator="between">
      <formula>226</formula>
      <formula>300</formula>
    </cfRule>
    <cfRule type="cellIs" dxfId="333" priority="161" operator="between">
      <formula>301</formula>
      <formula>2000</formula>
    </cfRule>
    <cfRule type="cellIs" dxfId="332" priority="165" operator="between">
      <formula>1</formula>
      <formula>75</formula>
    </cfRule>
  </conditionalFormatting>
  <conditionalFormatting sqref="BY6:DB6 BY9:DB9 BY12:DB12 K16:AZ16 BV16:DB16 K19:AZ19 BV19:DB19 K22:AZ22 BV22:DB22 CH33:DR33 CH36:DR36 CH39:DR39 AC43:BL43 CE43:DT43 AC46:BL46 CE46:DT46 AC49:BL49 CE49:DT49">
    <cfRule type="cellIs" dxfId="331" priority="306" operator="between">
      <formula>1</formula>
      <formula>75</formula>
    </cfRule>
    <cfRule type="cellIs" dxfId="330" priority="304" operator="between">
      <formula>151</formula>
      <formula>225</formula>
    </cfRule>
    <cfRule type="cellIs" dxfId="329" priority="305" operator="between">
      <formula>76</formula>
      <formula>150</formula>
    </cfRule>
    <cfRule type="cellIs" dxfId="328" priority="303" operator="between">
      <formula>226</formula>
      <formula>300</formula>
    </cfRule>
    <cfRule type="cellIs" dxfId="327" priority="302" operator="between">
      <formula>301</formula>
      <formula>2000</formula>
    </cfRule>
    <cfRule type="cellIs" dxfId="326" priority="301" operator="equal">
      <formula>0</formula>
    </cfRule>
  </conditionalFormatting>
  <conditionalFormatting sqref="CA31:CA39">
    <cfRule type="cellIs" dxfId="325" priority="145" operator="between">
      <formula>1</formula>
      <formula>75</formula>
    </cfRule>
    <cfRule type="cellIs" dxfId="324" priority="144" operator="between">
      <formula>76</formula>
      <formula>150</formula>
    </cfRule>
    <cfRule type="cellIs" dxfId="323" priority="143" operator="between">
      <formula>151</formula>
      <formula>225</formula>
    </cfRule>
    <cfRule type="cellIs" dxfId="322" priority="142" operator="between">
      <formula>226</formula>
      <formula>300</formula>
    </cfRule>
    <cfRule type="cellIs" dxfId="321" priority="141" operator="between">
      <formula>301</formula>
      <formula>2000</formula>
    </cfRule>
  </conditionalFormatting>
  <conditionalFormatting sqref="CA43:CA51">
    <cfRule type="cellIs" dxfId="320" priority="160" operator="between">
      <formula>1</formula>
      <formula>75</formula>
    </cfRule>
    <cfRule type="cellIs" dxfId="319" priority="159" operator="between">
      <formula>76</formula>
      <formula>150</formula>
    </cfRule>
    <cfRule type="cellIs" dxfId="318" priority="158" operator="between">
      <formula>151</formula>
      <formula>225</formula>
    </cfRule>
    <cfRule type="cellIs" dxfId="317" priority="157" operator="between">
      <formula>226</formula>
      <formula>300</formula>
    </cfRule>
    <cfRule type="cellIs" dxfId="316" priority="156" operator="between">
      <formula>301</formula>
      <formula>2000</formula>
    </cfRule>
  </conditionalFormatting>
  <conditionalFormatting sqref="CD31:CD39">
    <cfRule type="cellIs" dxfId="315" priority="150" operator="between">
      <formula>1</formula>
      <formula>75</formula>
    </cfRule>
    <cfRule type="cellIs" dxfId="314" priority="149" operator="between">
      <formula>76</formula>
      <formula>150</formula>
    </cfRule>
    <cfRule type="cellIs" dxfId="313" priority="148" operator="between">
      <formula>151</formula>
      <formula>225</formula>
    </cfRule>
    <cfRule type="cellIs" dxfId="312" priority="147" operator="between">
      <formula>226</formula>
      <formula>300</formula>
    </cfRule>
    <cfRule type="cellIs" dxfId="311" priority="146" operator="between">
      <formula>301</formula>
      <formula>2000</formula>
    </cfRule>
  </conditionalFormatting>
  <conditionalFormatting sqref="CD43:CD51">
    <cfRule type="cellIs" dxfId="310" priority="154" operator="between">
      <formula>76</formula>
      <formula>150</formula>
    </cfRule>
    <cfRule type="cellIs" dxfId="309" priority="153" operator="between">
      <formula>151</formula>
      <formula>225</formula>
    </cfRule>
    <cfRule type="cellIs" dxfId="308" priority="155" operator="between">
      <formula>1</formula>
      <formula>75</formula>
    </cfRule>
    <cfRule type="cellIs" dxfId="307" priority="152" operator="between">
      <formula>226</formula>
      <formula>300</formula>
    </cfRule>
    <cfRule type="cellIs" dxfId="306" priority="151" operator="between">
      <formula>301</formula>
      <formula>2000</formula>
    </cfRule>
  </conditionalFormatting>
  <conditionalFormatting sqref="DE4:DE12">
    <cfRule type="cellIs" dxfId="305" priority="79" operator="between">
      <formula>76</formula>
      <formula>150</formula>
    </cfRule>
    <cfRule type="cellIs" dxfId="304" priority="77" operator="between">
      <formula>226</formula>
      <formula>300</formula>
    </cfRule>
    <cfRule type="cellIs" dxfId="303" priority="76" operator="between">
      <formula>301</formula>
      <formula>2000</formula>
    </cfRule>
    <cfRule type="cellIs" dxfId="302" priority="80" operator="between">
      <formula>1</formula>
      <formula>75</formula>
    </cfRule>
    <cfRule type="cellIs" dxfId="301" priority="78" operator="between">
      <formula>151</formula>
      <formula>225</formula>
    </cfRule>
  </conditionalFormatting>
  <conditionalFormatting sqref="DE16:DE24">
    <cfRule type="cellIs" dxfId="300" priority="51" operator="between">
      <formula>301</formula>
      <formula>2000</formula>
    </cfRule>
    <cfRule type="cellIs" dxfId="299" priority="52" operator="between">
      <formula>226</formula>
      <formula>300</formula>
    </cfRule>
    <cfRule type="cellIs" dxfId="298" priority="53" operator="between">
      <formula>151</formula>
      <formula>225</formula>
    </cfRule>
    <cfRule type="cellIs" dxfId="297" priority="54" operator="between">
      <formula>76</formula>
      <formula>150</formula>
    </cfRule>
    <cfRule type="cellIs" dxfId="296" priority="55" operator="between">
      <formula>1</formula>
      <formula>75</formula>
    </cfRule>
  </conditionalFormatting>
  <conditionalFormatting sqref="DH4:DH12">
    <cfRule type="cellIs" dxfId="295" priority="75" operator="between">
      <formula>1</formula>
      <formula>75</formula>
    </cfRule>
    <cfRule type="cellIs" dxfId="294" priority="74" operator="between">
      <formula>76</formula>
      <formula>150</formula>
    </cfRule>
    <cfRule type="cellIs" dxfId="293" priority="73" operator="between">
      <formula>151</formula>
      <formula>225</formula>
    </cfRule>
    <cfRule type="cellIs" dxfId="292" priority="72" operator="between">
      <formula>226</formula>
      <formula>300</formula>
    </cfRule>
    <cfRule type="cellIs" dxfId="291" priority="71" operator="between">
      <formula>301</formula>
      <formula>2000</formula>
    </cfRule>
  </conditionalFormatting>
  <conditionalFormatting sqref="DH16:DH24">
    <cfRule type="cellIs" dxfId="290" priority="46" operator="between">
      <formula>301</formula>
      <formula>2000</formula>
    </cfRule>
    <cfRule type="cellIs" dxfId="289" priority="50" operator="between">
      <formula>1</formula>
      <formula>75</formula>
    </cfRule>
    <cfRule type="cellIs" dxfId="288" priority="49" operator="between">
      <formula>76</formula>
      <formula>150</formula>
    </cfRule>
    <cfRule type="cellIs" dxfId="287" priority="48" operator="between">
      <formula>151</formula>
      <formula>225</formula>
    </cfRule>
    <cfRule type="cellIs" dxfId="286" priority="47" operator="between">
      <formula>226</formula>
      <formula>300</formula>
    </cfRule>
  </conditionalFormatting>
  <conditionalFormatting sqref="DK4:DK10">
    <cfRule type="cellIs" dxfId="285" priority="35" operator="between">
      <formula>1</formula>
      <formula>75</formula>
    </cfRule>
    <cfRule type="cellIs" dxfId="284" priority="31" operator="between">
      <formula>301</formula>
      <formula>2000</formula>
    </cfRule>
    <cfRule type="cellIs" dxfId="283" priority="32" operator="between">
      <formula>226</formula>
      <formula>300</formula>
    </cfRule>
    <cfRule type="cellIs" dxfId="282" priority="33" operator="between">
      <formula>151</formula>
      <formula>225</formula>
    </cfRule>
    <cfRule type="cellIs" dxfId="281" priority="34" operator="between">
      <formula>76</formula>
      <formula>150</formula>
    </cfRule>
  </conditionalFormatting>
  <conditionalFormatting sqref="DK18:DK24">
    <cfRule type="cellIs" dxfId="280" priority="26" operator="between">
      <formula>301</formula>
      <formula>2000</formula>
    </cfRule>
    <cfRule type="cellIs" dxfId="279" priority="27" operator="between">
      <formula>226</formula>
      <formula>300</formula>
    </cfRule>
    <cfRule type="cellIs" dxfId="278" priority="28" operator="between">
      <formula>151</formula>
      <formula>225</formula>
    </cfRule>
    <cfRule type="cellIs" dxfId="277" priority="29" operator="between">
      <formula>76</formula>
      <formula>150</formula>
    </cfRule>
    <cfRule type="cellIs" dxfId="276" priority="30" operator="between">
      <formula>1</formula>
      <formula>75</formula>
    </cfRule>
  </conditionalFormatting>
  <conditionalFormatting sqref="DN4:DN12">
    <cfRule type="cellIs" dxfId="275" priority="57" operator="between">
      <formula>226</formula>
      <formula>300</formula>
    </cfRule>
    <cfRule type="cellIs" dxfId="274" priority="58" operator="between">
      <formula>151</formula>
      <formula>225</formula>
    </cfRule>
    <cfRule type="cellIs" dxfId="273" priority="60" operator="between">
      <formula>1</formula>
      <formula>75</formula>
    </cfRule>
    <cfRule type="cellIs" dxfId="272" priority="56" operator="between">
      <formula>301</formula>
      <formula>2000</formula>
    </cfRule>
    <cfRule type="cellIs" dxfId="271" priority="59" operator="between">
      <formula>76</formula>
      <formula>150</formula>
    </cfRule>
  </conditionalFormatting>
  <conditionalFormatting sqref="DN18:DN24">
    <cfRule type="cellIs" dxfId="270" priority="24" operator="between">
      <formula>76</formula>
      <formula>150</formula>
    </cfRule>
    <cfRule type="cellIs" dxfId="269" priority="21" operator="between">
      <formula>301</formula>
      <formula>2000</formula>
    </cfRule>
    <cfRule type="cellIs" dxfId="268" priority="22" operator="between">
      <formula>226</formula>
      <formula>300</formula>
    </cfRule>
    <cfRule type="cellIs" dxfId="267" priority="23" operator="between">
      <formula>151</formula>
      <formula>225</formula>
    </cfRule>
    <cfRule type="cellIs" dxfId="266" priority="25" operator="between">
      <formula>1</formula>
      <formula>75</formula>
    </cfRule>
  </conditionalFormatting>
  <conditionalFormatting sqref="DQ4:DQ12">
    <cfRule type="cellIs" dxfId="265" priority="70" operator="between">
      <formula>1</formula>
      <formula>75</formula>
    </cfRule>
    <cfRule type="cellIs" dxfId="264" priority="69" operator="between">
      <formula>76</formula>
      <formula>150</formula>
    </cfRule>
    <cfRule type="cellIs" dxfId="263" priority="68" operator="between">
      <formula>151</formula>
      <formula>225</formula>
    </cfRule>
    <cfRule type="cellIs" dxfId="262" priority="67" operator="between">
      <formula>226</formula>
      <formula>300</formula>
    </cfRule>
    <cfRule type="cellIs" dxfId="261" priority="66" operator="between">
      <formula>301</formula>
      <formula>2000</formula>
    </cfRule>
  </conditionalFormatting>
  <conditionalFormatting sqref="DQ16:DQ24">
    <cfRule type="cellIs" dxfId="260" priority="42" operator="between">
      <formula>226</formula>
      <formula>300</formula>
    </cfRule>
    <cfRule type="cellIs" dxfId="259" priority="41" operator="between">
      <formula>301</formula>
      <formula>2000</formula>
    </cfRule>
    <cfRule type="cellIs" dxfId="258" priority="44" operator="between">
      <formula>76</formula>
      <formula>150</formula>
    </cfRule>
    <cfRule type="cellIs" dxfId="257" priority="45" operator="between">
      <formula>1</formula>
      <formula>75</formula>
    </cfRule>
    <cfRule type="cellIs" dxfId="256" priority="43" operator="between">
      <formula>151</formula>
      <formula>225</formula>
    </cfRule>
  </conditionalFormatting>
  <conditionalFormatting sqref="DT4:DT12">
    <cfRule type="cellIs" dxfId="255" priority="61" operator="between">
      <formula>301</formula>
      <formula>2000</formula>
    </cfRule>
    <cfRule type="cellIs" dxfId="254" priority="62" operator="between">
      <formula>226</formula>
      <formula>300</formula>
    </cfRule>
    <cfRule type="cellIs" dxfId="253" priority="63" operator="between">
      <formula>151</formula>
      <formula>225</formula>
    </cfRule>
    <cfRule type="cellIs" dxfId="252" priority="64" operator="between">
      <formula>76</formula>
      <formula>150</formula>
    </cfRule>
    <cfRule type="cellIs" dxfId="251" priority="65" operator="between">
      <formula>1</formula>
      <formula>75</formula>
    </cfRule>
  </conditionalFormatting>
  <conditionalFormatting sqref="DT16:DT24">
    <cfRule type="cellIs" dxfId="250" priority="37" operator="between">
      <formula>226</formula>
      <formula>300</formula>
    </cfRule>
    <cfRule type="cellIs" dxfId="249" priority="38" operator="between">
      <formula>151</formula>
      <formula>225</formula>
    </cfRule>
    <cfRule type="cellIs" dxfId="248" priority="39" operator="between">
      <formula>76</formula>
      <formula>150</formula>
    </cfRule>
    <cfRule type="cellIs" dxfId="247" priority="40" operator="between">
      <formula>1</formula>
      <formula>75</formula>
    </cfRule>
    <cfRule type="cellIs" dxfId="246" priority="36" operator="between">
      <formula>301</formula>
      <formula>2000</formula>
    </cfRule>
  </conditionalFormatting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A900-DC07-4754-958A-7A38C7ADE406}">
  <dimension ref="B1:DW66"/>
  <sheetViews>
    <sheetView zoomScale="40" zoomScaleNormal="40" workbookViewId="0">
      <selection activeCell="AW33" sqref="AW33"/>
    </sheetView>
  </sheetViews>
  <sheetFormatPr defaultColWidth="8.85546875" defaultRowHeight="15"/>
  <cols>
    <col min="2" max="9" width="4.42578125" customWidth="1"/>
    <col min="10" max="10" width="7.42578125" customWidth="1"/>
    <col min="11" max="12" width="8.42578125" bestFit="1" customWidth="1"/>
    <col min="13" max="111" width="7.42578125" customWidth="1"/>
  </cols>
  <sheetData>
    <row r="1" spans="2:127" ht="45">
      <c r="T1" s="172" t="s">
        <v>0</v>
      </c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4"/>
      <c r="AR1" s="172" t="s">
        <v>1318</v>
      </c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4"/>
      <c r="BJ1" s="103"/>
      <c r="BK1" s="103"/>
      <c r="BV1" s="172" t="s">
        <v>0</v>
      </c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4"/>
    </row>
    <row r="2" spans="2:127" ht="45.95" thickBot="1">
      <c r="D2" s="64"/>
      <c r="E2" s="64"/>
      <c r="F2" s="64"/>
      <c r="G2" s="64"/>
      <c r="H2" s="64"/>
      <c r="T2" s="175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7"/>
      <c r="AR2" s="175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7"/>
      <c r="BJ2" s="103"/>
      <c r="BK2" s="103"/>
      <c r="BV2" s="175"/>
      <c r="BW2" s="176"/>
      <c r="BX2" s="176"/>
      <c r="BY2" s="176"/>
      <c r="BZ2" s="176"/>
      <c r="CA2" s="176"/>
      <c r="CB2" s="176"/>
      <c r="CC2" s="176"/>
      <c r="CD2" s="176"/>
      <c r="CE2" s="176"/>
      <c r="CF2" s="176"/>
      <c r="CG2" s="176"/>
      <c r="CH2" s="176"/>
      <c r="CI2" s="176"/>
      <c r="CJ2" s="176"/>
      <c r="CK2" s="176"/>
      <c r="CL2" s="176"/>
      <c r="CM2" s="177"/>
    </row>
    <row r="3" spans="2:127" ht="15.95" thickBot="1"/>
    <row r="4" spans="2:127" ht="15.75" customHeight="1" thickTop="1" thickBot="1">
      <c r="B4" s="203" t="s">
        <v>2</v>
      </c>
      <c r="C4" s="204"/>
      <c r="D4" s="204"/>
      <c r="E4" s="209"/>
      <c r="F4" s="203" t="s">
        <v>2</v>
      </c>
      <c r="G4" s="204"/>
      <c r="H4" s="204"/>
      <c r="I4" s="204"/>
      <c r="J4" s="36" t="s">
        <v>1319</v>
      </c>
      <c r="K4" s="26" t="s">
        <v>1320</v>
      </c>
      <c r="L4" s="26" t="s">
        <v>1321</v>
      </c>
      <c r="M4" s="26" t="s">
        <v>1322</v>
      </c>
      <c r="N4" s="26" t="s">
        <v>1323</v>
      </c>
      <c r="O4" s="27" t="s">
        <v>1324</v>
      </c>
      <c r="P4" s="36" t="s">
        <v>1325</v>
      </c>
      <c r="Q4" s="26" t="s">
        <v>1326</v>
      </c>
      <c r="R4" s="26" t="s">
        <v>1327</v>
      </c>
      <c r="S4" s="26" t="s">
        <v>1328</v>
      </c>
      <c r="T4" s="227" t="s">
        <v>13</v>
      </c>
      <c r="U4" s="27" t="s">
        <v>1329</v>
      </c>
      <c r="V4" s="36" t="s">
        <v>1330</v>
      </c>
      <c r="W4" s="26" t="s">
        <v>1331</v>
      </c>
      <c r="X4" s="26" t="s">
        <v>1332</v>
      </c>
      <c r="Y4" s="26" t="s">
        <v>1333</v>
      </c>
      <c r="Z4" s="26" t="s">
        <v>1334</v>
      </c>
      <c r="AA4" s="27" t="s">
        <v>1335</v>
      </c>
      <c r="AB4" s="25" t="s">
        <v>1336</v>
      </c>
      <c r="AC4" s="26" t="s">
        <v>1337</v>
      </c>
      <c r="AD4" s="26" t="s">
        <v>1338</v>
      </c>
      <c r="AE4" s="26" t="s">
        <v>1339</v>
      </c>
      <c r="AF4" s="26" t="s">
        <v>1340</v>
      </c>
      <c r="AG4" s="27" t="s">
        <v>1341</v>
      </c>
      <c r="AH4" s="36" t="s">
        <v>1342</v>
      </c>
      <c r="AI4" s="26" t="s">
        <v>1343</v>
      </c>
      <c r="AJ4" s="26" t="s">
        <v>1344</v>
      </c>
      <c r="AK4" s="26" t="s">
        <v>1345</v>
      </c>
      <c r="AL4" s="26" t="s">
        <v>1346</v>
      </c>
      <c r="AM4" s="27" t="s">
        <v>1347</v>
      </c>
      <c r="AN4" s="36" t="s">
        <v>1348</v>
      </c>
      <c r="AO4" s="26" t="s">
        <v>1349</v>
      </c>
      <c r="AP4" s="26" t="s">
        <v>1350</v>
      </c>
      <c r="AQ4" s="26" t="s">
        <v>1351</v>
      </c>
      <c r="AR4" s="26" t="s">
        <v>1352</v>
      </c>
      <c r="AS4" s="27" t="s">
        <v>1353</v>
      </c>
      <c r="AT4" s="36" t="s">
        <v>1354</v>
      </c>
      <c r="AU4" s="26" t="s">
        <v>1355</v>
      </c>
      <c r="AV4" s="26" t="s">
        <v>1356</v>
      </c>
      <c r="AW4" s="26" t="s">
        <v>1357</v>
      </c>
      <c r="AX4" s="26" t="s">
        <v>1358</v>
      </c>
      <c r="AY4" s="27" t="s">
        <v>1359</v>
      </c>
      <c r="AZ4" s="15" t="s">
        <v>1360</v>
      </c>
      <c r="BA4" s="37">
        <f>IFERROR(VLOOKUP(AZ4,'Module Items'!$A$1:$B$2587,2,FALSE),"")</f>
        <v>14995</v>
      </c>
      <c r="BB4" s="44">
        <f>IFERROR(VLOOKUP(AZ4,'Monthly Line Picks'!$A$1:$D$2000,4,FALSE),"0")</f>
        <v>9</v>
      </c>
      <c r="BC4" s="47" t="s">
        <v>1361</v>
      </c>
      <c r="BD4" s="37">
        <f>IFERROR(VLOOKUP(BC4,'Module Items'!$A$1:$B$2587,2,FALSE),"")</f>
        <v>140962</v>
      </c>
      <c r="BE4" s="44">
        <f>IFERROR(VLOOKUP(BC4,'Monthly Line Picks'!$A$1:$D$2000,4,FALSE),"0")</f>
        <v>3</v>
      </c>
      <c r="BF4" s="47" t="s">
        <v>1362</v>
      </c>
      <c r="BG4" s="37">
        <f>IFERROR(VLOOKUP(BF4,'Module Items'!$A$1:$B$2587,2,FALSE),"")</f>
        <v>13045</v>
      </c>
      <c r="BH4" s="44">
        <f>IFERROR(VLOOKUP(BF4,'Monthly Line Picks'!$A$1:$D$2000,4,FALSE),"0")</f>
        <v>4</v>
      </c>
      <c r="BI4" s="47" t="s">
        <v>1363</v>
      </c>
      <c r="BJ4" s="37">
        <f>IFERROR(VLOOKUP(BI4,'Module Items'!$A$1:$B$2587,2,FALSE),"")</f>
        <v>5695</v>
      </c>
      <c r="BK4" s="44" t="str">
        <f>IFERROR(VLOOKUP(BI4,'Monthly Line Picks'!$A$1:$D$2000,4,FALSE),"0")</f>
        <v>0</v>
      </c>
      <c r="BL4" s="47" t="s">
        <v>1364</v>
      </c>
      <c r="BM4" s="37">
        <f>IFERROR(VLOOKUP(BL4,'Module Items'!$A$1:$B$2587,2,FALSE),"")</f>
        <v>140964</v>
      </c>
      <c r="BN4" s="44">
        <f>IFERROR(VLOOKUP(BL4,'Monthly Line Picks'!$A$1:$D$2000,4,FALSE),"0")</f>
        <v>1</v>
      </c>
      <c r="BO4" s="47" t="s">
        <v>1365</v>
      </c>
      <c r="BP4" s="37">
        <f>IFERROR(VLOOKUP(BO4,'Module Items'!$A$1:$B$2587,2,FALSE),"")</f>
        <v>141096</v>
      </c>
      <c r="BQ4" s="44">
        <f>IFERROR(VLOOKUP(BO4,'Monthly Line Picks'!$A$1:$D$2000,4,FALSE),"0")</f>
        <v>1</v>
      </c>
      <c r="BR4" s="220" t="s">
        <v>51</v>
      </c>
      <c r="BS4" s="220"/>
      <c r="BT4" s="221"/>
      <c r="BU4" s="230" t="s">
        <v>52</v>
      </c>
      <c r="BV4" s="231"/>
      <c r="BW4" s="231"/>
      <c r="BX4" s="36" t="s">
        <v>1366</v>
      </c>
      <c r="BY4" s="26" t="s">
        <v>1367</v>
      </c>
      <c r="BZ4" s="26" t="s">
        <v>1368</v>
      </c>
      <c r="CA4" s="26" t="s">
        <v>1369</v>
      </c>
      <c r="CB4" s="26" t="s">
        <v>1370</v>
      </c>
      <c r="CC4" s="27" t="s">
        <v>1371</v>
      </c>
      <c r="CD4" s="36" t="s">
        <v>1372</v>
      </c>
      <c r="CE4" s="26" t="s">
        <v>1373</v>
      </c>
      <c r="CF4" s="26" t="s">
        <v>1374</v>
      </c>
      <c r="CG4" s="26" t="s">
        <v>1375</v>
      </c>
      <c r="CH4" s="26" t="s">
        <v>1376</v>
      </c>
      <c r="CI4" s="27" t="s">
        <v>1377</v>
      </c>
      <c r="CJ4" s="36" t="s">
        <v>1378</v>
      </c>
      <c r="CK4" s="26" t="s">
        <v>1379</v>
      </c>
      <c r="CL4" s="26" t="s">
        <v>1380</v>
      </c>
      <c r="CM4" s="26" t="s">
        <v>1381</v>
      </c>
      <c r="CN4" s="26" t="s">
        <v>1382</v>
      </c>
      <c r="CO4" s="27" t="s">
        <v>1383</v>
      </c>
      <c r="CP4" s="36" t="s">
        <v>1384</v>
      </c>
      <c r="CQ4" s="26" t="s">
        <v>1385</v>
      </c>
      <c r="CR4" s="26" t="s">
        <v>1386</v>
      </c>
      <c r="CS4" s="26" t="s">
        <v>1387</v>
      </c>
      <c r="CT4" s="26" t="s">
        <v>1388</v>
      </c>
      <c r="CU4" s="27" t="s">
        <v>1389</v>
      </c>
      <c r="CV4" s="36" t="s">
        <v>1390</v>
      </c>
      <c r="CW4" s="26" t="s">
        <v>1391</v>
      </c>
      <c r="CX4" s="26" t="s">
        <v>1392</v>
      </c>
      <c r="CY4" s="26" t="s">
        <v>1393</v>
      </c>
      <c r="CZ4" s="26" t="s">
        <v>1394</v>
      </c>
      <c r="DA4" s="27" t="s">
        <v>1395</v>
      </c>
      <c r="DB4" s="53" t="s">
        <v>1396</v>
      </c>
      <c r="DC4" s="37">
        <f>IFERROR(VLOOKUP(DB4,'Module Items'!$A$1:$B$2587,2,FALSE),"")</f>
        <v>141032</v>
      </c>
      <c r="DD4" s="44">
        <f>IFERROR(VLOOKUP(DB4,'Monthly Line Picks'!$A$1:$D$2000,4,FALSE),"0")</f>
        <v>2</v>
      </c>
      <c r="DE4" s="53" t="s">
        <v>1397</v>
      </c>
      <c r="DF4" s="37">
        <f>IFERROR(VLOOKUP(DE4,'Module Items'!$A$1:$B$2587,2,FALSE),"")</f>
        <v>127216</v>
      </c>
      <c r="DG4" s="44">
        <f>IFERROR(VLOOKUP(DE4,'Monthly Line Picks'!$A$1:$D$2000,4,FALSE),"0")</f>
        <v>4</v>
      </c>
      <c r="DH4" s="53" t="s">
        <v>1398</v>
      </c>
      <c r="DI4" s="37">
        <f>IFERROR(VLOOKUP(DH4,'Module Items'!$A$1:$B$2587,2,FALSE),"")</f>
        <v>316</v>
      </c>
      <c r="DJ4" s="44">
        <f>IFERROR(VLOOKUP(DH4,'Monthly Line Picks'!$A$1:$D$2000,4,FALSE),"0")</f>
        <v>4</v>
      </c>
      <c r="DK4" s="42" t="s">
        <v>1399</v>
      </c>
      <c r="DL4" s="37">
        <f>IFERROR(VLOOKUP(DK4,'Module Items'!$A$1:$B$2587,2,FALSE),"")</f>
        <v>140917</v>
      </c>
      <c r="DM4" s="44">
        <f>IFERROR(VLOOKUP(DK4,'Monthly Line Picks'!$A$1:$D$2000,4,FALSE),"0")</f>
        <v>2</v>
      </c>
      <c r="DN4" s="42" t="s">
        <v>1400</v>
      </c>
      <c r="DO4" s="37">
        <f>IFERROR(VLOOKUP(DN4,'Module Items'!$A$1:$B$2587,2,FALSE),"")</f>
        <v>141034</v>
      </c>
      <c r="DP4" s="44">
        <f>IFERROR(VLOOKUP(DN4,'Monthly Line Picks'!$A$1:$D$2000,4,FALSE),"0")</f>
        <v>5</v>
      </c>
      <c r="DQ4" s="45" t="s">
        <v>1401</v>
      </c>
      <c r="DR4" s="37">
        <f>IFERROR(VLOOKUP(DQ4,'Module Items'!$A$1:$B$2587,2,FALSE),"")</f>
        <v>140974</v>
      </c>
      <c r="DS4" s="44" t="str">
        <f>IFERROR(VLOOKUP(DQ4,'Monthly Line Picks'!$A$1:$D$2000,4,FALSE),"0")</f>
        <v>0</v>
      </c>
    </row>
    <row r="5" spans="2:127" ht="15.95" thickBot="1">
      <c r="B5" s="205"/>
      <c r="C5" s="206"/>
      <c r="D5" s="206"/>
      <c r="E5" s="210"/>
      <c r="F5" s="205"/>
      <c r="G5" s="206"/>
      <c r="H5" s="206"/>
      <c r="I5" s="206"/>
      <c r="J5" s="37" t="str">
        <f>IFERROR(VLOOKUP(J4,'Module Items'!$A$1:$B$2587,2,FALSE),"")</f>
        <v>OPEN</v>
      </c>
      <c r="K5" s="13" t="str">
        <f>IFERROR(VLOOKUP(K4,'Module Items'!$A$1:$B$2587,2,FALSE),"")</f>
        <v>OPEN</v>
      </c>
      <c r="L5" s="13" t="str">
        <f>IFERROR(VLOOKUP(L4,'Module Items'!$A$1:$B$2587,2,FALSE),"")</f>
        <v>OPEN</v>
      </c>
      <c r="M5" s="13" t="str">
        <f>IFERROR(VLOOKUP(M4,'Module Items'!$A$1:$B$2587,2,FALSE),"")</f>
        <v/>
      </c>
      <c r="N5" s="13">
        <f>IFERROR(VLOOKUP(N4,'Module Items'!$A$1:$B$2587,2,FALSE),"")</f>
        <v>116850</v>
      </c>
      <c r="O5" s="108">
        <f>IFERROR(VLOOKUP(O4,'Module Items'!$A$1:$B$2587,2,FALSE),"")</f>
        <v>133989</v>
      </c>
      <c r="P5" s="37">
        <f>IFERROR(VLOOKUP(P4,'Module Items'!$A$1:$B$2587,2,FALSE),"")</f>
        <v>9314</v>
      </c>
      <c r="Q5" s="13">
        <f>IFERROR(VLOOKUP(Q4,'Module Items'!$A$1:$B$2587,2,FALSE),"")</f>
        <v>31650</v>
      </c>
      <c r="R5" s="13" t="str">
        <f>IFERROR(VLOOKUP(R4,'Module Items'!$A$1:$B$2587,2,FALSE),"")</f>
        <v>OPEN</v>
      </c>
      <c r="S5" s="13">
        <f>IFERROR(VLOOKUP(S4,'Module Items'!$A$1:$B$2587,2,FALSE),"")</f>
        <v>115039</v>
      </c>
      <c r="T5" s="228"/>
      <c r="U5" s="108">
        <f>IFERROR(VLOOKUP(U4,'Module Items'!$A$1:$B$2587,2,FALSE),"")</f>
        <v>112548</v>
      </c>
      <c r="V5" s="37">
        <f>IFERROR(VLOOKUP(V4,'Module Items'!$A$1:$B$2587,2,FALSE),"")</f>
        <v>9621</v>
      </c>
      <c r="W5" s="13" t="str">
        <f>IFERROR(VLOOKUP(W4,'Module Items'!$A$1:$B$2587,2,FALSE),"")</f>
        <v/>
      </c>
      <c r="X5" s="13">
        <f>IFERROR(VLOOKUP(X4,'Module Items'!$A$1:$B$2587,2,FALSE),"")</f>
        <v>1171</v>
      </c>
      <c r="Y5" s="13">
        <f>IFERROR(VLOOKUP(Y4,'Module Items'!$A$1:$B$2587,2,FALSE),"")</f>
        <v>190</v>
      </c>
      <c r="Z5" s="13">
        <f>IFERROR(VLOOKUP(Z4,'Module Items'!$A$1:$B$2587,2,FALSE),"")</f>
        <v>18737</v>
      </c>
      <c r="AA5" s="108">
        <f>IFERROR(VLOOKUP(AA4,'Module Items'!$A$1:$B$2587,2,FALSE),"")</f>
        <v>129748</v>
      </c>
      <c r="AB5" s="10">
        <f>IFERROR(VLOOKUP(AB4,'Module Items'!$A$1:$B$2587,2,FALSE),"")</f>
        <v>118782</v>
      </c>
      <c r="AC5" s="13">
        <f>IFERROR(VLOOKUP(AC4,'Module Items'!$A$1:$B$2587,2,FALSE),"")</f>
        <v>1969</v>
      </c>
      <c r="AD5" s="13" t="str">
        <f>IFERROR(VLOOKUP(AD4,'Module Items'!$A$1:$B$2587,2,FALSE),"")</f>
        <v>OPEN</v>
      </c>
      <c r="AE5" s="13">
        <f>IFERROR(VLOOKUP(AE4,'Module Items'!$A$1:$B$2587,2,FALSE),"")</f>
        <v>50054</v>
      </c>
      <c r="AF5" s="13">
        <f>IFERROR(VLOOKUP(AF4,'Module Items'!$A$1:$B$2587,2,FALSE),"")</f>
        <v>48265</v>
      </c>
      <c r="AG5" s="108">
        <f>IFERROR(VLOOKUP(AG4,'Module Items'!$A$1:$B$2587,2,FALSE),"")</f>
        <v>100966</v>
      </c>
      <c r="AH5" s="37">
        <f>IFERROR(VLOOKUP(AH4,'Module Items'!$A$1:$B$2587,2,FALSE),"")</f>
        <v>83148</v>
      </c>
      <c r="AI5" s="13">
        <f>IFERROR(VLOOKUP(AI4,'Module Items'!$A$1:$B$2587,2,FALSE),"")</f>
        <v>108503</v>
      </c>
      <c r="AJ5" s="13">
        <f>IFERROR(VLOOKUP(AJ4,'Module Items'!$A$1:$B$2587,2,FALSE),"")</f>
        <v>67911</v>
      </c>
      <c r="AK5" s="13">
        <f>IFERROR(VLOOKUP(AK4,'Module Items'!$A$1:$B$2587,2,FALSE),"")</f>
        <v>39564</v>
      </c>
      <c r="AL5" s="13">
        <f>IFERROR(VLOOKUP(AL4,'Module Items'!$A$1:$B$2587,2,FALSE),"")</f>
        <v>1066</v>
      </c>
      <c r="AM5" s="108">
        <f>IFERROR(VLOOKUP(AM4,'Module Items'!$A$1:$B$2587,2,FALSE),"")</f>
        <v>97123</v>
      </c>
      <c r="AN5" s="37">
        <f>IFERROR(VLOOKUP(AN4,'Module Items'!$A$1:$B$2587,2,FALSE),"")</f>
        <v>139649</v>
      </c>
      <c r="AO5" s="13">
        <f>IFERROR(VLOOKUP(AO4,'Module Items'!$A$1:$B$2587,2,FALSE),"")</f>
        <v>173388</v>
      </c>
      <c r="AP5" s="13">
        <f>IFERROR(VLOOKUP(AP4,'Module Items'!$A$1:$B$2587,2,FALSE),"")</f>
        <v>157616</v>
      </c>
      <c r="AQ5" s="13">
        <f>IFERROR(VLOOKUP(AQ4,'Module Items'!$A$1:$B$2587,2,FALSE),"")</f>
        <v>17386</v>
      </c>
      <c r="AR5" s="13" t="str">
        <f>IFERROR(VLOOKUP(AR4,'Module Items'!$A$1:$B$2587,2,FALSE),"")</f>
        <v>OPEN</v>
      </c>
      <c r="AS5" s="108">
        <f>IFERROR(VLOOKUP(AS4,'Module Items'!$A$1:$B$2587,2,FALSE),"")</f>
        <v>89162</v>
      </c>
      <c r="AT5" s="37">
        <f>IFERROR(VLOOKUP(AT4,'Module Items'!$A$1:$B$2587,2,FALSE),"")</f>
        <v>60888</v>
      </c>
      <c r="AU5" s="13">
        <f>IFERROR(VLOOKUP(AU4,'Module Items'!$A$1:$B$2587,2,FALSE),"")</f>
        <v>83397</v>
      </c>
      <c r="AV5" s="13" t="str">
        <f>IFERROR(VLOOKUP(AV4,'Module Items'!$A$1:$B$2587,2,FALSE),"")</f>
        <v/>
      </c>
      <c r="AW5" s="13">
        <f>IFERROR(VLOOKUP(AW4,'Module Items'!$A$1:$B$2587,2,FALSE),"")</f>
        <v>118742</v>
      </c>
      <c r="AX5" s="13">
        <f>IFERROR(VLOOKUP(AX4,'Module Items'!$A$1:$B$2587,2,FALSE),"")</f>
        <v>97344</v>
      </c>
      <c r="AY5" s="108">
        <f>IFERROR(VLOOKUP(AY4,'Module Items'!$A$1:$B$2587,2,FALSE),"")</f>
        <v>9720</v>
      </c>
      <c r="AZ5" s="15" t="s">
        <v>1402</v>
      </c>
      <c r="BA5" s="37">
        <f>IFERROR(VLOOKUP(AZ5,'Module Items'!$A$1:$B$2587,2,FALSE),"")</f>
        <v>84052</v>
      </c>
      <c r="BB5" s="44">
        <f>IFERROR(VLOOKUP(AZ5,'Monthly Line Picks'!$A$1:$D$2000,4,FALSE),"0")</f>
        <v>7</v>
      </c>
      <c r="BC5" s="47" t="s">
        <v>1403</v>
      </c>
      <c r="BD5" s="37">
        <f>IFERROR(VLOOKUP(BC5,'Module Items'!$A$1:$B$2587,2,FALSE),"")</f>
        <v>6130</v>
      </c>
      <c r="BE5" s="44">
        <f>IFERROR(VLOOKUP(BC5,'Monthly Line Picks'!$A$1:$D$2000,4,FALSE),"0")</f>
        <v>1</v>
      </c>
      <c r="BF5" s="47" t="s">
        <v>1404</v>
      </c>
      <c r="BG5" s="37">
        <f>IFERROR(VLOOKUP(BF5,'Module Items'!$A$1:$B$2587,2,FALSE),"")</f>
        <v>140911</v>
      </c>
      <c r="BH5" s="44" t="str">
        <f>IFERROR(VLOOKUP(BF5,'Monthly Line Picks'!$A$1:$D$2000,4,FALSE),"0")</f>
        <v>0</v>
      </c>
      <c r="BI5" s="47" t="s">
        <v>1405</v>
      </c>
      <c r="BJ5" s="37">
        <f>IFERROR(VLOOKUP(BI5,'Module Items'!$A$1:$B$2587,2,FALSE),"")</f>
        <v>141078</v>
      </c>
      <c r="BK5" s="44">
        <f>IFERROR(VLOOKUP(BI5,'Monthly Line Picks'!$A$1:$D$2000,4,FALSE),"0")</f>
        <v>4</v>
      </c>
      <c r="BL5" s="47" t="s">
        <v>1406</v>
      </c>
      <c r="BM5" s="37">
        <f>IFERROR(VLOOKUP(BL5,'Module Items'!$A$1:$B$2587,2,FALSE),"")</f>
        <v>141094</v>
      </c>
      <c r="BN5" s="44">
        <f>IFERROR(VLOOKUP(BL5,'Monthly Line Picks'!$A$1:$D$2000,4,FALSE),"0")</f>
        <v>3</v>
      </c>
      <c r="BO5" s="47" t="s">
        <v>1407</v>
      </c>
      <c r="BP5" s="37">
        <f>IFERROR(VLOOKUP(BO5,'Module Items'!$A$1:$B$2587,2,FALSE),"")</f>
        <v>5841</v>
      </c>
      <c r="BQ5" s="44" t="str">
        <f>IFERROR(VLOOKUP(BO5,'Monthly Line Picks'!$A$1:$D$2000,4,FALSE),"0")</f>
        <v>0</v>
      </c>
      <c r="BR5" s="222"/>
      <c r="BS5" s="222"/>
      <c r="BT5" s="223"/>
      <c r="BU5" s="233"/>
      <c r="BV5" s="234"/>
      <c r="BW5" s="234"/>
      <c r="BX5" s="37" t="str">
        <f>IFERROR(VLOOKUP(BX4,'Module Items'!$A$1:$B$2587,2,FALSE),"")</f>
        <v>OPEN</v>
      </c>
      <c r="BY5" s="13">
        <f>IFERROR(VLOOKUP(BY4,'Module Items'!$A$1:$B$2587,2,FALSE),"")</f>
        <v>5589</v>
      </c>
      <c r="BZ5" s="13" t="str">
        <f>IFERROR(VLOOKUP(BZ4,'Module Items'!$A$1:$B$2587,2,FALSE),"")</f>
        <v>OPEN</v>
      </c>
      <c r="CA5" s="13" t="str">
        <f>IFERROR(VLOOKUP(CA4,'Module Items'!$A$1:$B$2587,2,FALSE),"")</f>
        <v>OPEN</v>
      </c>
      <c r="CB5" s="13" t="str">
        <f>IFERROR(VLOOKUP(CB4,'Module Items'!$A$1:$B$2587,2,FALSE),"")</f>
        <v/>
      </c>
      <c r="CC5" s="108">
        <f>IFERROR(VLOOKUP(CC4,'Module Items'!$A$1:$B$2587,2,FALSE),"")</f>
        <v>96718</v>
      </c>
      <c r="CD5" s="37">
        <f>IFERROR(VLOOKUP(CD4,'Module Items'!$A$1:$B$2587,2,FALSE),"")</f>
        <v>42860</v>
      </c>
      <c r="CE5" s="13">
        <f>IFERROR(VLOOKUP(CE4,'Module Items'!$A$1:$B$2587,2,FALSE),"")</f>
        <v>67410</v>
      </c>
      <c r="CF5" s="13" t="str">
        <f>IFERROR(VLOOKUP(CF4,'Module Items'!$A$1:$B$2587,2,FALSE),"")</f>
        <v>OPEN</v>
      </c>
      <c r="CG5" s="13">
        <f>IFERROR(VLOOKUP(CG4,'Module Items'!$A$1:$B$2587,2,FALSE),"")</f>
        <v>67409</v>
      </c>
      <c r="CH5" s="13">
        <f>IFERROR(VLOOKUP(CH4,'Module Items'!$A$1:$B$2587,2,FALSE),"")</f>
        <v>131791</v>
      </c>
      <c r="CI5" s="108">
        <f>IFERROR(VLOOKUP(CI4,'Module Items'!$A$1:$B$2587,2,FALSE),"")</f>
        <v>17128</v>
      </c>
      <c r="CJ5" s="37">
        <f>IFERROR(VLOOKUP(CJ4,'Module Items'!$A$1:$B$2587,2,FALSE),"")</f>
        <v>7800</v>
      </c>
      <c r="CK5" s="13">
        <f>IFERROR(VLOOKUP(CK4,'Module Items'!$A$1:$B$2587,2,FALSE),"")</f>
        <v>155724</v>
      </c>
      <c r="CL5" s="13">
        <f>IFERROR(VLOOKUP(CL4,'Module Items'!$A$1:$B$2587,2,FALSE),"")</f>
        <v>155727</v>
      </c>
      <c r="CM5" s="13">
        <f>IFERROR(VLOOKUP(CM4,'Module Items'!$A$1:$B$2587,2,FALSE),"")</f>
        <v>141171</v>
      </c>
      <c r="CN5" s="13">
        <f>IFERROR(VLOOKUP(CN4,'Module Items'!$A$1:$B$2587,2,FALSE),"")</f>
        <v>1494</v>
      </c>
      <c r="CO5" s="108">
        <f>IFERROR(VLOOKUP(CO4,'Module Items'!$A$1:$B$2587,2,FALSE),"")</f>
        <v>126214</v>
      </c>
      <c r="CP5" s="37" t="str">
        <f>IFERROR(VLOOKUP(CP4,'Module Items'!$A$1:$B$2587,2,FALSE),"")</f>
        <v/>
      </c>
      <c r="CQ5" s="13">
        <f>IFERROR(VLOOKUP(CQ4,'Module Items'!$A$1:$B$2587,2,FALSE),"")</f>
        <v>132823</v>
      </c>
      <c r="CR5" s="13">
        <f>IFERROR(VLOOKUP(CR4,'Module Items'!$A$1:$B$2587,2,FALSE),"")</f>
        <v>131930</v>
      </c>
      <c r="CS5" s="13">
        <f>IFERROR(VLOOKUP(CS4,'Module Items'!$A$1:$B$2587,2,FALSE),"")</f>
        <v>129779</v>
      </c>
      <c r="CT5" s="13">
        <f>IFERROR(VLOOKUP(CT4,'Module Items'!$A$1:$B$2587,2,FALSE),"")</f>
        <v>108604</v>
      </c>
      <c r="CU5" s="108" t="str">
        <f>IFERROR(VLOOKUP(CU4,'Module Items'!$A$1:$B$2587,2,FALSE),"")</f>
        <v/>
      </c>
      <c r="CV5" s="37" t="str">
        <f>IFERROR(VLOOKUP(CV4,'Module Items'!$A$1:$B$2587,2,FALSE),"")</f>
        <v>OPEN</v>
      </c>
      <c r="CW5" s="13">
        <f>IFERROR(VLOOKUP(CW4,'Module Items'!$A$1:$B$2587,2,FALSE),"")</f>
        <v>127137</v>
      </c>
      <c r="CX5" s="13">
        <f>IFERROR(VLOOKUP(CX4,'Module Items'!$A$1:$B$2587,2,FALSE),"")</f>
        <v>155945</v>
      </c>
      <c r="CY5" s="13" t="str">
        <f>IFERROR(VLOOKUP(CY4,'Module Items'!$A$1:$B$2587,2,FALSE),"")</f>
        <v>OPEN</v>
      </c>
      <c r="CZ5" s="13">
        <f>IFERROR(VLOOKUP(CZ4,'Module Items'!$A$1:$B$2587,2,FALSE),"")</f>
        <v>100832</v>
      </c>
      <c r="DA5" s="108">
        <f>IFERROR(VLOOKUP(DA4,'Module Items'!$A$1:$B$2587,2,FALSE),"")</f>
        <v>155881</v>
      </c>
      <c r="DB5" s="15" t="s">
        <v>1408</v>
      </c>
      <c r="DC5" s="37">
        <f>IFERROR(VLOOKUP(DB5,'Module Items'!$A$1:$B$2587,2,FALSE),"")</f>
        <v>141054</v>
      </c>
      <c r="DD5" s="44" t="str">
        <f>IFERROR(VLOOKUP(DB5,'Monthly Line Picks'!$A$1:$D$2000,4,FALSE),"0")</f>
        <v>0</v>
      </c>
      <c r="DE5" s="15" t="s">
        <v>1409</v>
      </c>
      <c r="DF5" s="37">
        <f>IFERROR(VLOOKUP(DE5,'Module Items'!$A$1:$B$2587,2,FALSE),"")</f>
        <v>86238</v>
      </c>
      <c r="DG5" s="44" t="str">
        <f>IFERROR(VLOOKUP(DE5,'Monthly Line Picks'!$A$1:$D$2000,4,FALSE),"0")</f>
        <v>0</v>
      </c>
      <c r="DH5" s="15" t="s">
        <v>1410</v>
      </c>
      <c r="DI5" s="37">
        <f>IFERROR(VLOOKUP(DH5,'Module Items'!$A$1:$B$2587,2,FALSE),"")</f>
        <v>141033</v>
      </c>
      <c r="DJ5" s="44" t="str">
        <f>IFERROR(VLOOKUP(DH5,'Monthly Line Picks'!$A$1:$D$2000,4,FALSE),"0")</f>
        <v>0</v>
      </c>
      <c r="DK5" s="47" t="s">
        <v>1411</v>
      </c>
      <c r="DL5" s="37">
        <f>IFERROR(VLOOKUP(DK5,'Module Items'!$A$1:$B$2587,2,FALSE),"")</f>
        <v>141045</v>
      </c>
      <c r="DM5" s="44">
        <f>IFERROR(VLOOKUP(DK5,'Monthly Line Picks'!$A$1:$D$2000,4,FALSE),"0")</f>
        <v>6</v>
      </c>
      <c r="DN5" s="47" t="s">
        <v>1412</v>
      </c>
      <c r="DO5" s="37">
        <f>IFERROR(VLOOKUP(DN5,'Module Items'!$A$1:$B$2587,2,FALSE),"")</f>
        <v>15090</v>
      </c>
      <c r="DP5" s="44">
        <f>IFERROR(VLOOKUP(DN5,'Monthly Line Picks'!$A$1:$D$2000,4,FALSE),"0")</f>
        <v>4</v>
      </c>
      <c r="DQ5" s="57" t="s">
        <v>1413</v>
      </c>
      <c r="DR5" s="37">
        <f>IFERROR(VLOOKUP(DQ5,'Module Items'!$A$1:$B$2587,2,FALSE),"")</f>
        <v>141005</v>
      </c>
      <c r="DS5" s="44">
        <f>IFERROR(VLOOKUP(DQ5,'Monthly Line Picks'!$A$1:$D$2000,4,FALSE),"0")</f>
        <v>3</v>
      </c>
    </row>
    <row r="6" spans="2:127" ht="15.95" thickBot="1">
      <c r="B6" s="205"/>
      <c r="C6" s="206"/>
      <c r="D6" s="206"/>
      <c r="E6" s="210"/>
      <c r="F6" s="205"/>
      <c r="G6" s="206"/>
      <c r="H6" s="206"/>
      <c r="I6" s="206"/>
      <c r="J6" s="56" t="str">
        <f>IFERROR(VLOOKUP(J4,'Monthly Line Picks'!$A$1:$D$2101,4,FALSE),"0")</f>
        <v>0</v>
      </c>
      <c r="K6" s="47" t="str">
        <f>IFERROR(VLOOKUP(K4,'Monthly Line Picks'!$A$1:$D$2101,4,FALSE),"0")</f>
        <v>0</v>
      </c>
      <c r="L6" s="47" t="str">
        <f>IFERROR(VLOOKUP(L4,'Monthly Line Picks'!$A$1:$D$2101,4,FALSE),"0")</f>
        <v>0</v>
      </c>
      <c r="M6" s="47" t="str">
        <f>IFERROR(VLOOKUP(M4,'Monthly Line Picks'!$A$1:$D$2101,4,FALSE),"0")</f>
        <v>0</v>
      </c>
      <c r="N6" s="47">
        <f>IFERROR(VLOOKUP(N4,'Monthly Line Picks'!$A$1:$D$2101,4,FALSE),"0")</f>
        <v>24</v>
      </c>
      <c r="O6" s="57">
        <f>IFERROR(VLOOKUP(O4,'Monthly Line Picks'!$A$1:$D$2101,4,FALSE),"0")</f>
        <v>68</v>
      </c>
      <c r="P6" s="56">
        <f>IFERROR(VLOOKUP(P4,'Monthly Line Picks'!$A$1:$D$2101,4,FALSE),"0")</f>
        <v>96</v>
      </c>
      <c r="Q6" s="47">
        <f>IFERROR(VLOOKUP(Q4,'Monthly Line Picks'!$A$1:$D$2101,4,FALSE),"0")</f>
        <v>22</v>
      </c>
      <c r="R6" s="47" t="str">
        <f>IFERROR(VLOOKUP(R4,'Monthly Line Picks'!$A$1:$D$2101,4,FALSE),"0")</f>
        <v>0</v>
      </c>
      <c r="S6" s="47">
        <f>IFERROR(VLOOKUP(S4,'Monthly Line Picks'!$A$1:$D$2101,4,FALSE),"0")</f>
        <v>23</v>
      </c>
      <c r="T6" s="228"/>
      <c r="U6" s="57">
        <f>IFERROR(VLOOKUP(U4,'Monthly Line Picks'!$A$1:$D$2101,4,FALSE),"0")</f>
        <v>41</v>
      </c>
      <c r="V6" s="56">
        <f>IFERROR(VLOOKUP(V4,'Monthly Line Picks'!$A$1:$D$2101,4,FALSE),"0")</f>
        <v>21</v>
      </c>
      <c r="W6" s="47" t="str">
        <f>IFERROR(VLOOKUP(W4,'Monthly Line Picks'!$A$1:$D$2101,4,FALSE),"0")</f>
        <v>0</v>
      </c>
      <c r="X6" s="47">
        <f>IFERROR(VLOOKUP(X4,'Monthly Line Picks'!$A$1:$D$2101,4,FALSE),"0")</f>
        <v>45</v>
      </c>
      <c r="Y6" s="47">
        <f>IFERROR(VLOOKUP(Y4,'Monthly Line Picks'!$A$1:$D$2101,4,FALSE),"0")</f>
        <v>8</v>
      </c>
      <c r="Z6" s="47">
        <f>IFERROR(VLOOKUP(Z4,'Monthly Line Picks'!$A$1:$D$2101,4,FALSE),"0")</f>
        <v>12</v>
      </c>
      <c r="AA6" s="57">
        <f>IFERROR(VLOOKUP(AA4,'Monthly Line Picks'!$A$1:$D$2101,4,FALSE),"0")</f>
        <v>67</v>
      </c>
      <c r="AB6" s="15">
        <f>IFERROR(VLOOKUP(AB4,'Monthly Line Picks'!$A$1:$D$2101,4,FALSE),"0")</f>
        <v>175</v>
      </c>
      <c r="AC6" s="47">
        <f>IFERROR(VLOOKUP(AC4,'Monthly Line Picks'!$A$1:$D$2101,4,FALSE),"0")</f>
        <v>97</v>
      </c>
      <c r="AD6" s="47" t="str">
        <f>IFERROR(VLOOKUP(AD4,'Monthly Line Picks'!$A$1:$D$2101,4,FALSE),"0")</f>
        <v>0</v>
      </c>
      <c r="AE6" s="47">
        <f>IFERROR(VLOOKUP(AE4,'Monthly Line Picks'!$A$1:$D$2101,4,FALSE),"0")</f>
        <v>60</v>
      </c>
      <c r="AF6" s="47">
        <f>IFERROR(VLOOKUP(AF4,'Monthly Line Picks'!$A$1:$D$2101,4,FALSE),"0")</f>
        <v>51</v>
      </c>
      <c r="AG6" s="57">
        <f>IFERROR(VLOOKUP(AG4,'Monthly Line Picks'!$A$1:$D$2101,4,FALSE),"0")</f>
        <v>89</v>
      </c>
      <c r="AH6" s="56">
        <f>IFERROR(VLOOKUP(AH4,'Monthly Line Picks'!$A$1:$D$2101,4,FALSE),"0")</f>
        <v>73</v>
      </c>
      <c r="AI6" s="47">
        <f>IFERROR(VLOOKUP(AI4,'Monthly Line Picks'!$A$1:$D$2101,4,FALSE),"0")</f>
        <v>124</v>
      </c>
      <c r="AJ6" s="47">
        <f>IFERROR(VLOOKUP(AJ4,'Monthly Line Picks'!$A$1:$D$2101,4,FALSE),"0")</f>
        <v>91</v>
      </c>
      <c r="AK6" s="47">
        <f>IFERROR(VLOOKUP(AK4,'Monthly Line Picks'!$A$1:$D$2101,4,FALSE),"0")</f>
        <v>64</v>
      </c>
      <c r="AL6" s="47">
        <f>IFERROR(VLOOKUP(AL4,'Monthly Line Picks'!$A$1:$D$2101,4,FALSE),"0")</f>
        <v>38</v>
      </c>
      <c r="AM6" s="57">
        <f>IFERROR(VLOOKUP(AM4,'Monthly Line Picks'!$A$1:$D$2101,4,FALSE),"0")</f>
        <v>27</v>
      </c>
      <c r="AN6" s="56">
        <f>IFERROR(VLOOKUP(AN4,'Monthly Line Picks'!$A$1:$D$2101,4,FALSE),"0")</f>
        <v>6</v>
      </c>
      <c r="AO6" s="47">
        <f>IFERROR(VLOOKUP(AO4,'Monthly Line Picks'!$A$1:$D$2101,4,FALSE),"0")</f>
        <v>19</v>
      </c>
      <c r="AP6" s="47">
        <f>IFERROR(VLOOKUP(AP4,'Monthly Line Picks'!$A$1:$D$2101,4,FALSE),"0")</f>
        <v>12</v>
      </c>
      <c r="AQ6" s="47">
        <f>IFERROR(VLOOKUP(AQ4,'Monthly Line Picks'!$A$1:$D$2101,4,FALSE),"0")</f>
        <v>14</v>
      </c>
      <c r="AR6" s="47" t="str">
        <f>IFERROR(VLOOKUP(AR4,'Monthly Line Picks'!$A$1:$D$2101,4,FALSE),"0")</f>
        <v>0</v>
      </c>
      <c r="AS6" s="57">
        <f>IFERROR(VLOOKUP(AS4,'Monthly Line Picks'!$A$1:$D$2101,4,FALSE),"0")</f>
        <v>22</v>
      </c>
      <c r="AT6" s="56">
        <f>IFERROR(VLOOKUP(AT4,'Monthly Line Picks'!$A$1:$D$2101,4,FALSE),"0")</f>
        <v>23</v>
      </c>
      <c r="AU6" s="47" t="str">
        <f>IFERROR(VLOOKUP(AU4,'Monthly Line Picks'!$A$1:$D$2101,4,FALSE),"0")</f>
        <v>0</v>
      </c>
      <c r="AV6" s="47" t="str">
        <f>IFERROR(VLOOKUP(AV4,'Monthly Line Picks'!$A$1:$D$2101,4,FALSE),"0")</f>
        <v>0</v>
      </c>
      <c r="AW6" s="47">
        <f>IFERROR(VLOOKUP(AW4,'Monthly Line Picks'!$A$1:$D$2101,4,FALSE),"0")</f>
        <v>6</v>
      </c>
      <c r="AX6" s="47" t="str">
        <f>IFERROR(VLOOKUP(AX4,'Monthly Line Picks'!$A$1:$D$2101,4,FALSE),"0")</f>
        <v>0</v>
      </c>
      <c r="AY6" s="57">
        <f>IFERROR(VLOOKUP(AY4,'Monthly Line Picks'!$A$1:$D$2101,4,FALSE),"0")</f>
        <v>9</v>
      </c>
      <c r="AZ6" s="15" t="s">
        <v>1414</v>
      </c>
      <c r="BA6" s="37">
        <f>IFERROR(VLOOKUP(AZ6,'Module Items'!$A$1:$B$2587,2,FALSE),"")</f>
        <v>2779</v>
      </c>
      <c r="BB6" s="44" t="str">
        <f>IFERROR(VLOOKUP(AZ6,'Monthly Line Picks'!$A$1:$D$2000,4,FALSE),"0")</f>
        <v>0</v>
      </c>
      <c r="BC6" s="47" t="s">
        <v>1415</v>
      </c>
      <c r="BD6" s="37">
        <f>IFERROR(VLOOKUP(BC6,'Module Items'!$A$1:$B$2587,2,FALSE),"")</f>
        <v>140979</v>
      </c>
      <c r="BE6" s="44">
        <f>IFERROR(VLOOKUP(BC6,'Monthly Line Picks'!$A$1:$D$2000,4,FALSE),"0")</f>
        <v>3</v>
      </c>
      <c r="BF6" s="47" t="s">
        <v>1416</v>
      </c>
      <c r="BG6" s="37">
        <f>IFERROR(VLOOKUP(BF6,'Module Items'!$A$1:$B$2587,2,FALSE),"")</f>
        <v>140972</v>
      </c>
      <c r="BH6" s="44">
        <f>IFERROR(VLOOKUP(BF6,'Monthly Line Picks'!$A$1:$D$2000,4,FALSE),"0")</f>
        <v>1</v>
      </c>
      <c r="BI6" s="47" t="s">
        <v>1417</v>
      </c>
      <c r="BJ6" s="37">
        <f>IFERROR(VLOOKUP(BI6,'Module Items'!$A$1:$B$2587,2,FALSE),"")</f>
        <v>52578</v>
      </c>
      <c r="BK6" s="44" t="str">
        <f>IFERROR(VLOOKUP(BI6,'Monthly Line Picks'!$A$1:$D$2000,4,FALSE),"0")</f>
        <v>0</v>
      </c>
      <c r="BL6" s="47" t="s">
        <v>1418</v>
      </c>
      <c r="BM6" s="37">
        <f>IFERROR(VLOOKUP(BL6,'Module Items'!$A$1:$B$2587,2,FALSE),"")</f>
        <v>140915</v>
      </c>
      <c r="BN6" s="44" t="str">
        <f>IFERROR(VLOOKUP(BL6,'Monthly Line Picks'!$A$1:$D$2000,4,FALSE),"0")</f>
        <v>0</v>
      </c>
      <c r="BO6" s="47" t="s">
        <v>1419</v>
      </c>
      <c r="BP6" s="37">
        <f>IFERROR(VLOOKUP(BO6,'Module Items'!$A$1:$B$2587,2,FALSE),"")</f>
        <v>140939</v>
      </c>
      <c r="BQ6" s="44">
        <f>IFERROR(VLOOKUP(BO6,'Monthly Line Picks'!$A$1:$D$2000,4,FALSE),"0")</f>
        <v>8</v>
      </c>
      <c r="BR6" s="222"/>
      <c r="BS6" s="222"/>
      <c r="BT6" s="223"/>
      <c r="BU6" s="233"/>
      <c r="BV6" s="234"/>
      <c r="BW6" s="234"/>
      <c r="BX6" s="56" t="str">
        <f>IFERROR(VLOOKUP(BX4,'Monthly Line Picks'!$A$1:$D$1458,4,FALSE),"0")</f>
        <v>0</v>
      </c>
      <c r="BY6" s="47">
        <f>IFERROR(VLOOKUP(BY4,'Monthly Line Picks'!$A$1:$D$1458,4,FALSE),"0")</f>
        <v>22</v>
      </c>
      <c r="BZ6" s="47" t="str">
        <f>IFERROR(VLOOKUP(BZ4,'Monthly Line Picks'!$A$1:$D$1458,4,FALSE),"0")</f>
        <v>0</v>
      </c>
      <c r="CA6" s="47" t="str">
        <f>IFERROR(VLOOKUP(CA4,'Monthly Line Picks'!$A$1:$D$1458,4,FALSE),"0")</f>
        <v>0</v>
      </c>
      <c r="CB6" s="47" t="str">
        <f>IFERROR(VLOOKUP(CB4,'Monthly Line Picks'!$A$1:$D$1458,4,FALSE),"0")</f>
        <v>0</v>
      </c>
      <c r="CC6" s="57" t="str">
        <f>IFERROR(VLOOKUP(CC4,'Monthly Line Picks'!$A$1:$D$1458,4,FALSE),"0")</f>
        <v>0</v>
      </c>
      <c r="CD6" s="56">
        <f>IFERROR(VLOOKUP(CD4,'Monthly Line Picks'!$A$1:$D$1458,4,FALSE),"0")</f>
        <v>332</v>
      </c>
      <c r="CE6" s="47" t="str">
        <f>IFERROR(VLOOKUP(CE4,'Monthly Line Picks'!$A$1:$D$1458,4,FALSE),"0")</f>
        <v>0</v>
      </c>
      <c r="CF6" s="47" t="str">
        <f>IFERROR(VLOOKUP(CF4,'Monthly Line Picks'!$A$1:$D$1458,4,FALSE),"0")</f>
        <v>0</v>
      </c>
      <c r="CG6" s="47">
        <f>IFERROR(VLOOKUP(CG4,'Monthly Line Picks'!$A$1:$D$1458,4,FALSE),"0")</f>
        <v>3</v>
      </c>
      <c r="CH6" s="47" t="str">
        <f>IFERROR(VLOOKUP(CH4,'Monthly Line Picks'!$A$1:$D$1458,4,FALSE),"0")</f>
        <v>0</v>
      </c>
      <c r="CI6" s="57" t="str">
        <f>IFERROR(VLOOKUP(CI4,'Monthly Line Picks'!$A$1:$D$1458,4,FALSE),"0")</f>
        <v>0</v>
      </c>
      <c r="CJ6" s="56" t="str">
        <f>IFERROR(VLOOKUP(CJ4,'Monthly Line Picks'!$A$1:$D$1458,4,FALSE),"0")</f>
        <v>0</v>
      </c>
      <c r="CK6" s="47">
        <f>IFERROR(VLOOKUP(CK4,'Monthly Line Picks'!$A$1:$D$1458,4,FALSE),"0")</f>
        <v>28</v>
      </c>
      <c r="CL6" s="47">
        <f>IFERROR(VLOOKUP(CL4,'Monthly Line Picks'!$A$1:$D$1458,4,FALSE),"0")</f>
        <v>7</v>
      </c>
      <c r="CM6" s="47" t="str">
        <f>IFERROR(VLOOKUP(CM4,'Monthly Line Picks'!$A$1:$D$1458,4,FALSE),"0")</f>
        <v>0</v>
      </c>
      <c r="CN6" s="47">
        <f>IFERROR(VLOOKUP(CN4,'Monthly Line Picks'!$A$1:$D$1458,4,FALSE),"0")</f>
        <v>21</v>
      </c>
      <c r="CO6" s="57">
        <f>IFERROR(VLOOKUP(CO4,'Monthly Line Picks'!$A$1:$D$1458,4,FALSE),"0")</f>
        <v>18</v>
      </c>
      <c r="CP6" s="56" t="str">
        <f>IFERROR(VLOOKUP(CP4,'Monthly Line Picks'!$A$1:$D$1458,4,FALSE),"0")</f>
        <v>0</v>
      </c>
      <c r="CQ6" s="47">
        <f>IFERROR(VLOOKUP(CQ4,'Monthly Line Picks'!$A$1:$D$1458,4,FALSE),"0")</f>
        <v>4</v>
      </c>
      <c r="CR6" s="47">
        <f>IFERROR(VLOOKUP(CR4,'Monthly Line Picks'!$A$1:$D$1458,4,FALSE),"0")</f>
        <v>3</v>
      </c>
      <c r="CS6" s="47">
        <f>IFERROR(VLOOKUP(CS4,'Monthly Line Picks'!$A$1:$D$1458,4,FALSE),"0")</f>
        <v>36</v>
      </c>
      <c r="CT6" s="47" t="str">
        <f>IFERROR(VLOOKUP(CT4,'Monthly Line Picks'!$A$1:$D$1458,4,FALSE),"0")</f>
        <v>0</v>
      </c>
      <c r="CU6" s="57" t="str">
        <f>IFERROR(VLOOKUP(CU4,'Monthly Line Picks'!$A$1:$D$1458,4,FALSE),"0")</f>
        <v>0</v>
      </c>
      <c r="CV6" s="56" t="str">
        <f>IFERROR(VLOOKUP(CV4,'Monthly Line Picks'!$A$1:$D$1458,4,FALSE),"0")</f>
        <v>0</v>
      </c>
      <c r="CW6" s="47">
        <f>IFERROR(VLOOKUP(CW4,'Monthly Line Picks'!$A$1:$D$1458,4,FALSE),"0")</f>
        <v>11</v>
      </c>
      <c r="CX6" s="47">
        <f>IFERROR(VLOOKUP(CX4,'Monthly Line Picks'!$A$1:$D$1458,4,FALSE),"0")</f>
        <v>12</v>
      </c>
      <c r="CY6" s="47">
        <f>IFERROR(VLOOKUP(CY4,'Monthly Line Picks'!$A$1:$D$1458,4,FALSE),"0")</f>
        <v>15</v>
      </c>
      <c r="CZ6" s="47" t="str">
        <f>IFERROR(VLOOKUP(CZ4,'Monthly Line Picks'!$A$1:$D$1458,4,FALSE),"0")</f>
        <v>0</v>
      </c>
      <c r="DA6" s="57">
        <f>IFERROR(VLOOKUP(DA4,'Monthly Line Picks'!$A$1:$D$1458,4,FALSE),"0")</f>
        <v>35</v>
      </c>
      <c r="DB6" s="15" t="s">
        <v>1420</v>
      </c>
      <c r="DC6" s="37">
        <f>IFERROR(VLOOKUP(DB6,'Module Items'!$A$1:$B$2587,2,FALSE),"")</f>
        <v>91818</v>
      </c>
      <c r="DD6" s="44" t="str">
        <f>IFERROR(VLOOKUP(DB6,'Monthly Line Picks'!$A$1:$D$2000,4,FALSE),"0")</f>
        <v>0</v>
      </c>
      <c r="DE6" s="15" t="s">
        <v>1421</v>
      </c>
      <c r="DF6" s="37">
        <f>IFERROR(VLOOKUP(DE6,'Module Items'!$A$1:$B$2587,2,FALSE),"")</f>
        <v>141056</v>
      </c>
      <c r="DG6" s="44">
        <f>IFERROR(VLOOKUP(DE6,'Monthly Line Picks'!$A$1:$D$2000,4,FALSE),"0")</f>
        <v>3</v>
      </c>
      <c r="DH6" s="47" t="s">
        <v>1422</v>
      </c>
      <c r="DI6" s="37">
        <f>IFERROR(VLOOKUP(DH6,'Module Items'!$A$1:$B$2587,2,FALSE),"")</f>
        <v>140910</v>
      </c>
      <c r="DJ6" s="44" t="str">
        <f>IFERROR(VLOOKUP(DH6,'Monthly Line Picks'!$A$1:$D$2000,4,FALSE),"0")</f>
        <v>0</v>
      </c>
      <c r="DK6" s="47" t="s">
        <v>1423</v>
      </c>
      <c r="DL6" s="37">
        <f>IFERROR(VLOOKUP(DK6,'Module Items'!$A$1:$B$2587,2,FALSE),"")</f>
        <v>20766</v>
      </c>
      <c r="DM6" s="44">
        <f>IFERROR(VLOOKUP(DK6,'Monthly Line Picks'!$A$1:$D$2000,4,FALSE),"0")</f>
        <v>6</v>
      </c>
      <c r="DN6" s="47" t="s">
        <v>1424</v>
      </c>
      <c r="DO6" s="37">
        <f>IFERROR(VLOOKUP(DN6,'Module Items'!$A$1:$B$2587,2,FALSE),"")</f>
        <v>140926</v>
      </c>
      <c r="DP6" s="44" t="str">
        <f>IFERROR(VLOOKUP(DN6,'Monthly Line Picks'!$A$1:$D$2000,4,FALSE),"0")</f>
        <v>0</v>
      </c>
      <c r="DQ6" s="57" t="s">
        <v>1425</v>
      </c>
      <c r="DR6" s="37">
        <f>IFERROR(VLOOKUP(DQ6,'Module Items'!$A$1:$B$2587,2,FALSE),"")</f>
        <v>141046</v>
      </c>
      <c r="DS6" s="44">
        <f>IFERROR(VLOOKUP(DQ6,'Monthly Line Picks'!$A$1:$D$2000,4,FALSE),"0")</f>
        <v>2</v>
      </c>
    </row>
    <row r="7" spans="2:127" ht="15.95" thickBot="1">
      <c r="B7" s="205"/>
      <c r="C7" s="206"/>
      <c r="D7" s="206"/>
      <c r="E7" s="210"/>
      <c r="F7" s="205"/>
      <c r="G7" s="206"/>
      <c r="H7" s="206"/>
      <c r="I7" s="206"/>
      <c r="J7" s="37" t="s">
        <v>1426</v>
      </c>
      <c r="K7" s="13" t="s">
        <v>1427</v>
      </c>
      <c r="L7" s="13" t="s">
        <v>1428</v>
      </c>
      <c r="M7" s="13" t="s">
        <v>1429</v>
      </c>
      <c r="N7" s="13" t="s">
        <v>1430</v>
      </c>
      <c r="O7" s="108" t="s">
        <v>1431</v>
      </c>
      <c r="P7" s="37" t="s">
        <v>1432</v>
      </c>
      <c r="Q7" s="13" t="s">
        <v>1433</v>
      </c>
      <c r="R7" s="13" t="s">
        <v>1434</v>
      </c>
      <c r="S7" s="13" t="s">
        <v>1435</v>
      </c>
      <c r="T7" s="228"/>
      <c r="U7" s="108" t="s">
        <v>1436</v>
      </c>
      <c r="V7" s="37" t="s">
        <v>1437</v>
      </c>
      <c r="W7" s="13" t="s">
        <v>1438</v>
      </c>
      <c r="X7" s="13" t="s">
        <v>1439</v>
      </c>
      <c r="Y7" s="13" t="s">
        <v>1440</v>
      </c>
      <c r="Z7" s="13" t="s">
        <v>1441</v>
      </c>
      <c r="AA7" s="108" t="s">
        <v>1442</v>
      </c>
      <c r="AB7" s="10" t="s">
        <v>1443</v>
      </c>
      <c r="AC7" s="13" t="s">
        <v>1444</v>
      </c>
      <c r="AD7" s="13" t="s">
        <v>1445</v>
      </c>
      <c r="AE7" s="13" t="s">
        <v>1446</v>
      </c>
      <c r="AF7" s="13" t="s">
        <v>1447</v>
      </c>
      <c r="AG7" s="108" t="s">
        <v>1448</v>
      </c>
      <c r="AH7" s="37" t="s">
        <v>1449</v>
      </c>
      <c r="AI7" s="13" t="s">
        <v>1450</v>
      </c>
      <c r="AJ7" s="13" t="s">
        <v>1451</v>
      </c>
      <c r="AK7" s="13" t="s">
        <v>1452</v>
      </c>
      <c r="AL7" s="13" t="s">
        <v>1453</v>
      </c>
      <c r="AM7" s="108" t="s">
        <v>1454</v>
      </c>
      <c r="AN7" s="37" t="s">
        <v>1455</v>
      </c>
      <c r="AO7" s="13" t="s">
        <v>1456</v>
      </c>
      <c r="AP7" s="13" t="s">
        <v>1457</v>
      </c>
      <c r="AQ7" s="13" t="s">
        <v>1458</v>
      </c>
      <c r="AR7" s="13" t="s">
        <v>1459</v>
      </c>
      <c r="AS7" s="108" t="s">
        <v>1460</v>
      </c>
      <c r="AT7" s="37" t="s">
        <v>1461</v>
      </c>
      <c r="AU7" s="13" t="s">
        <v>1462</v>
      </c>
      <c r="AV7" s="13" t="s">
        <v>1463</v>
      </c>
      <c r="AW7" s="13" t="s">
        <v>1464</v>
      </c>
      <c r="AX7" s="13" t="s">
        <v>1465</v>
      </c>
      <c r="AY7" s="108" t="s">
        <v>1466</v>
      </c>
      <c r="AZ7" s="15" t="s">
        <v>1467</v>
      </c>
      <c r="BA7" s="37">
        <f>IFERROR(VLOOKUP(AZ7,'Module Items'!$A$1:$B$2587,2,FALSE),"")</f>
        <v>95215</v>
      </c>
      <c r="BB7" s="44">
        <f>IFERROR(VLOOKUP(AZ7,'Monthly Line Picks'!$A$1:$D$2000,4,FALSE),"0")</f>
        <v>7</v>
      </c>
      <c r="BC7" s="47" t="s">
        <v>1468</v>
      </c>
      <c r="BD7" s="37">
        <f>IFERROR(VLOOKUP(BC7,'Module Items'!$A$1:$B$2587,2,FALSE),"")</f>
        <v>30233</v>
      </c>
      <c r="BE7" s="44">
        <f>IFERROR(VLOOKUP(BC7,'Monthly Line Picks'!$A$1:$D$2000,4,FALSE),"0")</f>
        <v>8</v>
      </c>
      <c r="BF7" s="47" t="s">
        <v>1469</v>
      </c>
      <c r="BG7" s="37">
        <f>IFERROR(VLOOKUP(BF7,'Module Items'!$A$1:$B$2587,2,FALSE),"")</f>
        <v>127217</v>
      </c>
      <c r="BH7" s="44">
        <f>IFERROR(VLOOKUP(BF7,'Monthly Line Picks'!$A$1:$D$2000,4,FALSE),"0")</f>
        <v>6</v>
      </c>
      <c r="BI7" s="47" t="s">
        <v>1470</v>
      </c>
      <c r="BJ7" s="37">
        <f>IFERROR(VLOOKUP(BI7,'Module Items'!$A$1:$B$2587,2,FALSE),"")</f>
        <v>7294</v>
      </c>
      <c r="BK7" s="44">
        <f>IFERROR(VLOOKUP(BI7,'Monthly Line Picks'!$A$1:$D$2000,4,FALSE),"0")</f>
        <v>3</v>
      </c>
      <c r="BL7" s="47" t="s">
        <v>1471</v>
      </c>
      <c r="BM7" s="37">
        <f>IFERROR(VLOOKUP(BL7,'Module Items'!$A$1:$B$2587,2,FALSE),"")</f>
        <v>114075</v>
      </c>
      <c r="BN7" s="44">
        <f>IFERROR(VLOOKUP(BL7,'Monthly Line Picks'!$A$1:$D$2000,4,FALSE),"0")</f>
        <v>12</v>
      </c>
      <c r="BO7" s="47" t="s">
        <v>1472</v>
      </c>
      <c r="BP7" s="37">
        <f>IFERROR(VLOOKUP(BO7,'Module Items'!$A$1:$B$2587,2,FALSE),"")</f>
        <v>5417</v>
      </c>
      <c r="BQ7" s="44">
        <f>IFERROR(VLOOKUP(BO7,'Monthly Line Picks'!$A$1:$D$2000,4,FALSE),"0")</f>
        <v>4</v>
      </c>
      <c r="BR7" s="222"/>
      <c r="BS7" s="222"/>
      <c r="BT7" s="223"/>
      <c r="BU7" s="233"/>
      <c r="BV7" s="234"/>
      <c r="BW7" s="234"/>
      <c r="BX7" s="37" t="s">
        <v>1473</v>
      </c>
      <c r="BY7" s="13" t="s">
        <v>1474</v>
      </c>
      <c r="BZ7" s="13" t="s">
        <v>1475</v>
      </c>
      <c r="CA7" s="13" t="s">
        <v>1476</v>
      </c>
      <c r="CB7" s="13" t="s">
        <v>1477</v>
      </c>
      <c r="CC7" s="108" t="s">
        <v>1478</v>
      </c>
      <c r="CD7" s="37" t="s">
        <v>1479</v>
      </c>
      <c r="CE7" s="13" t="s">
        <v>1480</v>
      </c>
      <c r="CF7" s="13" t="s">
        <v>1481</v>
      </c>
      <c r="CG7" s="13" t="s">
        <v>1482</v>
      </c>
      <c r="CH7" s="13" t="s">
        <v>1483</v>
      </c>
      <c r="CI7" s="108" t="s">
        <v>1484</v>
      </c>
      <c r="CJ7" s="37" t="s">
        <v>1485</v>
      </c>
      <c r="CK7" s="13" t="s">
        <v>1486</v>
      </c>
      <c r="CL7" s="13" t="s">
        <v>1487</v>
      </c>
      <c r="CM7" s="13" t="s">
        <v>1488</v>
      </c>
      <c r="CN7" s="13" t="s">
        <v>1489</v>
      </c>
      <c r="CO7" s="108" t="s">
        <v>1490</v>
      </c>
      <c r="CP7" s="37" t="s">
        <v>1491</v>
      </c>
      <c r="CQ7" s="13" t="s">
        <v>1492</v>
      </c>
      <c r="CR7" s="13" t="s">
        <v>1493</v>
      </c>
      <c r="CS7" s="13" t="s">
        <v>1494</v>
      </c>
      <c r="CT7" s="13" t="s">
        <v>1495</v>
      </c>
      <c r="CU7" s="108" t="s">
        <v>1496</v>
      </c>
      <c r="CV7" s="37" t="s">
        <v>1497</v>
      </c>
      <c r="CW7" s="13" t="s">
        <v>1498</v>
      </c>
      <c r="CX7" s="13" t="s">
        <v>1499</v>
      </c>
      <c r="CY7" s="13" t="s">
        <v>1500</v>
      </c>
      <c r="CZ7" s="13" t="s">
        <v>1501</v>
      </c>
      <c r="DA7" s="108" t="s">
        <v>1502</v>
      </c>
      <c r="DB7" s="15" t="s">
        <v>1503</v>
      </c>
      <c r="DC7" s="37">
        <f>IFERROR(VLOOKUP(DB7,'Module Items'!$A$1:$B$2587,2,FALSE),"")</f>
        <v>3822</v>
      </c>
      <c r="DD7" s="44">
        <f>IFERROR(VLOOKUP(DB7,'Monthly Line Picks'!$A$1:$D$2000,4,FALSE),"0")</f>
        <v>2</v>
      </c>
      <c r="DE7" s="15" t="s">
        <v>1504</v>
      </c>
      <c r="DF7" s="37">
        <f>IFERROR(VLOOKUP(DE7,'Module Items'!$A$1:$B$2587,2,FALSE),"")</f>
        <v>140952</v>
      </c>
      <c r="DG7" s="44">
        <f>IFERROR(VLOOKUP(DE7,'Monthly Line Picks'!$A$1:$D$2000,4,FALSE),"0")</f>
        <v>3</v>
      </c>
      <c r="DH7" s="47" t="s">
        <v>1505</v>
      </c>
      <c r="DI7" s="37">
        <f>IFERROR(VLOOKUP(DH7,'Module Items'!$A$1:$B$2587,2,FALSE),"")</f>
        <v>141009</v>
      </c>
      <c r="DJ7" s="44">
        <f>IFERROR(VLOOKUP(DH7,'Monthly Line Picks'!$A$1:$D$2000,4,FALSE),"0")</f>
        <v>6</v>
      </c>
      <c r="DK7" s="47" t="s">
        <v>1506</v>
      </c>
      <c r="DL7" s="37">
        <f>IFERROR(VLOOKUP(DK7,'Module Items'!$A$1:$B$2587,2,FALSE),"")</f>
        <v>141119</v>
      </c>
      <c r="DM7" s="44">
        <f>IFERROR(VLOOKUP(DK7,'Monthly Line Picks'!$A$1:$D$2000,4,FALSE),"0")</f>
        <v>7</v>
      </c>
      <c r="DN7" s="47" t="s">
        <v>1507</v>
      </c>
      <c r="DO7" s="37">
        <f>IFERROR(VLOOKUP(DN7,'Module Items'!$A$1:$B$2587,2,FALSE),"")</f>
        <v>140929</v>
      </c>
      <c r="DP7" s="44">
        <f>IFERROR(VLOOKUP(DN7,'Monthly Line Picks'!$A$1:$D$2000,4,FALSE),"0")</f>
        <v>3</v>
      </c>
      <c r="DQ7" s="57" t="s">
        <v>1508</v>
      </c>
      <c r="DR7" s="37">
        <f>IFERROR(VLOOKUP(DQ7,'Module Items'!$A$1:$B$2587,2,FALSE),"")</f>
        <v>141091</v>
      </c>
      <c r="DS7" s="44">
        <f>IFERROR(VLOOKUP(DQ7,'Monthly Line Picks'!$A$1:$D$2000,4,FALSE),"0")</f>
        <v>1</v>
      </c>
    </row>
    <row r="8" spans="2:127" ht="15.95" thickBot="1">
      <c r="B8" s="205"/>
      <c r="C8" s="206"/>
      <c r="D8" s="206"/>
      <c r="E8" s="210"/>
      <c r="F8" s="205"/>
      <c r="G8" s="206"/>
      <c r="H8" s="206"/>
      <c r="I8" s="206"/>
      <c r="J8" s="37">
        <f>IFERROR(VLOOKUP(J7,'Module Items'!$A$1:$B$2587,2,FALSE),"")</f>
        <v>124938</v>
      </c>
      <c r="K8" s="13" t="str">
        <f>IFERROR(VLOOKUP(K7,'Module Items'!$A$1:$B$2587,2,FALSE),"")</f>
        <v>OPEN</v>
      </c>
      <c r="L8" s="13">
        <f>IFERROR(VLOOKUP(L7,'Module Items'!$A$1:$B$2587,2,FALSE),"")</f>
        <v>63778</v>
      </c>
      <c r="M8" s="13">
        <f>IFERROR(VLOOKUP(M7,'Module Items'!$A$1:$B$2587,2,FALSE),"")</f>
        <v>106</v>
      </c>
      <c r="N8" s="13">
        <f>IFERROR(VLOOKUP(N7,'Module Items'!$A$1:$B$2587,2,FALSE),"")</f>
        <v>473</v>
      </c>
      <c r="O8" s="108">
        <f>IFERROR(VLOOKUP(O7,'Module Items'!$A$1:$B$2587,2,FALSE),"")</f>
        <v>25855</v>
      </c>
      <c r="P8" s="37">
        <f>IFERROR(VLOOKUP(P7,'Module Items'!$A$1:$B$2587,2,FALSE),"")</f>
        <v>5972</v>
      </c>
      <c r="Q8" s="13">
        <f>IFERROR(VLOOKUP(Q7,'Module Items'!$A$1:$B$2587,2,FALSE),"")</f>
        <v>32</v>
      </c>
      <c r="R8" s="13">
        <f>IFERROR(VLOOKUP(R7,'Module Items'!$A$1:$B$2587,2,FALSE),"")</f>
        <v>285</v>
      </c>
      <c r="S8" s="13">
        <f>IFERROR(VLOOKUP(S7,'Module Items'!$A$1:$B$2587,2,FALSE),"")</f>
        <v>33595</v>
      </c>
      <c r="T8" s="228"/>
      <c r="U8" s="108">
        <f>IFERROR(VLOOKUP(U7,'Module Items'!$A$1:$B$2587,2,FALSE),"")</f>
        <v>89153</v>
      </c>
      <c r="V8" s="37">
        <f>IFERROR(VLOOKUP(V7,'Module Items'!$A$1:$B$2587,2,FALSE),"")</f>
        <v>82391</v>
      </c>
      <c r="W8" s="13">
        <f>IFERROR(VLOOKUP(W7,'Module Items'!$A$1:$B$2587,2,FALSE),"")</f>
        <v>35111</v>
      </c>
      <c r="X8" s="13">
        <f>IFERROR(VLOOKUP(X7,'Module Items'!$A$1:$B$2587,2,FALSE),"")</f>
        <v>86626</v>
      </c>
      <c r="Y8" s="13">
        <f>IFERROR(VLOOKUP(Y7,'Module Items'!$A$1:$B$2587,2,FALSE),"")</f>
        <v>82390</v>
      </c>
      <c r="Z8" s="13">
        <f>IFERROR(VLOOKUP(Z7,'Module Items'!$A$1:$B$2587,2,FALSE),"")</f>
        <v>79061</v>
      </c>
      <c r="AA8" s="108">
        <f>IFERROR(VLOOKUP(AA7,'Module Items'!$A$1:$B$2587,2,FALSE),"")</f>
        <v>9123</v>
      </c>
      <c r="AB8" s="10">
        <f>IFERROR(VLOOKUP(AB7,'Module Items'!$A$1:$B$2587,2,FALSE),"")</f>
        <v>65037</v>
      </c>
      <c r="AC8" s="13">
        <f>IFERROR(VLOOKUP(AC7,'Module Items'!$A$1:$B$2587,2,FALSE),"")</f>
        <v>89151</v>
      </c>
      <c r="AD8" s="13">
        <f>IFERROR(VLOOKUP(AD7,'Module Items'!$A$1:$B$2587,2,FALSE),"")</f>
        <v>124935</v>
      </c>
      <c r="AE8" s="13">
        <f>IFERROR(VLOOKUP(AE7,'Module Items'!$A$1:$B$2587,2,FALSE),"")</f>
        <v>3042</v>
      </c>
      <c r="AF8" s="13">
        <f>IFERROR(VLOOKUP(AF7,'Module Items'!$A$1:$B$2587,2,FALSE),"")</f>
        <v>130571</v>
      </c>
      <c r="AG8" s="108">
        <f>IFERROR(VLOOKUP(AG7,'Module Items'!$A$1:$B$2587,2,FALSE),"")</f>
        <v>100955</v>
      </c>
      <c r="AH8" s="37">
        <f>IFERROR(VLOOKUP(AH7,'Module Items'!$A$1:$B$2587,2,FALSE),"")</f>
        <v>26814</v>
      </c>
      <c r="AI8" s="13">
        <f>IFERROR(VLOOKUP(AI7,'Module Items'!$A$1:$B$2587,2,FALSE),"")</f>
        <v>1850</v>
      </c>
      <c r="AJ8" s="13">
        <f>IFERROR(VLOOKUP(AJ7,'Module Items'!$A$1:$B$2587,2,FALSE),"")</f>
        <v>31491</v>
      </c>
      <c r="AK8" s="13">
        <f>IFERROR(VLOOKUP(AK7,'Module Items'!$A$1:$B$2587,2,FALSE),"")</f>
        <v>121231</v>
      </c>
      <c r="AL8" s="13">
        <f>IFERROR(VLOOKUP(AL7,'Module Items'!$A$1:$B$2587,2,FALSE),"")</f>
        <v>173075</v>
      </c>
      <c r="AM8" s="108">
        <f>IFERROR(VLOOKUP(AM7,'Module Items'!$A$1:$B$2587,2,FALSE),"")</f>
        <v>127245</v>
      </c>
      <c r="AN8" s="37">
        <f>IFERROR(VLOOKUP(AN7,'Module Items'!$A$1:$B$2587,2,FALSE),"")</f>
        <v>83918</v>
      </c>
      <c r="AO8" s="13">
        <f>IFERROR(VLOOKUP(AO7,'Module Items'!$A$1:$B$2587,2,FALSE),"")</f>
        <v>7378</v>
      </c>
      <c r="AP8" s="13">
        <f>IFERROR(VLOOKUP(AP7,'Module Items'!$A$1:$B$2587,2,FALSE),"")</f>
        <v>112428</v>
      </c>
      <c r="AQ8" s="13">
        <f>IFERROR(VLOOKUP(AQ7,'Module Items'!$A$1:$B$2587,2,FALSE),"")</f>
        <v>157434</v>
      </c>
      <c r="AR8" s="13">
        <f>IFERROR(VLOOKUP(AR7,'Module Items'!$A$1:$B$2587,2,FALSE),"")</f>
        <v>401</v>
      </c>
      <c r="AS8" s="108">
        <f>IFERROR(VLOOKUP(AS7,'Module Items'!$A$1:$B$2587,2,FALSE),"")</f>
        <v>176613</v>
      </c>
      <c r="AT8" s="37">
        <f>IFERROR(VLOOKUP(AT7,'Module Items'!$A$1:$B$2587,2,FALSE),"")</f>
        <v>143143</v>
      </c>
      <c r="AU8" s="13">
        <f>IFERROR(VLOOKUP(AU7,'Module Items'!$A$1:$B$2587,2,FALSE),"")</f>
        <v>140577</v>
      </c>
      <c r="AV8" s="13">
        <f>IFERROR(VLOOKUP(AV7,'Module Items'!$A$1:$B$2587,2,FALSE),"")</f>
        <v>134900</v>
      </c>
      <c r="AW8" s="13" t="str">
        <f>IFERROR(VLOOKUP(AW7,'Module Items'!$A$1:$B$2587,2,FALSE),"")</f>
        <v>OPEN</v>
      </c>
      <c r="AX8" s="13">
        <f>IFERROR(VLOOKUP(AX7,'Module Items'!$A$1:$B$2587,2,FALSE),"")</f>
        <v>156271</v>
      </c>
      <c r="AY8" s="108">
        <f>IFERROR(VLOOKUP(AY7,'Module Items'!$A$1:$B$2587,2,FALSE),"")</f>
        <v>132336</v>
      </c>
      <c r="AZ8" s="15" t="s">
        <v>1509</v>
      </c>
      <c r="BA8" s="37">
        <f>IFERROR(VLOOKUP(AZ8,'Module Items'!$A$1:$B$2587,2,FALSE),"")</f>
        <v>141100</v>
      </c>
      <c r="BB8" s="44" t="str">
        <f>IFERROR(VLOOKUP(AZ8,'Monthly Line Picks'!$A$1:$D$2000,4,FALSE),"0")</f>
        <v>0</v>
      </c>
      <c r="BC8" s="47" t="s">
        <v>1510</v>
      </c>
      <c r="BD8" s="37">
        <f>IFERROR(VLOOKUP(BC8,'Module Items'!$A$1:$B$2587,2,FALSE),"")</f>
        <v>141050</v>
      </c>
      <c r="BE8" s="44" t="str">
        <f>IFERROR(VLOOKUP(BC8,'Monthly Line Picks'!$A$1:$D$2000,4,FALSE),"0")</f>
        <v>0</v>
      </c>
      <c r="BF8" s="47" t="s">
        <v>1511</v>
      </c>
      <c r="BG8" s="37">
        <f>IFERROR(VLOOKUP(BF8,'Module Items'!$A$1:$B$2587,2,FALSE),"")</f>
        <v>7292</v>
      </c>
      <c r="BH8" s="44">
        <f>IFERROR(VLOOKUP(BF8,'Monthly Line Picks'!$A$1:$D$2000,4,FALSE),"0")</f>
        <v>7</v>
      </c>
      <c r="BI8" s="47" t="s">
        <v>1512</v>
      </c>
      <c r="BJ8" s="37">
        <f>IFERROR(VLOOKUP(BI8,'Module Items'!$A$1:$B$2587,2,FALSE),"")</f>
        <v>140953</v>
      </c>
      <c r="BK8" s="44">
        <f>IFERROR(VLOOKUP(BI8,'Monthly Line Picks'!$A$1:$D$2000,4,FALSE),"0")</f>
        <v>3</v>
      </c>
      <c r="BL8" s="47" t="s">
        <v>1513</v>
      </c>
      <c r="BM8" s="37">
        <f>IFERROR(VLOOKUP(BL8,'Module Items'!$A$1:$B$2587,2,FALSE),"")</f>
        <v>35269</v>
      </c>
      <c r="BN8" s="44" t="str">
        <f>IFERROR(VLOOKUP(BL8,'Monthly Line Picks'!$A$1:$D$2000,4,FALSE),"0")</f>
        <v>0</v>
      </c>
      <c r="BO8" s="47" t="s">
        <v>1514</v>
      </c>
      <c r="BP8" s="37">
        <f>IFERROR(VLOOKUP(BO8,'Module Items'!$A$1:$B$2587,2,FALSE),"")</f>
        <v>139885</v>
      </c>
      <c r="BQ8" s="44" t="str">
        <f>IFERROR(VLOOKUP(BO8,'Monthly Line Picks'!$A$1:$D$2000,4,FALSE),"0")</f>
        <v>0</v>
      </c>
      <c r="BR8" s="222"/>
      <c r="BS8" s="222"/>
      <c r="BT8" s="223"/>
      <c r="BU8" s="233"/>
      <c r="BV8" s="234"/>
      <c r="BW8" s="234"/>
      <c r="BX8" s="37" t="str">
        <f>IFERROR(VLOOKUP(BX7,'Module Items'!$A$1:$B$2587,2,FALSE),"")</f>
        <v/>
      </c>
      <c r="BY8" s="13">
        <f>IFERROR(VLOOKUP(BY7,'Module Items'!$A$1:$B$2587,2,FALSE),"")</f>
        <v>100660</v>
      </c>
      <c r="BZ8" s="13">
        <f>IFERROR(VLOOKUP(BZ7,'Module Items'!$A$1:$B$2587,2,FALSE),"")</f>
        <v>132825</v>
      </c>
      <c r="CA8" s="13">
        <f>IFERROR(VLOOKUP(CA7,'Module Items'!$A$1:$B$2587,2,FALSE),"")</f>
        <v>118326</v>
      </c>
      <c r="CB8" s="13">
        <f>IFERROR(VLOOKUP(CB7,'Module Items'!$A$1:$B$2587,2,FALSE),"")</f>
        <v>132828</v>
      </c>
      <c r="CC8" s="108" t="str">
        <f>IFERROR(VLOOKUP(CC7,'Module Items'!$A$1:$B$2587,2,FALSE),"")</f>
        <v>OPEN</v>
      </c>
      <c r="CD8" s="37" t="str">
        <f>IFERROR(VLOOKUP(CD7,'Module Items'!$A$1:$B$2587,2,FALSE),"")</f>
        <v>OPEN</v>
      </c>
      <c r="CE8" s="13">
        <f>IFERROR(VLOOKUP(CE7,'Module Items'!$A$1:$B$2587,2,FALSE),"")</f>
        <v>93376</v>
      </c>
      <c r="CF8" s="13">
        <f>IFERROR(VLOOKUP(CF7,'Module Items'!$A$1:$B$2587,2,FALSE),"")</f>
        <v>129777</v>
      </c>
      <c r="CG8" s="13">
        <f>IFERROR(VLOOKUP(CG7,'Module Items'!$A$1:$B$2587,2,FALSE),"")</f>
        <v>77272</v>
      </c>
      <c r="CH8" s="13" t="str">
        <f>IFERROR(VLOOKUP(CH7,'Module Items'!$A$1:$B$2587,2,FALSE),"")</f>
        <v>OPEN</v>
      </c>
      <c r="CI8" s="108">
        <f>IFERROR(VLOOKUP(CI7,'Module Items'!$A$1:$B$2587,2,FALSE),"")</f>
        <v>116633</v>
      </c>
      <c r="CJ8" s="37">
        <f>IFERROR(VLOOKUP(CJ7,'Module Items'!$A$1:$B$2587,2,FALSE),"")</f>
        <v>138812</v>
      </c>
      <c r="CK8" s="13" t="str">
        <f>IFERROR(VLOOKUP(CK7,'Module Items'!$A$1:$B$2587,2,FALSE),"")</f>
        <v>OPEN</v>
      </c>
      <c r="CL8" s="13">
        <f>IFERROR(VLOOKUP(CL7,'Module Items'!$A$1:$B$2587,2,FALSE),"")</f>
        <v>39737</v>
      </c>
      <c r="CM8" s="13">
        <f>IFERROR(VLOOKUP(CM7,'Module Items'!$A$1:$B$2587,2,FALSE),"")</f>
        <v>134289</v>
      </c>
      <c r="CN8" s="13">
        <f>IFERROR(VLOOKUP(CN7,'Module Items'!$A$1:$B$2587,2,FALSE),"")</f>
        <v>140227</v>
      </c>
      <c r="CO8" s="108">
        <f>IFERROR(VLOOKUP(CO7,'Module Items'!$A$1:$B$2587,2,FALSE),"")</f>
        <v>157031</v>
      </c>
      <c r="CP8" s="37">
        <f>IFERROR(VLOOKUP(CP7,'Module Items'!$A$1:$B$2587,2,FALSE),"")</f>
        <v>137475</v>
      </c>
      <c r="CQ8" s="13">
        <f>IFERROR(VLOOKUP(CQ7,'Module Items'!$A$1:$B$2587,2,FALSE),"")</f>
        <v>137969</v>
      </c>
      <c r="CR8" s="13">
        <f>IFERROR(VLOOKUP(CR7,'Module Items'!$A$1:$B$2587,2,FALSE),"")</f>
        <v>1479</v>
      </c>
      <c r="CS8" s="13" t="str">
        <f>IFERROR(VLOOKUP(CS7,'Module Items'!$A$1:$B$2587,2,FALSE),"")</f>
        <v>OPEN</v>
      </c>
      <c r="CT8" s="13" t="str">
        <f>IFERROR(VLOOKUP(CT7,'Module Items'!$A$1:$B$2587,2,FALSE),"")</f>
        <v/>
      </c>
      <c r="CU8" s="108">
        <f>IFERROR(VLOOKUP(CU7,'Module Items'!$A$1:$B$2587,2,FALSE),"")</f>
        <v>140229</v>
      </c>
      <c r="CV8" s="37" t="str">
        <f>IFERROR(VLOOKUP(CV7,'Module Items'!$A$1:$B$2587,2,FALSE),"")</f>
        <v/>
      </c>
      <c r="CW8" s="13" t="str">
        <f>IFERROR(VLOOKUP(CW7,'Module Items'!$A$1:$B$2587,2,FALSE),"")</f>
        <v/>
      </c>
      <c r="CX8" s="13">
        <f>IFERROR(VLOOKUP(CX7,'Module Items'!$A$1:$B$2587,2,FALSE),"")</f>
        <v>627</v>
      </c>
      <c r="CY8" s="13" t="str">
        <f>IFERROR(VLOOKUP(CY7,'Module Items'!$A$1:$B$2587,2,FALSE),"")</f>
        <v>OPEN</v>
      </c>
      <c r="CZ8" s="13">
        <f>IFERROR(VLOOKUP(CZ7,'Module Items'!$A$1:$B$2587,2,FALSE),"")</f>
        <v>125688</v>
      </c>
      <c r="DA8" s="108">
        <f>IFERROR(VLOOKUP(DA7,'Module Items'!$A$1:$B$2587,2,FALSE),"")</f>
        <v>104816</v>
      </c>
      <c r="DB8" s="15" t="s">
        <v>1515</v>
      </c>
      <c r="DC8" s="37">
        <f>IFERROR(VLOOKUP(DB8,'Module Items'!$A$1:$B$2587,2,FALSE),"")</f>
        <v>140925</v>
      </c>
      <c r="DD8" s="44">
        <f>IFERROR(VLOOKUP(DB8,'Monthly Line Picks'!$A$1:$D$2000,4,FALSE),"0")</f>
        <v>2</v>
      </c>
      <c r="DE8" s="15" t="s">
        <v>1516</v>
      </c>
      <c r="DF8" s="37">
        <f>IFERROR(VLOOKUP(DE8,'Module Items'!$A$1:$B$2587,2,FALSE),"")</f>
        <v>203739</v>
      </c>
      <c r="DG8" s="44" t="str">
        <f>IFERROR(VLOOKUP(DE8,'Monthly Line Picks'!$A$1:$D$2000,4,FALSE),"0")</f>
        <v>0</v>
      </c>
      <c r="DH8" s="47" t="s">
        <v>1517</v>
      </c>
      <c r="DI8" s="37">
        <f>IFERROR(VLOOKUP(DH8,'Module Items'!$A$1:$B$2587,2,FALSE),"")</f>
        <v>141095</v>
      </c>
      <c r="DJ8" s="44">
        <f>IFERROR(VLOOKUP(DH8,'Monthly Line Picks'!$A$1:$D$2000,4,FALSE),"0")</f>
        <v>4</v>
      </c>
      <c r="DK8" s="47" t="s">
        <v>1518</v>
      </c>
      <c r="DL8" s="37">
        <f>IFERROR(VLOOKUP(DK8,'Module Items'!$A$1:$B$2587,2,FALSE),"")</f>
        <v>141022</v>
      </c>
      <c r="DM8" s="44">
        <f>IFERROR(VLOOKUP(DK8,'Monthly Line Picks'!$A$1:$D$2000,4,FALSE),"0")</f>
        <v>3</v>
      </c>
      <c r="DN8" s="47" t="s">
        <v>1519</v>
      </c>
      <c r="DO8" s="37">
        <f>IFERROR(VLOOKUP(DN8,'Module Items'!$A$1:$B$2587,2,FALSE),"")</f>
        <v>141101</v>
      </c>
      <c r="DP8" s="44" t="str">
        <f>IFERROR(VLOOKUP(DN8,'Monthly Line Picks'!$A$1:$D$2000,4,FALSE),"0")</f>
        <v>0</v>
      </c>
      <c r="DQ8" s="57" t="s">
        <v>1520</v>
      </c>
      <c r="DR8" s="37">
        <f>IFERROR(VLOOKUP(DQ8,'Module Items'!$A$1:$B$2587,2,FALSE),"")</f>
        <v>127215</v>
      </c>
      <c r="DS8" s="44">
        <f>IFERROR(VLOOKUP(DQ8,'Monthly Line Picks'!$A$1:$D$2000,4,FALSE),"0")</f>
        <v>1</v>
      </c>
    </row>
    <row r="9" spans="2:127" ht="15.95" thickBot="1">
      <c r="B9" s="205"/>
      <c r="C9" s="206"/>
      <c r="D9" s="206"/>
      <c r="E9" s="210"/>
      <c r="F9" s="205"/>
      <c r="G9" s="206"/>
      <c r="H9" s="206"/>
      <c r="I9" s="206"/>
      <c r="J9" s="56">
        <f>IFERROR(VLOOKUP(J7,'Monthly Line Picks'!$A$1:$D$2101,4,FALSE),"0")</f>
        <v>82</v>
      </c>
      <c r="K9" s="47" t="str">
        <f>IFERROR(VLOOKUP(K7,'Monthly Line Picks'!$A$1:$D$2101,4,FALSE),"0")</f>
        <v>0</v>
      </c>
      <c r="L9" s="47">
        <f>IFERROR(VLOOKUP(L7,'Monthly Line Picks'!$A$1:$D$2101,4,FALSE),"0")</f>
        <v>206</v>
      </c>
      <c r="M9" s="47">
        <f>IFERROR(VLOOKUP(M7,'Monthly Line Picks'!$A$1:$D$2101,4,FALSE),"0")</f>
        <v>170</v>
      </c>
      <c r="N9" s="47">
        <f>IFERROR(VLOOKUP(N7,'Monthly Line Picks'!$A$1:$D$2101,4,FALSE),"0")</f>
        <v>60</v>
      </c>
      <c r="O9" s="57" t="str">
        <f>IFERROR(VLOOKUP(O7,'Monthly Line Picks'!$A$1:$D$2101,4,FALSE),"0")</f>
        <v>0</v>
      </c>
      <c r="P9" s="56">
        <f>IFERROR(VLOOKUP(P7,'Monthly Line Picks'!$A$1:$D$2101,4,FALSE),"0")</f>
        <v>2</v>
      </c>
      <c r="Q9" s="47">
        <f>IFERROR(VLOOKUP(Q7,'Monthly Line Picks'!$A$1:$D$2101,4,FALSE),"0")</f>
        <v>87</v>
      </c>
      <c r="R9" s="47">
        <f>IFERROR(VLOOKUP(R7,'Monthly Line Picks'!$A$1:$D$2101,4,FALSE),"0")</f>
        <v>58</v>
      </c>
      <c r="S9" s="47">
        <f>IFERROR(VLOOKUP(S7,'Monthly Line Picks'!$A$1:$D$2101,4,FALSE),"0")</f>
        <v>20</v>
      </c>
      <c r="T9" s="228"/>
      <c r="U9" s="57">
        <f>IFERROR(VLOOKUP(U7,'Monthly Line Picks'!$A$1:$D$2101,4,FALSE),"0")</f>
        <v>29</v>
      </c>
      <c r="V9" s="56">
        <f>IFERROR(VLOOKUP(V7,'Monthly Line Picks'!$A$1:$D$2101,4,FALSE),"0")</f>
        <v>45</v>
      </c>
      <c r="W9" s="47">
        <f>IFERROR(VLOOKUP(W7,'Monthly Line Picks'!$A$1:$D$2101,4,FALSE),"0")</f>
        <v>103</v>
      </c>
      <c r="X9" s="47" t="str">
        <f>IFERROR(VLOOKUP(X7,'Monthly Line Picks'!$A$1:$D$2101,4,FALSE),"0")</f>
        <v>0</v>
      </c>
      <c r="Y9" s="47">
        <f>IFERROR(VLOOKUP(Y7,'Monthly Line Picks'!$A$1:$D$2101,4,FALSE),"0")</f>
        <v>58</v>
      </c>
      <c r="Z9" s="47">
        <f>IFERROR(VLOOKUP(Z7,'Monthly Line Picks'!$A$1:$D$2101,4,FALSE),"0")</f>
        <v>98</v>
      </c>
      <c r="AA9" s="57">
        <f>IFERROR(VLOOKUP(AA7,'Monthly Line Picks'!$A$1:$D$2101,4,FALSE),"0")</f>
        <v>5</v>
      </c>
      <c r="AB9" s="15">
        <f>IFERROR(VLOOKUP(AB7,'Monthly Line Picks'!$A$1:$D$2101,4,FALSE),"0")</f>
        <v>53</v>
      </c>
      <c r="AC9" s="47">
        <f>IFERROR(VLOOKUP(AC7,'Monthly Line Picks'!$A$1:$D$2101,4,FALSE),"0")</f>
        <v>160</v>
      </c>
      <c r="AD9" s="47">
        <f>IFERROR(VLOOKUP(AD7,'Monthly Line Picks'!$A$1:$D$2101,4,FALSE),"0")</f>
        <v>128</v>
      </c>
      <c r="AE9" s="47">
        <f>IFERROR(VLOOKUP(AE7,'Monthly Line Picks'!$A$1:$D$2101,4,FALSE),"0")</f>
        <v>91</v>
      </c>
      <c r="AF9" s="47">
        <f>IFERROR(VLOOKUP(AF7,'Monthly Line Picks'!$A$1:$D$2101,4,FALSE),"0")</f>
        <v>1</v>
      </c>
      <c r="AG9" s="57">
        <f>IFERROR(VLOOKUP(AG7,'Monthly Line Picks'!$A$1:$D$2101,4,FALSE),"0")</f>
        <v>393</v>
      </c>
      <c r="AH9" s="56">
        <f>IFERROR(VLOOKUP(AH7,'Monthly Line Picks'!$A$1:$D$2101,4,FALSE),"0")</f>
        <v>34</v>
      </c>
      <c r="AI9" s="47">
        <f>IFERROR(VLOOKUP(AI7,'Monthly Line Picks'!$A$1:$D$2101,4,FALSE),"0")</f>
        <v>121</v>
      </c>
      <c r="AJ9" s="47">
        <f>IFERROR(VLOOKUP(AJ7,'Monthly Line Picks'!$A$1:$D$2101,4,FALSE),"0")</f>
        <v>2</v>
      </c>
      <c r="AK9" s="47">
        <f>IFERROR(VLOOKUP(AK7,'Monthly Line Picks'!$A$1:$D$2101,4,FALSE),"0")</f>
        <v>13</v>
      </c>
      <c r="AL9" s="47">
        <f>IFERROR(VLOOKUP(AL7,'Monthly Line Picks'!$A$1:$D$2101,4,FALSE),"0")</f>
        <v>277</v>
      </c>
      <c r="AM9" s="57">
        <f>IFERROR(VLOOKUP(AM7,'Monthly Line Picks'!$A$1:$D$2101,4,FALSE),"0")</f>
        <v>62</v>
      </c>
      <c r="AN9" s="56">
        <f>IFERROR(VLOOKUP(AN7,'Monthly Line Picks'!$A$1:$D$2101,4,FALSE),"0")</f>
        <v>6</v>
      </c>
      <c r="AO9" s="47">
        <f>IFERROR(VLOOKUP(AO7,'Monthly Line Picks'!$A$1:$D$2101,4,FALSE),"0")</f>
        <v>4</v>
      </c>
      <c r="AP9" s="47">
        <f>IFERROR(VLOOKUP(AP7,'Monthly Line Picks'!$A$1:$D$2101,4,FALSE),"0")</f>
        <v>21</v>
      </c>
      <c r="AQ9" s="47">
        <f>IFERROR(VLOOKUP(AQ7,'Monthly Line Picks'!$A$1:$D$2101,4,FALSE),"0")</f>
        <v>9</v>
      </c>
      <c r="AR9" s="47">
        <f>IFERROR(VLOOKUP(AR7,'Monthly Line Picks'!$A$1:$D$2101,4,FALSE),"0")</f>
        <v>18</v>
      </c>
      <c r="AS9" s="57">
        <f>IFERROR(VLOOKUP(AS7,'Monthly Line Picks'!$A$1:$D$2101,4,FALSE),"0")</f>
        <v>34</v>
      </c>
      <c r="AT9" s="56">
        <f>IFERROR(VLOOKUP(AT7,'Monthly Line Picks'!$A$1:$D$2101,4,FALSE),"0")</f>
        <v>17</v>
      </c>
      <c r="AU9" s="47">
        <f>IFERROR(VLOOKUP(AU7,'Monthly Line Picks'!$A$1:$D$2101,4,FALSE),"0")</f>
        <v>11</v>
      </c>
      <c r="AV9" s="47" t="str">
        <f>IFERROR(VLOOKUP(AV7,'Monthly Line Picks'!$A$1:$D$2101,4,FALSE),"0")</f>
        <v>0</v>
      </c>
      <c r="AW9" s="47" t="str">
        <f>IFERROR(VLOOKUP(AW7,'Monthly Line Picks'!$A$1:$D$2101,4,FALSE),"0")</f>
        <v>0</v>
      </c>
      <c r="AX9" s="47">
        <f>IFERROR(VLOOKUP(AX7,'Monthly Line Picks'!$A$1:$D$2101,4,FALSE),"0")</f>
        <v>14</v>
      </c>
      <c r="AY9" s="57" t="str">
        <f>IFERROR(VLOOKUP(AY7,'Monthly Line Picks'!$A$1:$D$2101,4,FALSE),"0")</f>
        <v>0</v>
      </c>
      <c r="AZ9" s="15" t="s">
        <v>1521</v>
      </c>
      <c r="BA9" s="37">
        <f>IFERROR(VLOOKUP(AZ9,'Module Items'!$A$1:$B$2587,2,FALSE),"")</f>
        <v>178281</v>
      </c>
      <c r="BB9" s="44" t="str">
        <f>IFERROR(VLOOKUP(AZ9,'Monthly Line Picks'!$A$1:$D$2000,4,FALSE),"0")</f>
        <v>0</v>
      </c>
      <c r="BC9" s="47" t="s">
        <v>1522</v>
      </c>
      <c r="BD9" s="37">
        <f>IFERROR(VLOOKUP(BC9,'Module Items'!$A$1:$B$2587,2,FALSE),"")</f>
        <v>133445</v>
      </c>
      <c r="BE9" s="44" t="str">
        <f>IFERROR(VLOOKUP(BC9,'Monthly Line Picks'!$A$1:$D$2000,4,FALSE),"0")</f>
        <v>0</v>
      </c>
      <c r="BF9" s="47" t="s">
        <v>1523</v>
      </c>
      <c r="BG9" s="37">
        <f>IFERROR(VLOOKUP(BF9,'Module Items'!$A$1:$B$2587,2,FALSE),"")</f>
        <v>81885</v>
      </c>
      <c r="BH9" s="44" t="str">
        <f>IFERROR(VLOOKUP(BF9,'Monthly Line Picks'!$A$1:$D$2000,4,FALSE),"0")</f>
        <v>0</v>
      </c>
      <c r="BI9" s="47" t="s">
        <v>1524</v>
      </c>
      <c r="BJ9" s="37">
        <f>IFERROR(VLOOKUP(BI9,'Module Items'!$A$1:$B$2587,2,FALSE),"")</f>
        <v>177133</v>
      </c>
      <c r="BK9" s="44" t="str">
        <f>IFERROR(VLOOKUP(BI9,'Monthly Line Picks'!$A$1:$D$2000,4,FALSE),"0")</f>
        <v>0</v>
      </c>
      <c r="BL9" s="47" t="s">
        <v>1525</v>
      </c>
      <c r="BM9" s="37">
        <f>IFERROR(VLOOKUP(BL9,'Module Items'!$A$1:$B$2587,2,FALSE),"")</f>
        <v>1589</v>
      </c>
      <c r="BN9" s="44" t="str">
        <f>IFERROR(VLOOKUP(BL9,'Monthly Line Picks'!$A$1:$D$2000,4,FALSE),"0")</f>
        <v>0</v>
      </c>
      <c r="BO9" s="47" t="s">
        <v>1526</v>
      </c>
      <c r="BP9" s="37">
        <f>IFERROR(VLOOKUP(BO9,'Module Items'!$A$1:$B$2587,2,FALSE),"")</f>
        <v>133870</v>
      </c>
      <c r="BQ9" s="44" t="str">
        <f>IFERROR(VLOOKUP(BO9,'Monthly Line Picks'!$A$1:$D$2000,4,FALSE),"0")</f>
        <v>0</v>
      </c>
      <c r="BR9" s="222"/>
      <c r="BS9" s="222"/>
      <c r="BT9" s="223"/>
      <c r="BU9" s="233"/>
      <c r="BV9" s="234"/>
      <c r="BW9" s="234"/>
      <c r="BX9" s="56" t="str">
        <f>IFERROR(VLOOKUP(BX7,'Monthly Line Picks'!$A$1:$D$1458,4,FALSE),"0")</f>
        <v>0</v>
      </c>
      <c r="BY9" s="47">
        <f>IFERROR(VLOOKUP(BY7,'Monthly Line Picks'!$A$1:$D$1458,4,FALSE),"0")</f>
        <v>7</v>
      </c>
      <c r="BZ9" s="47">
        <f>IFERROR(VLOOKUP(BZ7,'Monthly Line Picks'!$A$1:$D$1458,4,FALSE),"0")</f>
        <v>18</v>
      </c>
      <c r="CA9" s="47">
        <f>IFERROR(VLOOKUP(CA7,'Monthly Line Picks'!$A$1:$D$1458,4,FALSE),"0")</f>
        <v>19</v>
      </c>
      <c r="CB9" s="47">
        <f>IFERROR(VLOOKUP(CB7,'Monthly Line Picks'!$A$1:$D$1458,4,FALSE),"0")</f>
        <v>25</v>
      </c>
      <c r="CC9" s="57" t="str">
        <f>IFERROR(VLOOKUP(CC7,'Monthly Line Picks'!$A$1:$D$1458,4,FALSE),"0")</f>
        <v>0</v>
      </c>
      <c r="CD9" s="56" t="str">
        <f>IFERROR(VLOOKUP(CD7,'Monthly Line Picks'!$A$1:$D$1458,4,FALSE),"0")</f>
        <v>0</v>
      </c>
      <c r="CE9" s="47" t="str">
        <f>IFERROR(VLOOKUP(CE7,'Monthly Line Picks'!$A$1:$D$1458,4,FALSE),"0")</f>
        <v>0</v>
      </c>
      <c r="CF9" s="47">
        <f>IFERROR(VLOOKUP(CF7,'Monthly Line Picks'!$A$1:$D$1458,4,FALSE),"0")</f>
        <v>21</v>
      </c>
      <c r="CG9" s="47" t="str">
        <f>IFERROR(VLOOKUP(CG7,'Monthly Line Picks'!$A$1:$D$1458,4,FALSE),"0")</f>
        <v>0</v>
      </c>
      <c r="CH9" s="47" t="str">
        <f>IFERROR(VLOOKUP(CH7,'Monthly Line Picks'!$A$1:$D$1458,4,FALSE),"0")</f>
        <v>0</v>
      </c>
      <c r="CI9" s="57">
        <f>IFERROR(VLOOKUP(CI7,'Monthly Line Picks'!$A$1:$D$1458,4,FALSE),"0")</f>
        <v>23</v>
      </c>
      <c r="CJ9" s="56">
        <f>IFERROR(VLOOKUP(CJ7,'Monthly Line Picks'!$A$1:$D$1458,4,FALSE),"0")</f>
        <v>6</v>
      </c>
      <c r="CK9" s="47" t="str">
        <f>IFERROR(VLOOKUP(CK7,'Monthly Line Picks'!$A$1:$D$1458,4,FALSE),"0")</f>
        <v>0</v>
      </c>
      <c r="CL9" s="47">
        <f>IFERROR(VLOOKUP(CL7,'Monthly Line Picks'!$A$1:$D$1458,4,FALSE),"0")</f>
        <v>9</v>
      </c>
      <c r="CM9" s="47" t="str">
        <f>IFERROR(VLOOKUP(CM7,'Monthly Line Picks'!$A$1:$D$1458,4,FALSE),"0")</f>
        <v>0</v>
      </c>
      <c r="CN9" s="47" t="str">
        <f>IFERROR(VLOOKUP(CN7,'Monthly Line Picks'!$A$1:$D$1458,4,FALSE),"0")</f>
        <v>0</v>
      </c>
      <c r="CO9" s="57">
        <f>IFERROR(VLOOKUP(CO7,'Monthly Line Picks'!$A$1:$D$1458,4,FALSE),"0")</f>
        <v>48</v>
      </c>
      <c r="CP9" s="56" t="str">
        <f>IFERROR(VLOOKUP(CP7,'Monthly Line Picks'!$A$1:$D$1458,4,FALSE),"0")</f>
        <v>0</v>
      </c>
      <c r="CQ9" s="47">
        <f>IFERROR(VLOOKUP(CQ7,'Monthly Line Picks'!$A$1:$D$1458,4,FALSE),"0")</f>
        <v>13</v>
      </c>
      <c r="CR9" s="47">
        <f>IFERROR(VLOOKUP(CR7,'Monthly Line Picks'!$A$1:$D$1458,4,FALSE),"0")</f>
        <v>15</v>
      </c>
      <c r="CS9" s="47" t="str">
        <f>IFERROR(VLOOKUP(CS7,'Monthly Line Picks'!$A$1:$D$1458,4,FALSE),"0")</f>
        <v>0</v>
      </c>
      <c r="CT9" s="47" t="str">
        <f>IFERROR(VLOOKUP(CT7,'Monthly Line Picks'!$A$1:$D$1458,4,FALSE),"0")</f>
        <v>0</v>
      </c>
      <c r="CU9" s="57">
        <f>IFERROR(VLOOKUP(CU7,'Monthly Line Picks'!$A$1:$D$1458,4,FALSE),"0")</f>
        <v>443</v>
      </c>
      <c r="CV9" s="56" t="str">
        <f>IFERROR(VLOOKUP(CV7,'Monthly Line Picks'!$A$1:$D$1458,4,FALSE),"0")</f>
        <v>0</v>
      </c>
      <c r="CW9" s="47" t="str">
        <f>IFERROR(VLOOKUP(CW7,'Monthly Line Picks'!$A$1:$D$1458,4,FALSE),"0")</f>
        <v>0</v>
      </c>
      <c r="CX9" s="47" t="str">
        <f>IFERROR(VLOOKUP(CX7,'Monthly Line Picks'!$A$1:$D$1458,4,FALSE),"0")</f>
        <v>0</v>
      </c>
      <c r="CY9" s="47" t="str">
        <f>IFERROR(VLOOKUP(CY7,'Monthly Line Picks'!$A$1:$D$1458,4,FALSE),"0")</f>
        <v>0</v>
      </c>
      <c r="CZ9" s="47">
        <f>IFERROR(VLOOKUP(CZ7,'Monthly Line Picks'!$A$1:$D$1458,4,FALSE),"0")</f>
        <v>26</v>
      </c>
      <c r="DA9" s="57" t="str">
        <f>IFERROR(VLOOKUP(DA7,'Monthly Line Picks'!$A$1:$D$1458,4,FALSE),"0")</f>
        <v>0</v>
      </c>
      <c r="DB9" s="15" t="s">
        <v>1527</v>
      </c>
      <c r="DC9" s="37">
        <f>IFERROR(VLOOKUP(DB9,'Module Items'!$A$1:$B$2587,2,FALSE),"")</f>
        <v>141079</v>
      </c>
      <c r="DD9" s="44">
        <f>IFERROR(VLOOKUP(DB9,'Monthly Line Picks'!$A$1:$D$2000,4,FALSE),"0")</f>
        <v>1</v>
      </c>
      <c r="DE9" s="15" t="s">
        <v>1528</v>
      </c>
      <c r="DF9" s="37">
        <f>IFERROR(VLOOKUP(DE9,'Module Items'!$A$1:$B$2587,2,FALSE),"")</f>
        <v>141090</v>
      </c>
      <c r="DG9" s="44">
        <f>IFERROR(VLOOKUP(DE9,'Monthly Line Picks'!$A$1:$D$2000,4,FALSE),"0")</f>
        <v>2</v>
      </c>
      <c r="DH9" s="47" t="s">
        <v>1529</v>
      </c>
      <c r="DI9" s="37">
        <f>IFERROR(VLOOKUP(DH9,'Module Items'!$A$1:$B$2587,2,FALSE),"")</f>
        <v>141089</v>
      </c>
      <c r="DJ9" s="44" t="str">
        <f>IFERROR(VLOOKUP(DH9,'Monthly Line Picks'!$A$1:$D$2000,4,FALSE),"0")</f>
        <v>0</v>
      </c>
      <c r="DK9" s="61" t="s">
        <v>1530</v>
      </c>
      <c r="DL9" s="37">
        <f>IFERROR(VLOOKUP(DK9,'Module Items'!$A$1:$B$2587,2,FALSE),"")</f>
        <v>7288</v>
      </c>
      <c r="DM9" s="44">
        <f>IFERROR(VLOOKUP(DK9,'Monthly Line Picks'!$A$1:$D$2000,4,FALSE),"0")</f>
        <v>1</v>
      </c>
      <c r="DN9" s="47" t="s">
        <v>1531</v>
      </c>
      <c r="DO9" s="37">
        <f>IFERROR(VLOOKUP(DN9,'Module Items'!$A$1:$B$2587,2,FALSE),"")</f>
        <v>14297</v>
      </c>
      <c r="DP9" s="44">
        <f>IFERROR(VLOOKUP(DN9,'Monthly Line Picks'!$A$1:$D$2000,4,FALSE),"0")</f>
        <v>1</v>
      </c>
      <c r="DQ9" s="57" t="s">
        <v>1532</v>
      </c>
      <c r="DR9" s="37">
        <f>IFERROR(VLOOKUP(DQ9,'Module Items'!$A$1:$B$2587,2,FALSE),"")</f>
        <v>62127</v>
      </c>
      <c r="DS9" s="44" t="str">
        <f>IFERROR(VLOOKUP(DQ9,'Monthly Line Picks'!$A$1:$D$2000,4,FALSE),"0")</f>
        <v>0</v>
      </c>
    </row>
    <row r="10" spans="2:127" ht="15.95" thickBot="1">
      <c r="B10" s="205"/>
      <c r="C10" s="206"/>
      <c r="D10" s="206"/>
      <c r="E10" s="210"/>
      <c r="F10" s="205"/>
      <c r="G10" s="206"/>
      <c r="H10" s="206"/>
      <c r="I10" s="206"/>
      <c r="J10" s="37" t="s">
        <v>1533</v>
      </c>
      <c r="K10" s="13" t="s">
        <v>1534</v>
      </c>
      <c r="L10" s="13" t="s">
        <v>1535</v>
      </c>
      <c r="M10" s="13" t="s">
        <v>1536</v>
      </c>
      <c r="N10" s="13" t="s">
        <v>1537</v>
      </c>
      <c r="O10" s="108" t="s">
        <v>1538</v>
      </c>
      <c r="P10" s="37" t="s">
        <v>1539</v>
      </c>
      <c r="Q10" s="13" t="s">
        <v>1540</v>
      </c>
      <c r="R10" s="13" t="s">
        <v>1541</v>
      </c>
      <c r="S10" s="13" t="s">
        <v>1542</v>
      </c>
      <c r="T10" s="228"/>
      <c r="U10" s="108" t="str">
        <f>IFERROR(VLOOKUP(U9,'Module Items'!$A$1:$B$2587,2,FALSE),"")</f>
        <v/>
      </c>
      <c r="V10" s="37" t="s">
        <v>1543</v>
      </c>
      <c r="W10" s="13" t="s">
        <v>1544</v>
      </c>
      <c r="X10" s="13" t="s">
        <v>1545</v>
      </c>
      <c r="Y10" s="13" t="s">
        <v>1546</v>
      </c>
      <c r="Z10" s="13" t="s">
        <v>1547</v>
      </c>
      <c r="AA10" s="108" t="s">
        <v>1548</v>
      </c>
      <c r="AB10" s="10" t="s">
        <v>1549</v>
      </c>
      <c r="AC10" s="13" t="s">
        <v>1550</v>
      </c>
      <c r="AD10" s="13" t="s">
        <v>1551</v>
      </c>
      <c r="AE10" s="13" t="s">
        <v>1552</v>
      </c>
      <c r="AF10" s="13" t="s">
        <v>1553</v>
      </c>
      <c r="AG10" s="108" t="s">
        <v>1554</v>
      </c>
      <c r="AH10" s="37" t="s">
        <v>1555</v>
      </c>
      <c r="AI10" s="13" t="s">
        <v>1556</v>
      </c>
      <c r="AJ10" s="13" t="s">
        <v>1557</v>
      </c>
      <c r="AK10" s="13" t="s">
        <v>1558</v>
      </c>
      <c r="AL10" s="13" t="s">
        <v>1559</v>
      </c>
      <c r="AM10" s="108" t="s">
        <v>1560</v>
      </c>
      <c r="AN10" s="37" t="s">
        <v>1561</v>
      </c>
      <c r="AO10" s="13" t="s">
        <v>1562</v>
      </c>
      <c r="AP10" s="13" t="s">
        <v>1563</v>
      </c>
      <c r="AQ10" s="13" t="s">
        <v>1564</v>
      </c>
      <c r="AR10" s="13" t="s">
        <v>1565</v>
      </c>
      <c r="AS10" s="108" t="s">
        <v>1566</v>
      </c>
      <c r="AT10" s="37" t="s">
        <v>1567</v>
      </c>
      <c r="AU10" s="13" t="s">
        <v>1568</v>
      </c>
      <c r="AV10" s="13" t="s">
        <v>1569</v>
      </c>
      <c r="AW10" s="13" t="s">
        <v>1570</v>
      </c>
      <c r="AX10" s="13" t="s">
        <v>1571</v>
      </c>
      <c r="AY10" s="108" t="s">
        <v>1572</v>
      </c>
      <c r="AZ10" s="15" t="s">
        <v>1573</v>
      </c>
      <c r="BA10" s="37" t="str">
        <f>IFERROR(VLOOKUP(AZ10,'Module Items'!$A$1:$B$2587,2,FALSE),"")</f>
        <v/>
      </c>
      <c r="BB10" s="44" t="str">
        <f>IFERROR(VLOOKUP(AZ10,'Monthly Line Picks'!$A$1:$D$2000,4,FALSE),"0")</f>
        <v>0</v>
      </c>
      <c r="BC10" s="47" t="s">
        <v>1574</v>
      </c>
      <c r="BD10" s="37">
        <f>IFERROR(VLOOKUP(BC10,'Module Items'!$A$1:$B$2587,2,FALSE),"")</f>
        <v>348</v>
      </c>
      <c r="BE10" s="44">
        <f>IFERROR(VLOOKUP(BC10,'Monthly Line Picks'!$A$1:$D$2000,4,FALSE),"0")</f>
        <v>1</v>
      </c>
      <c r="BF10" s="47" t="s">
        <v>1575</v>
      </c>
      <c r="BG10" s="37">
        <f>IFERROR(VLOOKUP(BF10,'Module Items'!$A$1:$B$2587,2,FALSE),"")</f>
        <v>7295</v>
      </c>
      <c r="BH10" s="44">
        <f>IFERROR(VLOOKUP(BF10,'Monthly Line Picks'!$A$1:$D$2000,4,FALSE),"0")</f>
        <v>1</v>
      </c>
      <c r="BI10" s="47" t="s">
        <v>1576</v>
      </c>
      <c r="BJ10" s="37">
        <f>IFERROR(VLOOKUP(BI10,'Module Items'!$A$1:$B$2587,2,FALSE),"")</f>
        <v>123544</v>
      </c>
      <c r="BK10" s="44">
        <f>IFERROR(VLOOKUP(BI10,'Monthly Line Picks'!$A$1:$D$2000,4,FALSE),"0")</f>
        <v>4</v>
      </c>
      <c r="BL10" s="47" t="s">
        <v>1577</v>
      </c>
      <c r="BM10" s="37">
        <f>IFERROR(VLOOKUP(BL10,'Module Items'!$A$1:$B$2587,2,FALSE),"")</f>
        <v>118908</v>
      </c>
      <c r="BN10" s="44" t="str">
        <f>IFERROR(VLOOKUP(BL10,'Monthly Line Picks'!$A$1:$D$2000,4,FALSE),"0")</f>
        <v>0</v>
      </c>
      <c r="BO10" s="47" t="s">
        <v>1578</v>
      </c>
      <c r="BP10" s="37">
        <f>IFERROR(VLOOKUP(BO10,'Module Items'!$A$1:$B$2587,2,FALSE),"")</f>
        <v>20246</v>
      </c>
      <c r="BQ10" s="44">
        <f>IFERROR(VLOOKUP(BO10,'Monthly Line Picks'!$A$1:$D$2000,4,FALSE),"0")</f>
        <v>1</v>
      </c>
      <c r="BR10" s="222"/>
      <c r="BS10" s="222"/>
      <c r="BT10" s="223"/>
      <c r="BU10" s="233"/>
      <c r="BV10" s="234"/>
      <c r="BW10" s="234"/>
      <c r="BX10" s="37" t="s">
        <v>1579</v>
      </c>
      <c r="BY10" s="13" t="s">
        <v>1580</v>
      </c>
      <c r="BZ10" s="13" t="s">
        <v>1581</v>
      </c>
      <c r="CA10" s="13" t="s">
        <v>1582</v>
      </c>
      <c r="CB10" s="13" t="s">
        <v>1583</v>
      </c>
      <c r="CC10" s="108" t="s">
        <v>1584</v>
      </c>
      <c r="CD10" s="37" t="s">
        <v>1585</v>
      </c>
      <c r="CE10" s="13" t="s">
        <v>1586</v>
      </c>
      <c r="CF10" s="13" t="s">
        <v>1587</v>
      </c>
      <c r="CG10" s="13" t="s">
        <v>1588</v>
      </c>
      <c r="CH10" s="13" t="s">
        <v>1589</v>
      </c>
      <c r="CI10" s="108" t="s">
        <v>1590</v>
      </c>
      <c r="CJ10" s="37" t="s">
        <v>1591</v>
      </c>
      <c r="CK10" s="13" t="s">
        <v>1592</v>
      </c>
      <c r="CL10" s="13" t="s">
        <v>1593</v>
      </c>
      <c r="CM10" s="13" t="s">
        <v>1594</v>
      </c>
      <c r="CN10" s="13" t="s">
        <v>1595</v>
      </c>
      <c r="CO10" s="108" t="s">
        <v>1596</v>
      </c>
      <c r="CP10" s="37" t="s">
        <v>1597</v>
      </c>
      <c r="CQ10" s="13" t="s">
        <v>1598</v>
      </c>
      <c r="CR10" s="13" t="s">
        <v>1599</v>
      </c>
      <c r="CS10" s="13" t="s">
        <v>1600</v>
      </c>
      <c r="CT10" s="13" t="s">
        <v>1601</v>
      </c>
      <c r="CU10" s="108" t="s">
        <v>1602</v>
      </c>
      <c r="CV10" s="37" t="s">
        <v>1603</v>
      </c>
      <c r="CW10" s="13" t="s">
        <v>1604</v>
      </c>
      <c r="CX10" s="13" t="s">
        <v>1605</v>
      </c>
      <c r="CY10" s="13" t="s">
        <v>1606</v>
      </c>
      <c r="CZ10" s="13" t="s">
        <v>1607</v>
      </c>
      <c r="DA10" s="108" t="s">
        <v>1608</v>
      </c>
      <c r="DB10" s="15" t="s">
        <v>1609</v>
      </c>
      <c r="DC10" s="37">
        <f>IFERROR(VLOOKUP(DB10,'Module Items'!$A$1:$B$2587,2,FALSE),"")</f>
        <v>160119</v>
      </c>
      <c r="DD10" s="44">
        <f>IFERROR(VLOOKUP(DB10,'Monthly Line Picks'!$A$1:$D$2000,4,FALSE),"0")</f>
        <v>3</v>
      </c>
      <c r="DE10" s="15" t="s">
        <v>1610</v>
      </c>
      <c r="DF10" s="37">
        <f>IFERROR(VLOOKUP(DE10,'Module Items'!$A$1:$B$2587,2,FALSE),"")</f>
        <v>140999</v>
      </c>
      <c r="DG10" s="44" t="str">
        <f>IFERROR(VLOOKUP(DE10,'Monthly Line Picks'!$A$1:$D$2000,4,FALSE),"0")</f>
        <v>0</v>
      </c>
      <c r="DH10" s="47" t="s">
        <v>1611</v>
      </c>
      <c r="DI10" s="37">
        <f>IFERROR(VLOOKUP(DH10,'Module Items'!$A$1:$B$2587,2,FALSE),"")</f>
        <v>141008</v>
      </c>
      <c r="DJ10" s="44">
        <f>IFERROR(VLOOKUP(DH10,'Monthly Line Picks'!$A$1:$D$2000,4,FALSE),"0")</f>
        <v>4</v>
      </c>
      <c r="DK10" s="47" t="s">
        <v>1612</v>
      </c>
      <c r="DL10" s="37">
        <f>IFERROR(VLOOKUP(DK10,'Module Items'!$A$1:$B$2587,2,FALSE),"")</f>
        <v>141012</v>
      </c>
      <c r="DM10" s="44">
        <f>IFERROR(VLOOKUP(DK10,'Monthly Line Picks'!$A$1:$D$2000,4,FALSE),"0")</f>
        <v>1</v>
      </c>
      <c r="DN10" s="47" t="s">
        <v>1613</v>
      </c>
      <c r="DO10" s="37">
        <f>IFERROR(VLOOKUP(DN10,'Module Items'!$A$1:$B$2587,2,FALSE),"")</f>
        <v>177270</v>
      </c>
      <c r="DP10" s="44">
        <f>IFERROR(VLOOKUP(DN10,'Monthly Line Picks'!$A$1:$D$2000,4,FALSE),"0")</f>
        <v>2</v>
      </c>
      <c r="DQ10" s="57" t="s">
        <v>1614</v>
      </c>
      <c r="DR10" s="37">
        <f>IFERROR(VLOOKUP(DQ10,'Module Items'!$A$1:$B$2587,2,FALSE),"")</f>
        <v>140913</v>
      </c>
      <c r="DS10" s="44">
        <f>IFERROR(VLOOKUP(DQ10,'Monthly Line Picks'!$A$1:$D$2000,4,FALSE),"0")</f>
        <v>1</v>
      </c>
    </row>
    <row r="11" spans="2:127" ht="15" customHeight="1" thickBot="1">
      <c r="B11" s="205"/>
      <c r="C11" s="206"/>
      <c r="D11" s="206"/>
      <c r="E11" s="210"/>
      <c r="F11" s="205"/>
      <c r="G11" s="206"/>
      <c r="H11" s="206"/>
      <c r="I11" s="206"/>
      <c r="J11" s="37" t="str">
        <f>IFERROR(VLOOKUP(J10,'Module Items'!$A$1:$B$2587,2,FALSE),"")</f>
        <v>OPEN</v>
      </c>
      <c r="K11" s="13">
        <f>IFERROR(VLOOKUP(K10,'Module Items'!$A$1:$B$2587,2,FALSE),"")</f>
        <v>370</v>
      </c>
      <c r="L11" s="13">
        <f>IFERROR(VLOOKUP(L10,'Module Items'!$A$1:$B$2587,2,FALSE),"")</f>
        <v>62450</v>
      </c>
      <c r="M11" s="13">
        <f>IFERROR(VLOOKUP(M10,'Module Items'!$A$1:$B$2587,2,FALSE),"")</f>
        <v>178118</v>
      </c>
      <c r="N11" s="13">
        <f>IFERROR(VLOOKUP(N10,'Module Items'!$A$1:$B$2587,2,FALSE),"")</f>
        <v>159900</v>
      </c>
      <c r="O11" s="108">
        <f>IFERROR(VLOOKUP(O10,'Module Items'!$A$1:$B$2587,2,FALSE),"")</f>
        <v>115041</v>
      </c>
      <c r="P11" s="37">
        <f>IFERROR(VLOOKUP(P10,'Module Items'!$A$1:$B$2587,2,FALSE),"")</f>
        <v>35073</v>
      </c>
      <c r="Q11" s="13">
        <f>IFERROR(VLOOKUP(Q10,'Module Items'!$A$1:$B$2587,2,FALSE),"")</f>
        <v>21218</v>
      </c>
      <c r="R11" s="13">
        <f>IFERROR(VLOOKUP(R10,'Module Items'!$A$1:$B$2587,2,FALSE),"")</f>
        <v>177693</v>
      </c>
      <c r="S11" s="13">
        <f>IFERROR(VLOOKUP(S10,'Module Items'!$A$1:$B$2587,2,FALSE),"")</f>
        <v>13916</v>
      </c>
      <c r="T11" s="228"/>
      <c r="U11" s="108" t="str">
        <f>IFERROR(VLOOKUP(U10,'Module Items'!$A$1:$B$2587,2,FALSE),"")</f>
        <v/>
      </c>
      <c r="V11" s="37" t="str">
        <f>IFERROR(VLOOKUP(V10,'Module Items'!$A$1:$B$2587,2,FALSE),"")</f>
        <v>OPEN</v>
      </c>
      <c r="W11" s="13" t="str">
        <f>IFERROR(VLOOKUP(W10,'Module Items'!$A$1:$B$2587,2,FALSE),"")</f>
        <v>OPEN</v>
      </c>
      <c r="X11" s="13">
        <f>IFERROR(VLOOKUP(X10,'Module Items'!$A$1:$B$2587,2,FALSE),"")</f>
        <v>160072</v>
      </c>
      <c r="Y11" s="13">
        <f>IFERROR(VLOOKUP(Y10,'Module Items'!$A$1:$B$2587,2,FALSE),"")</f>
        <v>133833</v>
      </c>
      <c r="Z11" s="13" t="str">
        <f>IFERROR(VLOOKUP(Z10,'Module Items'!$A$1:$B$2587,2,FALSE),"")</f>
        <v/>
      </c>
      <c r="AA11" s="108">
        <f>IFERROR(VLOOKUP(AA10,'Module Items'!$A$1:$B$2587,2,FALSE),"")</f>
        <v>176122</v>
      </c>
      <c r="AB11" s="10">
        <f>IFERROR(VLOOKUP(AB10,'Module Items'!$A$1:$B$2587,2,FALSE),"")</f>
        <v>155883</v>
      </c>
      <c r="AC11" s="13" t="str">
        <f>IFERROR(VLOOKUP(AC10,'Module Items'!$A$1:$B$2587,2,FALSE),"")</f>
        <v>OPEN</v>
      </c>
      <c r="AD11" s="13">
        <f>IFERROR(VLOOKUP(AD10,'Module Items'!$A$1:$B$2587,2,FALSE),"")</f>
        <v>160376</v>
      </c>
      <c r="AE11" s="13">
        <f>IFERROR(VLOOKUP(AE10,'Module Items'!$A$1:$B$2587,2,FALSE),"")</f>
        <v>156953</v>
      </c>
      <c r="AF11" s="13">
        <f>IFERROR(VLOOKUP(AF10,'Module Items'!$A$1:$B$2587,2,FALSE),"")</f>
        <v>117891</v>
      </c>
      <c r="AG11" s="108">
        <f>IFERROR(VLOOKUP(AG10,'Module Items'!$A$1:$B$2587,2,FALSE),"")</f>
        <v>177745</v>
      </c>
      <c r="AH11" s="37">
        <f>IFERROR(VLOOKUP(AH10,'Module Items'!$A$1:$B$2587,2,FALSE),"")</f>
        <v>113437</v>
      </c>
      <c r="AI11" s="13">
        <f>IFERROR(VLOOKUP(AI10,'Module Items'!$A$1:$B$2587,2,FALSE),"")</f>
        <v>178077</v>
      </c>
      <c r="AJ11" s="13">
        <f>IFERROR(VLOOKUP(AJ10,'Module Items'!$A$1:$B$2587,2,FALSE),"")</f>
        <v>122475</v>
      </c>
      <c r="AK11" s="13">
        <f>IFERROR(VLOOKUP(AK10,'Module Items'!$A$1:$B$2587,2,FALSE),"")</f>
        <v>16592</v>
      </c>
      <c r="AL11" s="13">
        <f>IFERROR(VLOOKUP(AL10,'Module Items'!$A$1:$B$2587,2,FALSE),"")</f>
        <v>129863</v>
      </c>
      <c r="AM11" s="108">
        <f>IFERROR(VLOOKUP(AM10,'Module Items'!$A$1:$B$2587,2,FALSE),"")</f>
        <v>112793</v>
      </c>
      <c r="AN11" s="37">
        <f>IFERROR(VLOOKUP(AN10,'Module Items'!$A$1:$B$2587,2,FALSE),"")</f>
        <v>328</v>
      </c>
      <c r="AO11" s="13">
        <f>IFERROR(VLOOKUP(AO10,'Module Items'!$A$1:$B$2587,2,FALSE),"")</f>
        <v>6667</v>
      </c>
      <c r="AP11" s="13">
        <f>IFERROR(VLOOKUP(AP10,'Module Items'!$A$1:$B$2587,2,FALSE),"")</f>
        <v>158219</v>
      </c>
      <c r="AQ11" s="13">
        <f>IFERROR(VLOOKUP(AQ10,'Module Items'!$A$1:$B$2587,2,FALSE),"")</f>
        <v>96261</v>
      </c>
      <c r="AR11" s="13">
        <f>IFERROR(VLOOKUP(AR10,'Module Items'!$A$1:$B$2587,2,FALSE),"")</f>
        <v>20401</v>
      </c>
      <c r="AS11" s="108">
        <f>IFERROR(VLOOKUP(AS10,'Module Items'!$A$1:$B$2587,2,FALSE),"")</f>
        <v>132832</v>
      </c>
      <c r="AT11" s="37">
        <f>IFERROR(VLOOKUP(AT10,'Module Items'!$A$1:$B$2587,2,FALSE),"")</f>
        <v>108958</v>
      </c>
      <c r="AU11" s="13">
        <f>IFERROR(VLOOKUP(AU10,'Module Items'!$A$1:$B$2587,2,FALSE),"")</f>
        <v>31007</v>
      </c>
      <c r="AV11" s="13" t="str">
        <f>IFERROR(VLOOKUP(AV10,'Module Items'!$A$1:$B$2587,2,FALSE),"")</f>
        <v>OPEN</v>
      </c>
      <c r="AW11" s="13">
        <f>IFERROR(VLOOKUP(AW10,'Module Items'!$A$1:$B$2587,2,FALSE),"")</f>
        <v>47676</v>
      </c>
      <c r="AX11" s="13">
        <f>IFERROR(VLOOKUP(AX10,'Module Items'!$A$1:$B$2587,2,FALSE),"")</f>
        <v>86224</v>
      </c>
      <c r="AY11" s="108">
        <f>IFERROR(VLOOKUP(AY10,'Module Items'!$A$1:$B$2587,2,FALSE),"")</f>
        <v>115499</v>
      </c>
      <c r="AZ11" s="15" t="s">
        <v>1615</v>
      </c>
      <c r="BA11" s="37">
        <f>IFERROR(VLOOKUP(AZ11,'Module Items'!$A$1:$B$2587,2,FALSE),"")</f>
        <v>156193</v>
      </c>
      <c r="BB11" s="44">
        <f>IFERROR(VLOOKUP(AZ11,'Monthly Line Picks'!$A$1:$D$2000,4,FALSE),"0")</f>
        <v>2</v>
      </c>
      <c r="BC11" s="47" t="s">
        <v>1616</v>
      </c>
      <c r="BD11" s="37">
        <f>IFERROR(VLOOKUP(BC11,'Module Items'!$A$1:$B$2587,2,FALSE),"")</f>
        <v>12755</v>
      </c>
      <c r="BE11" s="44" t="str">
        <f>IFERROR(VLOOKUP(BC11,'Monthly Line Picks'!$A$1:$D$2000,4,FALSE),"0")</f>
        <v>0</v>
      </c>
      <c r="BF11" s="187" t="s">
        <v>305</v>
      </c>
      <c r="BG11" s="187"/>
      <c r="BH11" s="187"/>
      <c r="BI11" s="187"/>
      <c r="BJ11" s="96"/>
      <c r="BK11" s="96"/>
      <c r="BL11" s="47" t="s">
        <v>1617</v>
      </c>
      <c r="BM11" s="37">
        <f>IFERROR(VLOOKUP(BL11,'Module Items'!$A$1:$B$2587,2,FALSE),"")</f>
        <v>121221</v>
      </c>
      <c r="BN11" s="44">
        <f>IFERROR(VLOOKUP(BL11,'Monthly Line Picks'!$A$1:$D$2000,4,FALSE),"0")</f>
        <v>2</v>
      </c>
      <c r="BO11" s="47" t="s">
        <v>1618</v>
      </c>
      <c r="BP11" s="37">
        <f>IFERROR(VLOOKUP(BO11,'Module Items'!$A$1:$B$2587,2,FALSE),"")</f>
        <v>132868</v>
      </c>
      <c r="BQ11" s="44">
        <f>IFERROR(VLOOKUP(BO11,'Monthly Line Picks'!$A$1:$D$2000,4,FALSE),"0")</f>
        <v>6</v>
      </c>
      <c r="BR11" s="222"/>
      <c r="BS11" s="222"/>
      <c r="BT11" s="223"/>
      <c r="BU11" s="233"/>
      <c r="BV11" s="234"/>
      <c r="BW11" s="234"/>
      <c r="BX11" s="37">
        <f>IFERROR(VLOOKUP(BX10,'Module Items'!$A$1:$B$2587,2,FALSE),"")</f>
        <v>1112</v>
      </c>
      <c r="BY11" s="13">
        <f>IFERROR(VLOOKUP(BY10,'Module Items'!$A$1:$B$2587,2,FALSE),"")</f>
        <v>105914</v>
      </c>
      <c r="BZ11" s="13">
        <f>IFERROR(VLOOKUP(BZ10,'Module Items'!$A$1:$B$2587,2,FALSE),"")</f>
        <v>138810</v>
      </c>
      <c r="CA11" s="13" t="str">
        <f>IFERROR(VLOOKUP(CA10,'Module Items'!$A$1:$B$2587,2,FALSE),"")</f>
        <v>OPEN</v>
      </c>
      <c r="CB11" s="13">
        <f>IFERROR(VLOOKUP(CB10,'Module Items'!$A$1:$B$2587,2,FALSE),"")</f>
        <v>108436</v>
      </c>
      <c r="CC11" s="108">
        <f>IFERROR(VLOOKUP(CC10,'Module Items'!$A$1:$B$2587,2,FALSE),"")</f>
        <v>138953</v>
      </c>
      <c r="CD11" s="37" t="str">
        <f>IFERROR(VLOOKUP(CD10,'Module Items'!$A$1:$B$2587,2,FALSE),"")</f>
        <v>OPEN</v>
      </c>
      <c r="CE11" s="13">
        <f>IFERROR(VLOOKUP(CE10,'Module Items'!$A$1:$B$2587,2,FALSE),"")</f>
        <v>58563</v>
      </c>
      <c r="CF11" s="13">
        <f>IFERROR(VLOOKUP(CF10,'Module Items'!$A$1:$B$2587,2,FALSE),"")</f>
        <v>157068</v>
      </c>
      <c r="CG11" s="13">
        <f>IFERROR(VLOOKUP(CG10,'Module Items'!$A$1:$B$2587,2,FALSE),"")</f>
        <v>35123</v>
      </c>
      <c r="CH11" s="13">
        <f>IFERROR(VLOOKUP(CH10,'Module Items'!$A$1:$B$2587,2,FALSE),"")</f>
        <v>35372</v>
      </c>
      <c r="CI11" s="108" t="str">
        <f>IFERROR(VLOOKUP(CI10,'Module Items'!$A$1:$B$2587,2,FALSE),"")</f>
        <v/>
      </c>
      <c r="CJ11" s="37">
        <f>IFERROR(VLOOKUP(CJ10,'Module Items'!$A$1:$B$2587,2,FALSE),"")</f>
        <v>130184</v>
      </c>
      <c r="CK11" s="13">
        <f>IFERROR(VLOOKUP(CK10,'Module Items'!$A$1:$B$2587,2,FALSE),"")</f>
        <v>129780</v>
      </c>
      <c r="CL11" s="13" t="str">
        <f>IFERROR(VLOOKUP(CL10,'Module Items'!$A$1:$B$2587,2,FALSE),"")</f>
        <v>OPEN</v>
      </c>
      <c r="CM11" s="13">
        <f>IFERROR(VLOOKUP(CM10,'Module Items'!$A$1:$B$2587,2,FALSE),"")</f>
        <v>129778</v>
      </c>
      <c r="CN11" s="13">
        <f>IFERROR(VLOOKUP(CN10,'Module Items'!$A$1:$B$2587,2,FALSE),"")</f>
        <v>126523</v>
      </c>
      <c r="CO11" s="108">
        <f>IFERROR(VLOOKUP(CO10,'Module Items'!$A$1:$B$2587,2,FALSE),"")</f>
        <v>138934</v>
      </c>
      <c r="CP11" s="37" t="str">
        <f>IFERROR(VLOOKUP(CP10,'Module Items'!$A$1:$B$2587,2,FALSE),"")</f>
        <v>OPEN</v>
      </c>
      <c r="CQ11" s="13">
        <f>IFERROR(VLOOKUP(CQ10,'Module Items'!$A$1:$B$2587,2,FALSE),"")</f>
        <v>37804</v>
      </c>
      <c r="CR11" s="13">
        <f>IFERROR(VLOOKUP(CR10,'Module Items'!$A$1:$B$2587,2,FALSE),"")</f>
        <v>134386</v>
      </c>
      <c r="CS11" s="13">
        <f>IFERROR(VLOOKUP(CS10,'Module Items'!$A$1:$B$2587,2,FALSE),"")</f>
        <v>156246</v>
      </c>
      <c r="CT11" s="13">
        <f>IFERROR(VLOOKUP(CT10,'Module Items'!$A$1:$B$2587,2,FALSE),"")</f>
        <v>108748</v>
      </c>
      <c r="CU11" s="108">
        <f>IFERROR(VLOOKUP(CU10,'Module Items'!$A$1:$B$2587,2,FALSE),"")</f>
        <v>132829</v>
      </c>
      <c r="CV11" s="37">
        <f>IFERROR(VLOOKUP(CV10,'Module Items'!$A$1:$B$2587,2,FALSE),"")</f>
        <v>3156</v>
      </c>
      <c r="CW11" s="13">
        <f>IFERROR(VLOOKUP(CW10,'Module Items'!$A$1:$B$2587,2,FALSE),"")</f>
        <v>114045</v>
      </c>
      <c r="CX11" s="13" t="str">
        <f>IFERROR(VLOOKUP(CX10,'Module Items'!$A$1:$B$2587,2,FALSE),"")</f>
        <v>OPEN</v>
      </c>
      <c r="CY11" s="13">
        <f>IFERROR(VLOOKUP(CY10,'Module Items'!$A$1:$B$2587,2,FALSE),"")</f>
        <v>128189</v>
      </c>
      <c r="CZ11" s="13">
        <f>IFERROR(VLOOKUP(CZ10,'Module Items'!$A$1:$B$2587,2,FALSE),"")</f>
        <v>93438</v>
      </c>
      <c r="DA11" s="108">
        <f>IFERROR(VLOOKUP(DA10,'Module Items'!$A$1:$B$2587,2,FALSE),"")</f>
        <v>124931</v>
      </c>
      <c r="DB11" s="15" t="s">
        <v>1619</v>
      </c>
      <c r="DC11" s="37">
        <f>IFERROR(VLOOKUP(DB11,'Module Items'!$A$1:$B$2587,2,FALSE),"")</f>
        <v>14968</v>
      </c>
      <c r="DD11" s="44">
        <f>IFERROR(VLOOKUP(DB11,'Monthly Line Picks'!$A$1:$D$2000,4,FALSE),"0")</f>
        <v>2</v>
      </c>
      <c r="DE11" s="15" t="s">
        <v>1620</v>
      </c>
      <c r="DF11" s="37">
        <f>IFERROR(VLOOKUP(DE11,'Module Items'!$A$1:$B$2587,2,FALSE),"")</f>
        <v>141065</v>
      </c>
      <c r="DG11" s="44">
        <f>IFERROR(VLOOKUP(DE11,'Monthly Line Picks'!$A$1:$D$2000,4,FALSE),"0")</f>
        <v>1</v>
      </c>
      <c r="DH11" s="189" t="s">
        <v>305</v>
      </c>
      <c r="DI11" s="190"/>
      <c r="DJ11" s="190"/>
      <c r="DK11" s="190"/>
      <c r="DL11" s="190"/>
      <c r="DM11" s="191"/>
      <c r="DN11" s="47" t="s">
        <v>1621</v>
      </c>
      <c r="DO11" s="37">
        <f>IFERROR(VLOOKUP(DN11,'Module Items'!$A$1:$B$2587,2,FALSE),"")</f>
        <v>140994</v>
      </c>
      <c r="DP11" s="44">
        <f>IFERROR(VLOOKUP(DN11,'Monthly Line Picks'!$A$1:$D$2000,4,FALSE),"0")</f>
        <v>1</v>
      </c>
      <c r="DQ11" s="57" t="s">
        <v>1622</v>
      </c>
      <c r="DR11" s="37">
        <f>IFERROR(VLOOKUP(DQ11,'Module Items'!$A$1:$B$2587,2,FALSE),"")</f>
        <v>140912</v>
      </c>
      <c r="DS11" s="44">
        <f>IFERROR(VLOOKUP(DQ11,'Monthly Line Picks'!$A$1:$D$2000,4,FALSE),"0")</f>
        <v>1</v>
      </c>
    </row>
    <row r="12" spans="2:127" ht="15.95" thickBot="1">
      <c r="B12" s="207"/>
      <c r="C12" s="208"/>
      <c r="D12" s="208"/>
      <c r="E12" s="211"/>
      <c r="F12" s="207"/>
      <c r="G12" s="208"/>
      <c r="H12" s="208"/>
      <c r="I12" s="208"/>
      <c r="J12" s="58" t="str">
        <f>IFERROR(VLOOKUP(J10,'Monthly Line Picks'!$A$1:$D$2101,4,FALSE),"0")</f>
        <v>0</v>
      </c>
      <c r="K12" s="50" t="str">
        <f>IFERROR(VLOOKUP(K10,'Monthly Line Picks'!$A$1:$D$2101,4,FALSE),"0")</f>
        <v>0</v>
      </c>
      <c r="L12" s="50">
        <f>IFERROR(VLOOKUP(L10,'Monthly Line Picks'!$A$1:$D$2101,4,FALSE),"0")</f>
        <v>9</v>
      </c>
      <c r="M12" s="50">
        <f>IFERROR(VLOOKUP(M10,'Monthly Line Picks'!$A$1:$D$2101,4,FALSE),"0")</f>
        <v>61</v>
      </c>
      <c r="N12" s="50" t="str">
        <f>IFERROR(VLOOKUP(N10,'Monthly Line Picks'!$A$1:$D$2101,4,FALSE),"0")</f>
        <v>0</v>
      </c>
      <c r="O12" s="59">
        <f>IFERROR(VLOOKUP(O10,'Monthly Line Picks'!$A$1:$D$2101,4,FALSE),"0")</f>
        <v>121</v>
      </c>
      <c r="P12" s="58">
        <f>IFERROR(VLOOKUP(P10,'Monthly Line Picks'!$A$1:$D$2101,4,FALSE),"0")</f>
        <v>10</v>
      </c>
      <c r="Q12" s="50">
        <f>IFERROR(VLOOKUP(Q10,'Monthly Line Picks'!$A$1:$D$2101,4,FALSE),"0")</f>
        <v>121</v>
      </c>
      <c r="R12" s="50" t="str">
        <f>IFERROR(VLOOKUP(R10,'Monthly Line Picks'!$A$1:$D$2101,4,FALSE),"0")</f>
        <v>0</v>
      </c>
      <c r="S12" s="50">
        <f>IFERROR(VLOOKUP(S10,'Monthly Line Picks'!$A$1:$D$2101,4,FALSE),"0")</f>
        <v>55</v>
      </c>
      <c r="T12" s="229"/>
      <c r="U12" s="59" t="str">
        <f>IFERROR(VLOOKUP(U10,'Monthly Line Picks'!$A$1:$D$2101,4,FALSE),"0")</f>
        <v>0</v>
      </c>
      <c r="V12" s="58" t="str">
        <f>IFERROR(VLOOKUP(V10,'Monthly Line Picks'!$A$1:$D$2101,4,FALSE),"0")</f>
        <v>0</v>
      </c>
      <c r="W12" s="50" t="str">
        <f>IFERROR(VLOOKUP(W10,'Monthly Line Picks'!$A$1:$D$2101,4,FALSE),"0")</f>
        <v>0</v>
      </c>
      <c r="X12" s="50">
        <f>IFERROR(VLOOKUP(X10,'Monthly Line Picks'!$A$1:$D$2101,4,FALSE),"0")</f>
        <v>228</v>
      </c>
      <c r="Y12" s="50" t="str">
        <f>IFERROR(VLOOKUP(Y10,'Monthly Line Picks'!$A$1:$D$2101,4,FALSE),"0")</f>
        <v>0</v>
      </c>
      <c r="Z12" s="50" t="str">
        <f>IFERROR(VLOOKUP(Z10,'Monthly Line Picks'!$A$1:$D$2101,4,FALSE),"0")</f>
        <v>0</v>
      </c>
      <c r="AA12" s="59">
        <f>IFERROR(VLOOKUP(AA10,'Monthly Line Picks'!$A$1:$D$2101,4,FALSE),"0")</f>
        <v>113</v>
      </c>
      <c r="AB12" s="62">
        <f>IFERROR(VLOOKUP(AB10,'Monthly Line Picks'!$A$1:$D$2101,4,FALSE),"0")</f>
        <v>22</v>
      </c>
      <c r="AC12" s="50" t="str">
        <f>IFERROR(VLOOKUP(AC10,'Monthly Line Picks'!$A$1:$D$2101,4,FALSE),"0")</f>
        <v>0</v>
      </c>
      <c r="AD12" s="50">
        <f>IFERROR(VLOOKUP(AD10,'Monthly Line Picks'!$A$1:$D$2101,4,FALSE),"0")</f>
        <v>22</v>
      </c>
      <c r="AE12" s="50">
        <f>IFERROR(VLOOKUP(AE10,'Monthly Line Picks'!$A$1:$D$2101,4,FALSE),"0")</f>
        <v>49</v>
      </c>
      <c r="AF12" s="50">
        <f>IFERROR(VLOOKUP(AF10,'Monthly Line Picks'!$A$1:$D$2101,4,FALSE),"0")</f>
        <v>81</v>
      </c>
      <c r="AG12" s="59">
        <f>IFERROR(VLOOKUP(AG10,'Monthly Line Picks'!$A$1:$D$2101,4,FALSE),"0")</f>
        <v>4</v>
      </c>
      <c r="AH12" s="58">
        <f>IFERROR(VLOOKUP(AH10,'Monthly Line Picks'!$A$1:$D$2101,4,FALSE),"0")</f>
        <v>6</v>
      </c>
      <c r="AI12" s="50">
        <f>IFERROR(VLOOKUP(AI10,'Monthly Line Picks'!$A$1:$D$2101,4,FALSE),"0")</f>
        <v>5</v>
      </c>
      <c r="AJ12" s="50">
        <f>IFERROR(VLOOKUP(AJ10,'Monthly Line Picks'!$A$1:$D$2101,4,FALSE),"0")</f>
        <v>23</v>
      </c>
      <c r="AK12" s="50">
        <f>IFERROR(VLOOKUP(AK10,'Monthly Line Picks'!$A$1:$D$2101,4,FALSE),"0")</f>
        <v>3</v>
      </c>
      <c r="AL12" s="50">
        <f>IFERROR(VLOOKUP(AL10,'Monthly Line Picks'!$A$1:$D$2101,4,FALSE),"0")</f>
        <v>5</v>
      </c>
      <c r="AM12" s="59">
        <f>IFERROR(VLOOKUP(AM10,'Monthly Line Picks'!$A$1:$D$2101,4,FALSE),"0")</f>
        <v>9</v>
      </c>
      <c r="AN12" s="58">
        <f>IFERROR(VLOOKUP(AN10,'Monthly Line Picks'!$A$1:$D$2101,4,FALSE),"0")</f>
        <v>10</v>
      </c>
      <c r="AO12" s="50">
        <f>IFERROR(VLOOKUP(AO10,'Monthly Line Picks'!$A$1:$D$2101,4,FALSE),"0")</f>
        <v>3</v>
      </c>
      <c r="AP12" s="50" t="str">
        <f>IFERROR(VLOOKUP(AP10,'Monthly Line Picks'!$A$1:$D$2101,4,FALSE),"0")</f>
        <v>0</v>
      </c>
      <c r="AQ12" s="50">
        <f>IFERROR(VLOOKUP(AQ10,'Monthly Line Picks'!$A$1:$D$2101,4,FALSE),"0")</f>
        <v>21</v>
      </c>
      <c r="AR12" s="50">
        <f>IFERROR(VLOOKUP(AR10,'Monthly Line Picks'!$A$1:$D$2101,4,FALSE),"0")</f>
        <v>17</v>
      </c>
      <c r="AS12" s="59">
        <f>IFERROR(VLOOKUP(AS10,'Monthly Line Picks'!$A$1:$D$2101,4,FALSE),"0")</f>
        <v>11</v>
      </c>
      <c r="AT12" s="58">
        <f>IFERROR(VLOOKUP(AT10,'Monthly Line Picks'!$A$1:$D$2101,4,FALSE),"0")</f>
        <v>2</v>
      </c>
      <c r="AU12" s="50">
        <f>IFERROR(VLOOKUP(AU10,'Monthly Line Picks'!$A$1:$D$2101,4,FALSE),"0")</f>
        <v>12</v>
      </c>
      <c r="AV12" s="50" t="str">
        <f>IFERROR(VLOOKUP(AV10,'Monthly Line Picks'!$A$1:$D$2101,4,FALSE),"0")</f>
        <v>0</v>
      </c>
      <c r="AW12" s="50">
        <f>IFERROR(VLOOKUP(AW10,'Monthly Line Picks'!$A$1:$D$2101,4,FALSE),"0")</f>
        <v>4</v>
      </c>
      <c r="AX12" s="50">
        <f>IFERROR(VLOOKUP(AX10,'Monthly Line Picks'!$A$1:$D$2101,4,FALSE),"0")</f>
        <v>20</v>
      </c>
      <c r="AY12" s="59">
        <f>IFERROR(VLOOKUP(AY10,'Monthly Line Picks'!$A$1:$D$2101,4,FALSE),"0")</f>
        <v>32</v>
      </c>
      <c r="AZ12" s="15" t="s">
        <v>1623</v>
      </c>
      <c r="BA12" s="37">
        <f>IFERROR(VLOOKUP(AZ12,'Module Items'!$A$1:$B$2587,2,FALSE),"")</f>
        <v>108840</v>
      </c>
      <c r="BB12" s="44">
        <f>IFERROR(VLOOKUP(AZ12,'Monthly Line Picks'!$A$1:$D$2000,4,FALSE),"0")</f>
        <v>5</v>
      </c>
      <c r="BC12" s="47" t="s">
        <v>1624</v>
      </c>
      <c r="BD12" s="37">
        <f>IFERROR(VLOOKUP(BC12,'Module Items'!$A$1:$B$2587,2,FALSE),"")</f>
        <v>107176</v>
      </c>
      <c r="BE12" s="44" t="str">
        <f>IFERROR(VLOOKUP(BC12,'Monthly Line Picks'!$A$1:$D$2000,4,FALSE),"0")</f>
        <v>0</v>
      </c>
      <c r="BF12" s="187"/>
      <c r="BG12" s="187"/>
      <c r="BH12" s="187"/>
      <c r="BI12" s="187"/>
      <c r="BJ12" s="96"/>
      <c r="BK12" s="96"/>
      <c r="BL12" s="47" t="s">
        <v>1625</v>
      </c>
      <c r="BM12" s="37">
        <f>IFERROR(VLOOKUP(BL12,'Module Items'!$A$1:$B$2587,2,FALSE),"")</f>
        <v>172025</v>
      </c>
      <c r="BN12" s="44" t="str">
        <f>IFERROR(VLOOKUP(BL12,'Monthly Line Picks'!$A$1:$D$2000,4,FALSE),"0")</f>
        <v>0</v>
      </c>
      <c r="BO12" s="47" t="s">
        <v>1626</v>
      </c>
      <c r="BP12" s="37">
        <f>IFERROR(VLOOKUP(BO12,'Module Items'!$A$1:$B$2587,2,FALSE),"")</f>
        <v>141037</v>
      </c>
      <c r="BQ12" s="44">
        <f>IFERROR(VLOOKUP(BO12,'Monthly Line Picks'!$A$1:$D$2000,4,FALSE),"0")</f>
        <v>24</v>
      </c>
      <c r="BR12" s="222"/>
      <c r="BS12" s="222"/>
      <c r="BT12" s="223"/>
      <c r="BU12" s="233"/>
      <c r="BV12" s="234"/>
      <c r="BW12" s="234"/>
      <c r="BX12" s="58">
        <f>IFERROR(VLOOKUP(BX10,'Monthly Line Picks'!$A$1:$D$1458,4,FALSE),"0")</f>
        <v>6</v>
      </c>
      <c r="BY12" s="50">
        <f>IFERROR(VLOOKUP(BY10,'Monthly Line Picks'!$A$1:$D$1458,4,FALSE),"0")</f>
        <v>9</v>
      </c>
      <c r="BZ12" s="50">
        <f>IFERROR(VLOOKUP(BZ10,'Monthly Line Picks'!$A$1:$D$1458,4,FALSE),"0")</f>
        <v>3</v>
      </c>
      <c r="CA12" s="50" t="str">
        <f>IFERROR(VLOOKUP(CA10,'Monthly Line Picks'!$A$1:$D$1458,4,FALSE),"0")</f>
        <v>0</v>
      </c>
      <c r="CB12" s="50" t="str">
        <f>IFERROR(VLOOKUP(CB10,'Monthly Line Picks'!$A$1:$D$1458,4,FALSE),"0")</f>
        <v>0</v>
      </c>
      <c r="CC12" s="59">
        <f>IFERROR(VLOOKUP(CC10,'Monthly Line Picks'!$A$1:$D$1458,4,FALSE),"0")</f>
        <v>6</v>
      </c>
      <c r="CD12" s="58" t="str">
        <f>IFERROR(VLOOKUP(CD10,'Monthly Line Picks'!$A$1:$D$1458,4,FALSE),"0")</f>
        <v>0</v>
      </c>
      <c r="CE12" s="50">
        <f>IFERROR(VLOOKUP(CE10,'Monthly Line Picks'!$A$1:$D$1458,4,FALSE),"0")</f>
        <v>42</v>
      </c>
      <c r="CF12" s="50">
        <f>IFERROR(VLOOKUP(CF10,'Monthly Line Picks'!$A$1:$D$1458,4,FALSE),"0")</f>
        <v>432</v>
      </c>
      <c r="CG12" s="50">
        <f>IFERROR(VLOOKUP(CG10,'Monthly Line Picks'!$A$1:$D$1458,4,FALSE),"0")</f>
        <v>11</v>
      </c>
      <c r="CH12" s="50" t="str">
        <f>IFERROR(VLOOKUP(CH10,'Monthly Line Picks'!$A$1:$D$1458,4,FALSE),"0")</f>
        <v>0</v>
      </c>
      <c r="CI12" s="59" t="str">
        <f>IFERROR(VLOOKUP(CI10,'Monthly Line Picks'!$A$1:$D$1458,4,FALSE),"0")</f>
        <v>0</v>
      </c>
      <c r="CJ12" s="58">
        <f>IFERROR(VLOOKUP(CJ10,'Monthly Line Picks'!$A$1:$D$1458,4,FALSE),"0")</f>
        <v>13</v>
      </c>
      <c r="CK12" s="50">
        <f>IFERROR(VLOOKUP(CK10,'Monthly Line Picks'!$A$1:$D$1458,4,FALSE),"0")</f>
        <v>15</v>
      </c>
      <c r="CL12" s="50" t="str">
        <f>IFERROR(VLOOKUP(CL10,'Monthly Line Picks'!$A$1:$D$1458,4,FALSE),"0")</f>
        <v>0</v>
      </c>
      <c r="CM12" s="50">
        <f>IFERROR(VLOOKUP(CM10,'Monthly Line Picks'!$A$1:$D$1458,4,FALSE),"0")</f>
        <v>18</v>
      </c>
      <c r="CN12" s="50">
        <f>IFERROR(VLOOKUP(CN10,'Monthly Line Picks'!$A$1:$D$1458,4,FALSE),"0")</f>
        <v>12</v>
      </c>
      <c r="CO12" s="59">
        <f>IFERROR(VLOOKUP(CO10,'Monthly Line Picks'!$A$1:$D$1458,4,FALSE),"0")</f>
        <v>7</v>
      </c>
      <c r="CP12" s="58" t="str">
        <f>IFERROR(VLOOKUP(CP10,'Monthly Line Picks'!$A$1:$D$1458,4,FALSE),"0")</f>
        <v>0</v>
      </c>
      <c r="CQ12" s="50" t="str">
        <f>IFERROR(VLOOKUP(CQ10,'Monthly Line Picks'!$A$1:$D$1458,4,FALSE),"0")</f>
        <v>0</v>
      </c>
      <c r="CR12" s="50">
        <f>IFERROR(VLOOKUP(CR10,'Monthly Line Picks'!$A$1:$D$1458,4,FALSE),"0")</f>
        <v>5</v>
      </c>
      <c r="CS12" s="50" t="str">
        <f>IFERROR(VLOOKUP(CS10,'Monthly Line Picks'!$A$1:$D$1458,4,FALSE),"0")</f>
        <v>0</v>
      </c>
      <c r="CT12" s="50" t="str">
        <f>IFERROR(VLOOKUP(CT10,'Monthly Line Picks'!$A$1:$D$1458,4,FALSE),"0")</f>
        <v>0</v>
      </c>
      <c r="CU12" s="59">
        <f>IFERROR(VLOOKUP(CU10,'Monthly Line Picks'!$A$1:$D$1458,4,FALSE),"0")</f>
        <v>3</v>
      </c>
      <c r="CV12" s="58">
        <f>IFERROR(VLOOKUP(CV10,'Monthly Line Picks'!$A$1:$D$1458,4,FALSE),"0")</f>
        <v>7</v>
      </c>
      <c r="CW12" s="50">
        <f>IFERROR(VLOOKUP(CW10,'Monthly Line Picks'!$A$1:$D$1458,4,FALSE),"0")</f>
        <v>17</v>
      </c>
      <c r="CX12" s="50" t="str">
        <f>IFERROR(VLOOKUP(CX10,'Monthly Line Picks'!$A$1:$D$1458,4,FALSE),"0")</f>
        <v>0</v>
      </c>
      <c r="CY12" s="50" t="str">
        <f>IFERROR(VLOOKUP(CY10,'Monthly Line Picks'!$A$1:$D$1458,4,FALSE),"0")</f>
        <v>0</v>
      </c>
      <c r="CZ12" s="50">
        <f>IFERROR(VLOOKUP(CZ10,'Monthly Line Picks'!$A$1:$D$1458,4,FALSE),"0")</f>
        <v>8</v>
      </c>
      <c r="DA12" s="59">
        <f>IFERROR(VLOOKUP(DA10,'Monthly Line Picks'!$A$1:$D$1458,4,FALSE),"0")</f>
        <v>6</v>
      </c>
      <c r="DB12" s="62" t="s">
        <v>1627</v>
      </c>
      <c r="DC12" s="37">
        <f>IFERROR(VLOOKUP(DB12,'Module Items'!$A$1:$B$2587,2,FALSE),"")</f>
        <v>5383</v>
      </c>
      <c r="DD12" s="44">
        <f>IFERROR(VLOOKUP(DB12,'Monthly Line Picks'!$A$1:$D$2000,4,FALSE),"0")</f>
        <v>1</v>
      </c>
      <c r="DE12" s="62" t="s">
        <v>1628</v>
      </c>
      <c r="DF12" s="37">
        <f>IFERROR(VLOOKUP(DE12,'Module Items'!$A$1:$B$2587,2,FALSE),"")</f>
        <v>141030</v>
      </c>
      <c r="DG12" s="44">
        <f>IFERROR(VLOOKUP(DE12,'Monthly Line Picks'!$A$1:$D$2000,4,FALSE),"0")</f>
        <v>9</v>
      </c>
      <c r="DH12" s="243"/>
      <c r="DI12" s="244"/>
      <c r="DJ12" s="244"/>
      <c r="DK12" s="244"/>
      <c r="DL12" s="244"/>
      <c r="DM12" s="245"/>
      <c r="DN12" s="47" t="s">
        <v>1629</v>
      </c>
      <c r="DO12" s="37" t="str">
        <f>IFERROR(VLOOKUP(DN12,'Module Items'!$A$1:$B$2587,2,FALSE),"")</f>
        <v>OPEN</v>
      </c>
      <c r="DP12" s="44" t="str">
        <f>IFERROR(VLOOKUP(DN12,'Monthly Line Picks'!$A$1:$D$2000,4,FALSE),"0")</f>
        <v>0</v>
      </c>
      <c r="DQ12" s="59" t="s">
        <v>1630</v>
      </c>
      <c r="DR12" s="37">
        <f>IFERROR(VLOOKUP(DQ12,'Module Items'!$A$1:$B$2587,2,FALSE),"")</f>
        <v>1002</v>
      </c>
      <c r="DS12" s="44">
        <f>IFERROR(VLOOKUP(DQ12,'Monthly Line Picks'!$A$1:$D$2000,4,FALSE),"0")</f>
        <v>1</v>
      </c>
    </row>
    <row r="13" spans="2:127" ht="16.5" customHeight="1" thickTop="1" thickBot="1">
      <c r="J13" s="269" t="s">
        <v>320</v>
      </c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  <c r="AS13" s="270"/>
      <c r="AT13" s="270"/>
      <c r="AU13" s="270"/>
      <c r="AV13" s="270"/>
      <c r="AW13" s="270"/>
      <c r="AX13" s="270"/>
      <c r="AY13" s="270"/>
      <c r="AZ13" s="270"/>
      <c r="BA13" s="270"/>
      <c r="BB13" s="270"/>
      <c r="BC13" s="270"/>
      <c r="BD13" s="270"/>
      <c r="BE13" s="270"/>
      <c r="BF13" s="270"/>
      <c r="BG13" s="270"/>
      <c r="BH13" s="270"/>
      <c r="BI13" s="270"/>
      <c r="BJ13" s="270"/>
      <c r="BK13" s="270"/>
      <c r="BL13" s="270"/>
      <c r="BM13" s="270"/>
      <c r="BN13" s="270"/>
      <c r="BO13" s="270"/>
      <c r="BP13" s="104"/>
      <c r="BQ13" s="104"/>
      <c r="BR13" s="224"/>
      <c r="BS13" s="225"/>
      <c r="BT13" s="226"/>
      <c r="BU13" s="236"/>
      <c r="BV13" s="237"/>
      <c r="BW13" s="237"/>
      <c r="BX13" s="246" t="s">
        <v>321</v>
      </c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8"/>
      <c r="DC13" s="248"/>
      <c r="DD13" s="248"/>
      <c r="DE13" s="248"/>
      <c r="DF13" s="248"/>
      <c r="DG13" s="249"/>
    </row>
    <row r="14" spans="2:127" ht="15.95" thickBot="1"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6"/>
      <c r="AX14" s="16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</row>
    <row r="15" spans="2:127" ht="16.5" customHeight="1" thickBot="1">
      <c r="J15" s="271" t="s">
        <v>1631</v>
      </c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2"/>
      <c r="AR15" s="272"/>
      <c r="AS15" s="272"/>
      <c r="AT15" s="272"/>
      <c r="AU15" s="272"/>
      <c r="AV15" s="272"/>
      <c r="AW15" s="272"/>
      <c r="AX15" s="272"/>
      <c r="AY15" s="272"/>
      <c r="AZ15" s="272"/>
      <c r="BA15" s="272"/>
      <c r="BB15" s="272"/>
      <c r="BC15" s="272"/>
      <c r="BD15" s="272"/>
      <c r="BE15" s="272"/>
      <c r="BF15" s="272"/>
      <c r="BG15" s="272"/>
      <c r="BH15" s="272"/>
      <c r="BI15" s="272"/>
      <c r="BJ15" s="272"/>
      <c r="BK15" s="272"/>
      <c r="BL15" s="272"/>
      <c r="BM15" s="272"/>
      <c r="BN15" s="272"/>
      <c r="BO15" s="272"/>
      <c r="BP15" s="105"/>
      <c r="BQ15" s="105"/>
      <c r="BR15" s="230" t="s">
        <v>52</v>
      </c>
      <c r="BS15" s="231"/>
      <c r="BT15" s="232"/>
      <c r="BU15" s="266" t="s">
        <v>323</v>
      </c>
      <c r="BV15" s="266"/>
      <c r="BW15" s="266"/>
      <c r="BX15" s="267"/>
      <c r="BY15" s="267"/>
      <c r="BZ15" s="267"/>
      <c r="CA15" s="267"/>
      <c r="CB15" s="267"/>
      <c r="CC15" s="267"/>
      <c r="CD15" s="267"/>
      <c r="CE15" s="267"/>
      <c r="CF15" s="267"/>
      <c r="CG15" s="267"/>
      <c r="CH15" s="267"/>
      <c r="CI15" s="267"/>
      <c r="CJ15" s="267"/>
      <c r="CK15" s="267"/>
      <c r="CL15" s="267"/>
      <c r="CM15" s="267"/>
      <c r="CN15" s="267"/>
      <c r="CO15" s="267"/>
      <c r="CP15" s="267"/>
      <c r="CQ15" s="267"/>
      <c r="CR15" s="267"/>
      <c r="CS15" s="267"/>
      <c r="CT15" s="267"/>
      <c r="CU15" s="267"/>
      <c r="CV15" s="267"/>
      <c r="CW15" s="267"/>
      <c r="CX15" s="267"/>
      <c r="CY15" s="267"/>
      <c r="CZ15" s="267"/>
      <c r="DA15" s="267"/>
      <c r="DB15" s="266"/>
      <c r="DC15" s="267"/>
      <c r="DD15" s="267"/>
      <c r="DE15" s="267"/>
      <c r="DF15" s="267"/>
      <c r="DG15" s="268"/>
    </row>
    <row r="16" spans="2:127" ht="15.75" customHeight="1" thickTop="1" thickBot="1">
      <c r="B16" s="203" t="s">
        <v>2</v>
      </c>
      <c r="C16" s="204"/>
      <c r="D16" s="204"/>
      <c r="E16" s="209"/>
      <c r="F16" s="242"/>
      <c r="G16" s="213"/>
      <c r="H16" s="195"/>
      <c r="I16" s="196"/>
      <c r="J16" s="44" t="str">
        <f>IFERROR(VLOOKUP(J18,'Monthly Line Picks'!$A$1:$D$1458,4,FALSE),"0")</f>
        <v>0</v>
      </c>
      <c r="K16" s="42">
        <f>IFERROR(VLOOKUP(K18,'Monthly Line Picks'!$A$1:$D$1458,4,FALSE),"0")</f>
        <v>18</v>
      </c>
      <c r="L16" s="42">
        <f>IFERROR(VLOOKUP(L18,'Monthly Line Picks'!$A$1:$D$1458,4,FALSE),"0")</f>
        <v>29</v>
      </c>
      <c r="M16" s="42" t="str">
        <f>IFERROR(VLOOKUP(M18,'Monthly Line Picks'!$A$1:$D$1458,4,FALSE),"0")</f>
        <v>0</v>
      </c>
      <c r="N16" s="42">
        <f>IFERROR(VLOOKUP(N18,'Monthly Line Picks'!$A$1:$D$1458,4,FALSE),"0")</f>
        <v>21</v>
      </c>
      <c r="O16" s="45">
        <f>IFERROR(VLOOKUP(O18,'Monthly Line Picks'!$A$1:$D$1458,4,FALSE),"0")</f>
        <v>10</v>
      </c>
      <c r="P16" s="44">
        <f>IFERROR(VLOOKUP(P18,'Monthly Line Picks'!$A$1:$D$1458,4,FALSE),"0")</f>
        <v>6</v>
      </c>
      <c r="Q16" s="42" t="str">
        <f>IFERROR(VLOOKUP(Q18,'Monthly Line Picks'!$A$1:$D$1458,4,FALSE),"0")</f>
        <v>0</v>
      </c>
      <c r="R16" s="42" t="str">
        <f>IFERROR(VLOOKUP(R18,'Monthly Line Picks'!$A$1:$D$1458,4,FALSE),"0")</f>
        <v>0</v>
      </c>
      <c r="S16" s="42" t="str">
        <f>IFERROR(VLOOKUP(S18,'Monthly Line Picks'!$A$1:$D$1458,4,FALSE),"0")</f>
        <v>0</v>
      </c>
      <c r="T16" s="42" t="str">
        <f>IFERROR(VLOOKUP(T18,'Monthly Line Picks'!$A$1:$D$1458,4,FALSE),"0")</f>
        <v>0</v>
      </c>
      <c r="U16" s="45">
        <f>IFERROR(VLOOKUP(U18,'Monthly Line Picks'!$A$1:$D$1458,4,FALSE),"0")</f>
        <v>7</v>
      </c>
      <c r="V16" s="44">
        <f>IFERROR(VLOOKUP(V18,'Monthly Line Picks'!$A$1:$D$1458,4,FALSE),"0")</f>
        <v>10</v>
      </c>
      <c r="W16" s="42" t="str">
        <f>IFERROR(VLOOKUP(W18,'Monthly Line Picks'!$A$1:$D$1458,4,FALSE),"0")</f>
        <v>0</v>
      </c>
      <c r="X16" s="42" t="str">
        <f>IFERROR(VLOOKUP(X18,'Monthly Line Picks'!$A$1:$D$1458,4,FALSE),"0")</f>
        <v>0</v>
      </c>
      <c r="Y16" s="42">
        <f>IFERROR(VLOOKUP(Y18,'Monthly Line Picks'!$A$1:$D$1458,4,FALSE),"0")</f>
        <v>27</v>
      </c>
      <c r="Z16" s="42" t="str">
        <f>IFERROR(VLOOKUP(Z18,'Monthly Line Picks'!$A$1:$D$1458,4,FALSE),"0")</f>
        <v>0</v>
      </c>
      <c r="AA16" s="45">
        <f>IFERROR(VLOOKUP(AA18,'Monthly Line Picks'!$A$1:$D$1458,4,FALSE),"0")</f>
        <v>11</v>
      </c>
      <c r="AB16" s="53" t="str">
        <f>IFERROR(VLOOKUP(AB18,'Monthly Line Picks'!$A$1:$D$1458,4,FALSE),"0")</f>
        <v>0</v>
      </c>
      <c r="AC16" s="42">
        <f>IFERROR(VLOOKUP(AC18,'Monthly Line Picks'!$A$1:$D$1458,4,FALSE),"0")</f>
        <v>32</v>
      </c>
      <c r="AD16" s="42">
        <f>IFERROR(VLOOKUP(AD18,'Monthly Line Picks'!$A$1:$D$1458,4,FALSE),"0")</f>
        <v>10</v>
      </c>
      <c r="AE16" s="42">
        <f>IFERROR(VLOOKUP(AE18,'Monthly Line Picks'!$A$1:$D$1458,4,FALSE),"0")</f>
        <v>10</v>
      </c>
      <c r="AF16" s="42" t="str">
        <f>IFERROR(VLOOKUP(AF18,'Monthly Line Picks'!$A$1:$D$1458,4,FALSE),"0")</f>
        <v>0</v>
      </c>
      <c r="AG16" s="45">
        <f>IFERROR(VLOOKUP(AG18,'Monthly Line Picks'!$A$1:$D$1458,4,FALSE),"0")</f>
        <v>15</v>
      </c>
      <c r="AH16" s="44">
        <f>IFERROR(VLOOKUP(AH18,'Monthly Line Picks'!$A$1:$D$1458,4,FALSE),"0")</f>
        <v>33</v>
      </c>
      <c r="AI16" s="42">
        <f>IFERROR(VLOOKUP(AI18,'Monthly Line Picks'!$A$1:$D$1458,4,FALSE),"0")</f>
        <v>47</v>
      </c>
      <c r="AJ16" s="42">
        <f>IFERROR(VLOOKUP(AJ18,'Monthly Line Picks'!$A$1:$D$1458,4,FALSE),"0")</f>
        <v>13</v>
      </c>
      <c r="AK16" s="42">
        <f>IFERROR(VLOOKUP(AK18,'Monthly Line Picks'!$A$1:$D$1458,4,FALSE),"0")</f>
        <v>6</v>
      </c>
      <c r="AL16" s="42" t="str">
        <f>IFERROR(VLOOKUP(AL18,'Monthly Line Picks'!$A$1:$D$1458,4,FALSE),"0")</f>
        <v>0</v>
      </c>
      <c r="AM16" s="45" t="str">
        <f>IFERROR(VLOOKUP(AM18,'Monthly Line Picks'!$A$1:$D$1458,4,FALSE),"0")</f>
        <v>0</v>
      </c>
      <c r="AN16" s="44" t="str">
        <f>IFERROR(VLOOKUP(AN18,'Monthly Line Picks'!$A$1:$D$1458,4,FALSE),"0")</f>
        <v>0</v>
      </c>
      <c r="AO16" s="42" t="str">
        <f>IFERROR(VLOOKUP(AO18,'Monthly Line Picks'!$A$1:$D$1458,4,FALSE),"0")</f>
        <v>0</v>
      </c>
      <c r="AP16" s="42">
        <f>IFERROR(VLOOKUP(AP18,'Monthly Line Picks'!$A$1:$D$1458,4,FALSE),"0")</f>
        <v>18</v>
      </c>
      <c r="AQ16" s="42">
        <f>IFERROR(VLOOKUP(AQ18,'Monthly Line Picks'!$A$1:$D$1458,4,FALSE),"0")</f>
        <v>17</v>
      </c>
      <c r="AR16" s="42" t="str">
        <f>IFERROR(VLOOKUP(AR18,'Monthly Line Picks'!$A$1:$D$1458,4,FALSE),"0")</f>
        <v>0</v>
      </c>
      <c r="AS16" s="45">
        <f>IFERROR(VLOOKUP(AS18,'Monthly Line Picks'!$A$1:$D$1458,4,FALSE),"0")</f>
        <v>5</v>
      </c>
      <c r="AT16" s="44">
        <f>IFERROR(VLOOKUP(AT18,'Monthly Line Picks'!$A$1:$D$1458,4,FALSE),"0")</f>
        <v>8</v>
      </c>
      <c r="AU16" s="42">
        <f>IFERROR(VLOOKUP(AU18,'Monthly Line Picks'!$A$1:$D$1458,4,FALSE),"0")</f>
        <v>12</v>
      </c>
      <c r="AV16" s="42">
        <f>IFERROR(VLOOKUP(AV18,'Monthly Line Picks'!$A$1:$D$1458,4,FALSE),"0")</f>
        <v>7</v>
      </c>
      <c r="AW16" s="42">
        <f>IFERROR(VLOOKUP(AW18,'Monthly Line Picks'!$A$1:$D$1458,4,FALSE),"0")</f>
        <v>55</v>
      </c>
      <c r="AX16" s="42">
        <f>IFERROR(VLOOKUP(AX18,'Monthly Line Picks'!$A$1:$D$1458,4,FALSE),"0")</f>
        <v>123</v>
      </c>
      <c r="AY16" s="45" t="str">
        <f>IFERROR(VLOOKUP(AY18,'Monthly Line Picks'!$A$1:$D$1458,4,FALSE),"0")</f>
        <v>0</v>
      </c>
      <c r="AZ16" s="15" t="s">
        <v>1632</v>
      </c>
      <c r="BA16" s="37" t="str">
        <f>IFERROR(VLOOKUP(AZ16,'Module Items'!$A$1:$B$2587,2,FALSE),"")</f>
        <v>OPEN</v>
      </c>
      <c r="BB16" s="44" t="str">
        <f>IFERROR(VLOOKUP(AZ16,'Monthly Line Picks'!$A$1:$D$2000,4,FALSE),"0")</f>
        <v>0</v>
      </c>
      <c r="BC16" s="47" t="s">
        <v>1633</v>
      </c>
      <c r="BD16" s="37">
        <f>IFERROR(VLOOKUP(BC16,'Module Items'!$A$1:$B$2587,2,FALSE),"")</f>
        <v>141080</v>
      </c>
      <c r="BE16" s="44">
        <f>IFERROR(VLOOKUP(BC16,'Monthly Line Picks'!$A$1:$D$2000,4,FALSE),"0")</f>
        <v>2</v>
      </c>
      <c r="BF16" s="187" t="s">
        <v>305</v>
      </c>
      <c r="BG16" s="187"/>
      <c r="BH16" s="187"/>
      <c r="BI16" s="187"/>
      <c r="BJ16" s="96"/>
      <c r="BK16" s="96"/>
      <c r="BL16" s="47" t="s">
        <v>1634</v>
      </c>
      <c r="BM16" s="37">
        <f>IFERROR(VLOOKUP(BL16,'Module Items'!$A$1:$B$2587,2,FALSE),"")</f>
        <v>2778</v>
      </c>
      <c r="BN16" s="44" t="str">
        <f>IFERROR(VLOOKUP(BL16,'Monthly Line Picks'!$A$1:$D$2000,4,FALSE),"0")</f>
        <v>0</v>
      </c>
      <c r="BO16" s="47" t="s">
        <v>1635</v>
      </c>
      <c r="BP16" s="37">
        <f>IFERROR(VLOOKUP(BO16,'Module Items'!$A$1:$B$2587,2,FALSE),"")</f>
        <v>141055</v>
      </c>
      <c r="BQ16" s="44">
        <f>IFERROR(VLOOKUP(BO16,'Monthly Line Picks'!$A$1:$D$2000,4,FALSE),"0")</f>
        <v>3</v>
      </c>
      <c r="BR16" s="234"/>
      <c r="BS16" s="234"/>
      <c r="BT16" s="235"/>
      <c r="BU16" s="42">
        <f>IFERROR(VLOOKUP(BU18,'Monthly Line Picks'!$A$1:$D$2101,4,FALSE),"0")</f>
        <v>3</v>
      </c>
      <c r="BV16" s="42">
        <f>IFERROR(VLOOKUP(BV18,'Monthly Line Picks'!$A$1:$D$2101,4,FALSE),"0")</f>
        <v>7</v>
      </c>
      <c r="BW16" s="45" t="str">
        <f>IFERROR(VLOOKUP(BW18,'Monthly Line Picks'!$A$1:$D$2101,4,FALSE),"0")</f>
        <v>0</v>
      </c>
      <c r="BX16" s="44" t="str">
        <f>IFERROR(VLOOKUP(BX18,'Monthly Line Picks'!$A$1:$D$2101,4,FALSE),"0")</f>
        <v>0</v>
      </c>
      <c r="BY16" s="42" t="str">
        <f>IFERROR(VLOOKUP(BY18,'Monthly Line Picks'!$A$1:$D$2101,4,FALSE),"0")</f>
        <v>0</v>
      </c>
      <c r="BZ16" s="42" t="str">
        <f>IFERROR(VLOOKUP(BZ18,'Monthly Line Picks'!$A$1:$D$2101,4,FALSE),"0")</f>
        <v>0</v>
      </c>
      <c r="CA16" s="42" t="str">
        <f>IFERROR(VLOOKUP(CA18,'Monthly Line Picks'!$A$1:$D$2101,4,FALSE),"0")</f>
        <v>0</v>
      </c>
      <c r="CB16" s="42">
        <f>IFERROR(VLOOKUP(CB18,'Monthly Line Picks'!$A$1:$D$2101,4,FALSE),"0")</f>
        <v>102</v>
      </c>
      <c r="CC16" s="45">
        <f>IFERROR(VLOOKUP(CC18,'Monthly Line Picks'!$A$1:$D$2101,4,FALSE),"0")</f>
        <v>526</v>
      </c>
      <c r="CD16" s="44" t="str">
        <f>IFERROR(VLOOKUP(CD18,'Monthly Line Picks'!$A$1:$D$2101,4,FALSE),"0")</f>
        <v>0</v>
      </c>
      <c r="CE16" s="42" t="str">
        <f>IFERROR(VLOOKUP(CE18,'Monthly Line Picks'!$A$1:$D$2101,4,FALSE),"0")</f>
        <v>0</v>
      </c>
      <c r="CF16" s="42" t="str">
        <f>IFERROR(VLOOKUP(CF18,'Monthly Line Picks'!$A$1:$D$2101,4,FALSE),"0")</f>
        <v>0</v>
      </c>
      <c r="CG16" s="42" t="str">
        <f>IFERROR(VLOOKUP(CG18,'Monthly Line Picks'!$A$1:$D$2101,4,FALSE),"0")</f>
        <v>0</v>
      </c>
      <c r="CH16" s="42">
        <f>IFERROR(VLOOKUP(CH18,'Monthly Line Picks'!$A$1:$D$2101,4,FALSE),"0")</f>
        <v>48</v>
      </c>
      <c r="CI16" s="45">
        <f>IFERROR(VLOOKUP(CI18,'Monthly Line Picks'!$A$1:$D$2101,4,FALSE),"0")</f>
        <v>175</v>
      </c>
      <c r="CJ16" s="44" t="str">
        <f>IFERROR(VLOOKUP(CJ18,'Monthly Line Picks'!$A$1:$D$2101,4,FALSE),"0")</f>
        <v>0</v>
      </c>
      <c r="CK16" s="42" t="str">
        <f>IFERROR(VLOOKUP(CK18,'Monthly Line Picks'!$A$1:$D$2101,4,FALSE),"0")</f>
        <v>0</v>
      </c>
      <c r="CL16" s="42" t="str">
        <f>IFERROR(VLOOKUP(CL18,'Monthly Line Picks'!$A$1:$D$2101,4,FALSE),"0")</f>
        <v>0</v>
      </c>
      <c r="CM16" s="42" t="str">
        <f>IFERROR(VLOOKUP(CM18,'Monthly Line Picks'!$A$1:$D$2101,4,FALSE),"0")</f>
        <v>0</v>
      </c>
      <c r="CN16" s="42">
        <f>IFERROR(VLOOKUP(CN18,'Monthly Line Picks'!$A$1:$D$2101,4,FALSE),"0")</f>
        <v>320</v>
      </c>
      <c r="CO16" s="99">
        <f>IFERROR(VLOOKUP(CO18,'Monthly Line Picks'!$A$1:$D$2101,4,FALSE),"0")</f>
        <v>451</v>
      </c>
      <c r="CP16" s="44" t="str">
        <f>IFERROR(VLOOKUP(CP18,'Monthly Line Picks'!$A$1:$D$2101,4,FALSE),"0")</f>
        <v>0</v>
      </c>
      <c r="CQ16" s="42" t="str">
        <f>IFERROR(VLOOKUP(CQ18,'Monthly Line Picks'!$A$1:$D$2101,4,FALSE),"0")</f>
        <v>0</v>
      </c>
      <c r="CR16" s="42" t="str">
        <f>IFERROR(VLOOKUP(CR18,'Monthly Line Picks'!$A$1:$D$2101,4,FALSE),"0")</f>
        <v>0</v>
      </c>
      <c r="CS16" s="42" t="str">
        <f>IFERROR(VLOOKUP(CS18,'Monthly Line Picks'!$A$1:$D$2101,4,FALSE),"0")</f>
        <v>0</v>
      </c>
      <c r="CT16" s="42">
        <f>IFERROR(VLOOKUP(CT18,'Monthly Line Picks'!$A$1:$D$2101,4,FALSE),"0")</f>
        <v>873</v>
      </c>
      <c r="CU16" s="45">
        <f>IFERROR(VLOOKUP(CU18,'Monthly Line Picks'!$A$1:$D$2101,4,FALSE),"0")</f>
        <v>900</v>
      </c>
      <c r="CV16" s="53" t="str">
        <f>IFERROR(VLOOKUP(CV18,'Monthly Line Picks'!$A$1:$D$2101,4,FALSE),"0")</f>
        <v>0</v>
      </c>
      <c r="CW16" s="42">
        <f>IFERROR(VLOOKUP(CW18,'Monthly Line Picks'!$A$1:$D$2101,4,FALSE),"0")</f>
        <v>57</v>
      </c>
      <c r="CX16" s="42" t="str">
        <f>IFERROR(VLOOKUP(CX18,'Monthly Line Picks'!$A$1:$D$2101,4,FALSE),"0")</f>
        <v>0</v>
      </c>
      <c r="CY16" s="42">
        <f>IFERROR(VLOOKUP(CY18,'Monthly Line Picks'!$A$1:$D$2101,4,FALSE),"0")</f>
        <v>2</v>
      </c>
      <c r="CZ16" s="42">
        <f>IFERROR(VLOOKUP(CZ18,'Monthly Line Picks'!$A$1:$D$2101,4,FALSE),"0")</f>
        <v>6</v>
      </c>
      <c r="DA16" s="45" t="str">
        <f>IFERROR(VLOOKUP(DA18,'Monthly Line Picks'!$A$1:$D$1458,4,FALSE),"0")</f>
        <v>0</v>
      </c>
      <c r="DB16" s="53" t="s">
        <v>1636</v>
      </c>
      <c r="DC16" s="37">
        <f>IFERROR(VLOOKUP(DB16,'Module Items'!$A$1:$B$2587,2,FALSE),"")</f>
        <v>8797</v>
      </c>
      <c r="DD16" s="44" t="str">
        <f>IFERROR(VLOOKUP(DB16,'Monthly Line Picks'!$A$1:$D$2000,4,FALSE),"0")</f>
        <v>0</v>
      </c>
      <c r="DE16" s="47" t="s">
        <v>1637</v>
      </c>
      <c r="DF16" s="37">
        <f>IFERROR(VLOOKUP(DE16,'Module Items'!$A$1:$B$2587,2,FALSE),"")</f>
        <v>323</v>
      </c>
      <c r="DG16" s="44">
        <f>IFERROR(VLOOKUP(DE16,'Monthly Line Picks'!$A$1:$D$2000,4,FALSE),"0")</f>
        <v>26</v>
      </c>
      <c r="DH16" s="189" t="s">
        <v>305</v>
      </c>
      <c r="DI16" s="190"/>
      <c r="DJ16" s="190"/>
      <c r="DK16" s="190"/>
      <c r="DL16" s="190"/>
      <c r="DM16" s="191"/>
      <c r="DN16" s="47" t="s">
        <v>1638</v>
      </c>
      <c r="DO16" s="37">
        <f>IFERROR(VLOOKUP(DN16,'Module Items'!$A$1:$B$2587,2,FALSE),"")</f>
        <v>177057</v>
      </c>
      <c r="DP16" s="44" t="str">
        <f>IFERROR(VLOOKUP(DN16,'Monthly Line Picks'!$A$1:$D$2000,4,FALSE),"0")</f>
        <v>0</v>
      </c>
      <c r="DQ16" s="47" t="s">
        <v>1639</v>
      </c>
      <c r="DR16" s="37">
        <f>IFERROR(VLOOKUP(DQ16,'Module Items'!$A$1:$B$2587,2,FALSE),"")</f>
        <v>134162</v>
      </c>
      <c r="DS16" s="44">
        <f>IFERROR(VLOOKUP(DQ16,'Monthly Line Picks'!$A$1:$D$2000,4,FALSE),"0")</f>
        <v>1</v>
      </c>
      <c r="DT16" s="242"/>
      <c r="DU16" s="213"/>
      <c r="DV16" s="195"/>
      <c r="DW16" s="241"/>
    </row>
    <row r="17" spans="2:127" ht="15.95" thickBot="1">
      <c r="B17" s="205"/>
      <c r="C17" s="206"/>
      <c r="D17" s="206"/>
      <c r="E17" s="210"/>
      <c r="F17" s="202"/>
      <c r="G17" s="196"/>
      <c r="H17" s="195"/>
      <c r="I17" s="196"/>
      <c r="J17" s="37">
        <f>IFERROR(VLOOKUP(J18,'Module Items'!$A$1:$B$2587,2,FALSE),"")</f>
        <v>92938</v>
      </c>
      <c r="K17" s="13">
        <f>IFERROR(VLOOKUP(K18,'Module Items'!$A$1:$B$2587,2,FALSE),"")</f>
        <v>138364</v>
      </c>
      <c r="L17" s="13">
        <f>IFERROR(VLOOKUP(L18,'Module Items'!$A$1:$B$2587,2,FALSE),"")</f>
        <v>63853</v>
      </c>
      <c r="M17" s="13" t="str">
        <f>IFERROR(VLOOKUP(M18,'Module Items'!$A$1:$B$2587,2,FALSE),"")</f>
        <v>OPEN</v>
      </c>
      <c r="N17" s="13">
        <f>IFERROR(VLOOKUP(N18,'Module Items'!$A$1:$B$2587,2,FALSE),"")</f>
        <v>112471</v>
      </c>
      <c r="O17" s="108">
        <f>IFERROR(VLOOKUP(O18,'Module Items'!$A$1:$B$2587,2,FALSE),"")</f>
        <v>156331</v>
      </c>
      <c r="P17" s="37">
        <f>IFERROR(VLOOKUP(P18,'Module Items'!$A$1:$B$2587,2,FALSE),"")</f>
        <v>17406</v>
      </c>
      <c r="Q17" s="13" t="str">
        <f>IFERROR(VLOOKUP(Q18,'Module Items'!$A$1:$B$2587,2,FALSE),"")</f>
        <v>OPEN</v>
      </c>
      <c r="R17" s="13" t="str">
        <f>IFERROR(VLOOKUP(R18,'Module Items'!$A$1:$B$2587,2,FALSE),"")</f>
        <v>OPEN</v>
      </c>
      <c r="S17" s="13">
        <f>IFERROR(VLOOKUP(S18,'Module Items'!$A$1:$B$2587,2,FALSE),"")</f>
        <v>134062</v>
      </c>
      <c r="T17" s="13">
        <f>IFERROR(VLOOKUP(T18,'Module Items'!$A$1:$B$2587,2,FALSE),"")</f>
        <v>91365</v>
      </c>
      <c r="U17" s="108">
        <f>IFERROR(VLOOKUP(U18,'Module Items'!$A$1:$B$2587,2,FALSE),"")</f>
        <v>156912</v>
      </c>
      <c r="V17" s="37">
        <f>IFERROR(VLOOKUP(V18,'Module Items'!$A$1:$B$2587,2,FALSE),"")</f>
        <v>137612</v>
      </c>
      <c r="W17" s="13" t="str">
        <f>IFERROR(VLOOKUP(W18,'Module Items'!$A$1:$B$2587,2,FALSE),"")</f>
        <v>OPEN</v>
      </c>
      <c r="X17" s="13">
        <f>IFERROR(VLOOKUP(X18,'Module Items'!$A$1:$B$2587,2,FALSE),"")</f>
        <v>104533</v>
      </c>
      <c r="Y17" s="13">
        <f>IFERROR(VLOOKUP(Y18,'Module Items'!$A$1:$B$2587,2,FALSE),"")</f>
        <v>116018</v>
      </c>
      <c r="Z17" s="13">
        <f>IFERROR(VLOOKUP(Z18,'Module Items'!$A$1:$B$2587,2,FALSE),"")</f>
        <v>31251</v>
      </c>
      <c r="AA17" s="108">
        <f>IFERROR(VLOOKUP(AA18,'Module Items'!$A$1:$B$2587,2,FALSE),"")</f>
        <v>139049</v>
      </c>
      <c r="AB17" s="10" t="str">
        <f>IFERROR(VLOOKUP(AB18,'Module Items'!$A$1:$B$2587,2,FALSE),"")</f>
        <v>OPEN</v>
      </c>
      <c r="AC17" s="13">
        <f>IFERROR(VLOOKUP(AC18,'Module Items'!$A$1:$B$2587,2,FALSE),"")</f>
        <v>157427</v>
      </c>
      <c r="AD17" s="13">
        <f>IFERROR(VLOOKUP(AD18,'Module Items'!$A$1:$B$2587,2,FALSE),"")</f>
        <v>82460</v>
      </c>
      <c r="AE17" s="13">
        <f>IFERROR(VLOOKUP(AE18,'Module Items'!$A$1:$B$2587,2,FALSE),"")</f>
        <v>127136</v>
      </c>
      <c r="AF17" s="13" t="str">
        <f>IFERROR(VLOOKUP(AF18,'Module Items'!$A$1:$B$2587,2,FALSE),"")</f>
        <v>OPEN</v>
      </c>
      <c r="AG17" s="108">
        <f>IFERROR(VLOOKUP(AG18,'Module Items'!$A$1:$B$2587,2,FALSE),"")</f>
        <v>16975</v>
      </c>
      <c r="AH17" s="37">
        <f>IFERROR(VLOOKUP(AH18,'Module Items'!$A$1:$B$2587,2,FALSE),"")</f>
        <v>14204</v>
      </c>
      <c r="AI17" s="13">
        <f>IFERROR(VLOOKUP(AI18,'Module Items'!$A$1:$B$2587,2,FALSE),"")</f>
        <v>112714</v>
      </c>
      <c r="AJ17" s="13">
        <f>IFERROR(VLOOKUP(AJ18,'Module Items'!$A$1:$B$2587,2,FALSE),"")</f>
        <v>8447</v>
      </c>
      <c r="AK17" s="13">
        <f>IFERROR(VLOOKUP(AK18,'Module Items'!$A$1:$B$2587,2,FALSE),"")</f>
        <v>18018</v>
      </c>
      <c r="AL17" s="13">
        <f>IFERROR(VLOOKUP(AL18,'Module Items'!$A$1:$B$2587,2,FALSE),"")</f>
        <v>128656</v>
      </c>
      <c r="AM17" s="108" t="str">
        <f>IFERROR(VLOOKUP(AM18,'Module Items'!$A$1:$B$2587,2,FALSE),"")</f>
        <v/>
      </c>
      <c r="AN17" s="37" t="str">
        <f>IFERROR(VLOOKUP(AN18,'Module Items'!$A$1:$B$2587,2,FALSE),"")</f>
        <v/>
      </c>
      <c r="AO17" s="13">
        <f>IFERROR(VLOOKUP(AO18,'Module Items'!$A$1:$B$2587,2,FALSE),"")</f>
        <v>76808</v>
      </c>
      <c r="AP17" s="13">
        <f>IFERROR(VLOOKUP(AP18,'Module Items'!$A$1:$B$2587,2,FALSE),"")</f>
        <v>58264</v>
      </c>
      <c r="AQ17" s="13">
        <f>IFERROR(VLOOKUP(AQ18,'Module Items'!$A$1:$B$2587,2,FALSE),"")</f>
        <v>109983</v>
      </c>
      <c r="AR17" s="13">
        <f>IFERROR(VLOOKUP(AR18,'Module Items'!$A$1:$B$2587,2,FALSE),"")</f>
        <v>78887</v>
      </c>
      <c r="AS17" s="108">
        <f>IFERROR(VLOOKUP(AS18,'Module Items'!$A$1:$B$2587,2,FALSE),"")</f>
        <v>100928</v>
      </c>
      <c r="AT17" s="37">
        <f>IFERROR(VLOOKUP(AT18,'Module Items'!$A$1:$B$2587,2,FALSE),"")</f>
        <v>138566</v>
      </c>
      <c r="AU17" s="13">
        <f>IFERROR(VLOOKUP(AU18,'Module Items'!$A$1:$B$2587,2,FALSE),"")</f>
        <v>9124</v>
      </c>
      <c r="AV17" s="13" t="str">
        <f>IFERROR(VLOOKUP(AV18,'Module Items'!$A$1:$B$2587,2,FALSE),"")</f>
        <v/>
      </c>
      <c r="AW17" s="13">
        <f>IFERROR(VLOOKUP(AW18,'Module Items'!$A$1:$B$2587,2,FALSE),"")</f>
        <v>2634</v>
      </c>
      <c r="AX17" s="13" t="str">
        <f>IFERROR(VLOOKUP(AX18,'Module Items'!$A$1:$B$2587,2,FALSE),"")</f>
        <v/>
      </c>
      <c r="AY17" s="108" t="str">
        <f>IFERROR(VLOOKUP(AY18,'Module Items'!$A$1:$B$2587,2,FALSE),"")</f>
        <v/>
      </c>
      <c r="AZ17" s="15" t="s">
        <v>1640</v>
      </c>
      <c r="BA17" s="37">
        <f>IFERROR(VLOOKUP(AZ17,'Module Items'!$A$1:$B$2587,2,FALSE),"")</f>
        <v>141081</v>
      </c>
      <c r="BB17" s="44">
        <f>IFERROR(VLOOKUP(AZ17,'Monthly Line Picks'!$A$1:$D$2000,4,FALSE),"0")</f>
        <v>6</v>
      </c>
      <c r="BC17" s="47" t="s">
        <v>1641</v>
      </c>
      <c r="BD17" s="37">
        <f>IFERROR(VLOOKUP(BC17,'Module Items'!$A$1:$B$2587,2,FALSE),"")</f>
        <v>48699</v>
      </c>
      <c r="BE17" s="44">
        <f>IFERROR(VLOOKUP(BC17,'Monthly Line Picks'!$A$1:$D$2000,4,FALSE),"0")</f>
        <v>4</v>
      </c>
      <c r="BF17" s="187"/>
      <c r="BG17" s="187"/>
      <c r="BH17" s="187"/>
      <c r="BI17" s="187"/>
      <c r="BJ17" s="96"/>
      <c r="BK17" s="96"/>
      <c r="BL17" s="47" t="s">
        <v>1642</v>
      </c>
      <c r="BM17" s="37">
        <f>IFERROR(VLOOKUP(BL17,'Module Items'!$A$1:$B$2587,2,FALSE),"")</f>
        <v>8001</v>
      </c>
      <c r="BN17" s="44">
        <f>IFERROR(VLOOKUP(BL17,'Monthly Line Picks'!$A$1:$D$2000,4,FALSE),"0")</f>
        <v>8</v>
      </c>
      <c r="BO17" s="47" t="s">
        <v>1643</v>
      </c>
      <c r="BP17" s="37">
        <f>IFERROR(VLOOKUP(BO17,'Module Items'!$A$1:$B$2587,2,FALSE),"")</f>
        <v>14149</v>
      </c>
      <c r="BQ17" s="44" t="str">
        <f>IFERROR(VLOOKUP(BO17,'Monthly Line Picks'!$A$1:$D$2000,4,FALSE),"0")</f>
        <v>0</v>
      </c>
      <c r="BR17" s="234"/>
      <c r="BS17" s="234"/>
      <c r="BT17" s="235"/>
      <c r="BU17" s="13">
        <f>IFERROR(VLOOKUP(BU18,'Module Items'!$A$1:$B$2587,2,FALSE),"")</f>
        <v>100748</v>
      </c>
      <c r="BV17" s="13">
        <f>IFERROR(VLOOKUP(BV18,'Module Items'!$A$1:$B$2587,2,FALSE),"")</f>
        <v>28472</v>
      </c>
      <c r="BW17" s="108" t="str">
        <f>IFERROR(VLOOKUP(BW18,'Module Items'!$A$1:$B$2587,2,FALSE),"")</f>
        <v>OPEN</v>
      </c>
      <c r="BX17" s="37" t="str">
        <f>IFERROR(VLOOKUP(BX18,'Module Items'!$A$1:$B$2587,2,FALSE),"")</f>
        <v/>
      </c>
      <c r="BY17" s="13" t="str">
        <f>IFERROR(VLOOKUP(BY18,'Module Items'!$A$1:$B$2587,2,FALSE),"")</f>
        <v/>
      </c>
      <c r="BZ17" s="13" t="str">
        <f>IFERROR(VLOOKUP(BZ18,'Module Items'!$A$1:$B$2587,2,FALSE),"")</f>
        <v/>
      </c>
      <c r="CA17" s="13" t="str">
        <f>IFERROR(VLOOKUP(CA18,'Module Items'!$A$1:$B$2587,2,FALSE),"")</f>
        <v/>
      </c>
      <c r="CB17" s="13">
        <f>IFERROR(VLOOKUP(CB18,'Module Items'!$A$1:$B$2587,2,FALSE),"")</f>
        <v>138922</v>
      </c>
      <c r="CC17" s="108">
        <f>IFERROR(VLOOKUP(CC18,'Module Items'!$A$1:$B$2587,2,FALSE),"")</f>
        <v>111869</v>
      </c>
      <c r="CD17" s="37" t="str">
        <f>IFERROR(VLOOKUP(CD18,'Module Items'!$A$1:$B$2587,2,FALSE),"")</f>
        <v/>
      </c>
      <c r="CE17" s="13" t="str">
        <f>IFERROR(VLOOKUP(CE18,'Module Items'!$A$1:$B$2587,2,FALSE),"")</f>
        <v/>
      </c>
      <c r="CF17" s="13" t="str">
        <f>IFERROR(VLOOKUP(CF18,'Module Items'!$A$1:$B$2587,2,FALSE),"")</f>
        <v/>
      </c>
      <c r="CG17" s="13" t="str">
        <f>IFERROR(VLOOKUP(CG18,'Module Items'!$A$1:$B$2587,2,FALSE),"")</f>
        <v/>
      </c>
      <c r="CH17" s="13">
        <f>IFERROR(VLOOKUP(CH18,'Module Items'!$A$1:$B$2587,2,FALSE),"")</f>
        <v>159320</v>
      </c>
      <c r="CI17" s="108">
        <f>IFERROR(VLOOKUP(CI18,'Module Items'!$A$1:$B$2587,2,FALSE),"")</f>
        <v>124670</v>
      </c>
      <c r="CJ17" s="37" t="str">
        <f>IFERROR(VLOOKUP(CJ18,'Module Items'!$A$1:$B$2587,2,FALSE),"")</f>
        <v/>
      </c>
      <c r="CK17" s="13" t="str">
        <f>IFERROR(VLOOKUP(CK18,'Module Items'!$A$1:$B$2587,2,FALSE),"")</f>
        <v/>
      </c>
      <c r="CL17" s="13" t="str">
        <f>IFERROR(VLOOKUP(CL18,'Module Items'!$A$1:$B$2587,2,FALSE),"")</f>
        <v/>
      </c>
      <c r="CM17" s="13" t="str">
        <f>IFERROR(VLOOKUP(CM18,'Module Items'!$A$1:$B$2587,2,FALSE),"")</f>
        <v/>
      </c>
      <c r="CN17" s="13">
        <f>IFERROR(VLOOKUP(CN18,'Module Items'!$A$1:$B$2587,2,FALSE),"")</f>
        <v>120031</v>
      </c>
      <c r="CO17" s="11">
        <f>IFERROR(VLOOKUP(CO18,'Module Items'!$A$1:$B$2587,2,FALSE),"")</f>
        <v>130235</v>
      </c>
      <c r="CP17" s="37" t="str">
        <f>IFERROR(VLOOKUP(CP18,'Module Items'!$A$1:$B$2587,2,FALSE),"")</f>
        <v/>
      </c>
      <c r="CQ17" s="13" t="str">
        <f>IFERROR(VLOOKUP(CQ18,'Module Items'!$A$1:$B$2587,2,FALSE),"")</f>
        <v/>
      </c>
      <c r="CR17" s="13" t="str">
        <f>IFERROR(VLOOKUP(CR18,'Module Items'!$A$1:$B$2587,2,FALSE),"")</f>
        <v/>
      </c>
      <c r="CS17" s="13" t="str">
        <f>IFERROR(VLOOKUP(CS18,'Module Items'!$A$1:$B$2587,2,FALSE),"")</f>
        <v/>
      </c>
      <c r="CT17" s="13">
        <f>IFERROR(VLOOKUP(CT18,'Module Items'!$A$1:$B$2587,2,FALSE),"")</f>
        <v>156697</v>
      </c>
      <c r="CU17" s="108">
        <f>IFERROR(VLOOKUP(CU18,'Module Items'!$A$1:$B$2587,2,FALSE),"")</f>
        <v>113597</v>
      </c>
      <c r="CV17" s="10" t="str">
        <f>IFERROR(VLOOKUP(CV18,'Module Items'!$A$1:$B$2587,2,FALSE),"")</f>
        <v/>
      </c>
      <c r="CW17" s="13">
        <f>IFERROR(VLOOKUP(CW18,'Module Items'!$A$1:$B$2587,2,FALSE),"")</f>
        <v>124574</v>
      </c>
      <c r="CX17" s="13" t="str">
        <f>IFERROR(VLOOKUP(CX18,'Module Items'!$A$1:$B$2587,2,FALSE),"")</f>
        <v/>
      </c>
      <c r="CY17" s="13">
        <f>IFERROR(VLOOKUP(CY18,'Module Items'!$A$1:$B$2587,2,FALSE),"")</f>
        <v>83233</v>
      </c>
      <c r="CZ17" s="13">
        <f>IFERROR(VLOOKUP(CZ18,'Module Items'!$A$1:$B$2587,2,FALSE),"")</f>
        <v>177007</v>
      </c>
      <c r="DA17" s="108" t="str">
        <f>IFERROR(VLOOKUP(DA18,'Module Items'!$A$1:$B$2587,2,FALSE),"")</f>
        <v>OPEN</v>
      </c>
      <c r="DB17" s="54" t="s">
        <v>1644</v>
      </c>
      <c r="DC17" s="37">
        <f>IFERROR(VLOOKUP(DB17,'Module Items'!$A$1:$B$2587,2,FALSE),"")</f>
        <v>135897</v>
      </c>
      <c r="DD17" s="44" t="str">
        <f>IFERROR(VLOOKUP(DB17,'Monthly Line Picks'!$A$1:$D$2000,4,FALSE),"0")</f>
        <v>0</v>
      </c>
      <c r="DE17" s="47" t="s">
        <v>1645</v>
      </c>
      <c r="DF17" s="37">
        <f>IFERROR(VLOOKUP(DE17,'Module Items'!$A$1:$B$2587,2,FALSE),"")</f>
        <v>83903</v>
      </c>
      <c r="DG17" s="44">
        <f>IFERROR(VLOOKUP(DE17,'Monthly Line Picks'!$A$1:$D$2000,4,FALSE),"0")</f>
        <v>4</v>
      </c>
      <c r="DH17" s="243"/>
      <c r="DI17" s="244"/>
      <c r="DJ17" s="244"/>
      <c r="DK17" s="244"/>
      <c r="DL17" s="244"/>
      <c r="DM17" s="245"/>
      <c r="DN17" s="47" t="s">
        <v>1646</v>
      </c>
      <c r="DO17" s="37">
        <f>IFERROR(VLOOKUP(DN17,'Module Items'!$A$1:$B$2587,2,FALSE),"")</f>
        <v>135156</v>
      </c>
      <c r="DP17" s="44">
        <f>IFERROR(VLOOKUP(DN17,'Monthly Line Picks'!$A$1:$D$2000,4,FALSE),"0")</f>
        <v>3</v>
      </c>
      <c r="DQ17" s="47" t="s">
        <v>1647</v>
      </c>
      <c r="DR17" s="37">
        <f>IFERROR(VLOOKUP(DQ17,'Module Items'!$A$1:$B$2587,2,FALSE),"")</f>
        <v>141110</v>
      </c>
      <c r="DS17" s="44">
        <f>IFERROR(VLOOKUP(DQ17,'Monthly Line Picks'!$A$1:$D$2000,4,FALSE),"0")</f>
        <v>1</v>
      </c>
      <c r="DT17" s="202"/>
      <c r="DU17" s="196"/>
      <c r="DV17" s="195"/>
      <c r="DW17" s="241"/>
    </row>
    <row r="18" spans="2:127" ht="15.95" thickBot="1">
      <c r="B18" s="205"/>
      <c r="C18" s="206"/>
      <c r="D18" s="206"/>
      <c r="E18" s="210"/>
      <c r="F18" s="202"/>
      <c r="G18" s="196"/>
      <c r="H18" s="195"/>
      <c r="I18" s="196"/>
      <c r="J18" s="37" t="s">
        <v>1648</v>
      </c>
      <c r="K18" s="13" t="s">
        <v>1649</v>
      </c>
      <c r="L18" s="13" t="s">
        <v>1650</v>
      </c>
      <c r="M18" s="13" t="s">
        <v>1651</v>
      </c>
      <c r="N18" s="13" t="s">
        <v>1652</v>
      </c>
      <c r="O18" s="108" t="s">
        <v>1653</v>
      </c>
      <c r="P18" s="37" t="s">
        <v>1654</v>
      </c>
      <c r="Q18" s="13" t="s">
        <v>1655</v>
      </c>
      <c r="R18" s="13" t="s">
        <v>1656</v>
      </c>
      <c r="S18" s="13" t="s">
        <v>1657</v>
      </c>
      <c r="T18" s="13" t="s">
        <v>1658</v>
      </c>
      <c r="U18" s="108" t="s">
        <v>1659</v>
      </c>
      <c r="V18" s="37" t="s">
        <v>1660</v>
      </c>
      <c r="W18" s="13" t="s">
        <v>1661</v>
      </c>
      <c r="X18" s="13" t="s">
        <v>1662</v>
      </c>
      <c r="Y18" s="13" t="s">
        <v>1663</v>
      </c>
      <c r="Z18" s="13" t="s">
        <v>1664</v>
      </c>
      <c r="AA18" s="108" t="s">
        <v>1665</v>
      </c>
      <c r="AB18" s="10" t="s">
        <v>1666</v>
      </c>
      <c r="AC18" s="13" t="s">
        <v>1667</v>
      </c>
      <c r="AD18" s="13" t="s">
        <v>1668</v>
      </c>
      <c r="AE18" s="13" t="s">
        <v>1669</v>
      </c>
      <c r="AF18" s="13" t="s">
        <v>1670</v>
      </c>
      <c r="AG18" s="108" t="s">
        <v>1671</v>
      </c>
      <c r="AH18" s="37" t="s">
        <v>1672</v>
      </c>
      <c r="AI18" s="13" t="s">
        <v>1673</v>
      </c>
      <c r="AJ18" s="13" t="s">
        <v>1674</v>
      </c>
      <c r="AK18" s="13" t="s">
        <v>1675</v>
      </c>
      <c r="AL18" s="13" t="s">
        <v>1676</v>
      </c>
      <c r="AM18" s="108" t="s">
        <v>1677</v>
      </c>
      <c r="AN18" s="37" t="s">
        <v>1678</v>
      </c>
      <c r="AO18" s="13" t="s">
        <v>1679</v>
      </c>
      <c r="AP18" s="13" t="s">
        <v>1680</v>
      </c>
      <c r="AQ18" s="13" t="s">
        <v>1681</v>
      </c>
      <c r="AR18" s="13" t="s">
        <v>1682</v>
      </c>
      <c r="AS18" s="108" t="s">
        <v>1683</v>
      </c>
      <c r="AT18" s="37" t="s">
        <v>1684</v>
      </c>
      <c r="AU18" s="13" t="s">
        <v>1685</v>
      </c>
      <c r="AV18" s="13" t="s">
        <v>1686</v>
      </c>
      <c r="AW18" s="13" t="s">
        <v>1687</v>
      </c>
      <c r="AX18" s="13" t="s">
        <v>1688</v>
      </c>
      <c r="AY18" s="108" t="s">
        <v>1689</v>
      </c>
      <c r="AZ18" s="15" t="s">
        <v>1690</v>
      </c>
      <c r="BA18" s="37">
        <f>IFERROR(VLOOKUP(AZ18,'Module Items'!$A$1:$B$2587,2,FALSE),"")</f>
        <v>4074</v>
      </c>
      <c r="BB18" s="44">
        <f>IFERROR(VLOOKUP(AZ18,'Monthly Line Picks'!$A$1:$D$2000,4,FALSE),"0")</f>
        <v>4</v>
      </c>
      <c r="BC18" s="47" t="s">
        <v>1691</v>
      </c>
      <c r="BD18" s="37">
        <f>IFERROR(VLOOKUP(BC18,'Module Items'!$A$1:$B$2587,2,FALSE),"")</f>
        <v>10223</v>
      </c>
      <c r="BE18" s="44">
        <f>IFERROR(VLOOKUP(BC18,'Monthly Line Picks'!$A$1:$D$2000,4,FALSE),"0")</f>
        <v>19</v>
      </c>
      <c r="BF18" s="47" t="s">
        <v>1692</v>
      </c>
      <c r="BG18" s="37">
        <f>IFERROR(VLOOKUP(BF18,'Module Items'!$A$1:$B$2587,2,FALSE),"")</f>
        <v>10971</v>
      </c>
      <c r="BH18" s="44">
        <f>IFERROR(VLOOKUP(BF18,'Monthly Line Picks'!$A$1:$D$2000,4,FALSE),"0")</f>
        <v>5</v>
      </c>
      <c r="BI18" s="47" t="s">
        <v>1693</v>
      </c>
      <c r="BJ18" s="37">
        <f>IFERROR(VLOOKUP(BI18,'Module Items'!$A$1:$B$2587,2,FALSE),"")</f>
        <v>9928</v>
      </c>
      <c r="BK18" s="44">
        <f>IFERROR(VLOOKUP(BI18,'Monthly Line Picks'!$A$1:$D$2000,4,FALSE),"0")</f>
        <v>2</v>
      </c>
      <c r="BL18" s="47" t="s">
        <v>1694</v>
      </c>
      <c r="BM18" s="37">
        <f>IFERROR(VLOOKUP(BL18,'Module Items'!$A$1:$B$2587,2,FALSE),"")</f>
        <v>398</v>
      </c>
      <c r="BN18" s="44">
        <f>IFERROR(VLOOKUP(BL18,'Monthly Line Picks'!$A$1:$D$2000,4,FALSE),"0")</f>
        <v>4</v>
      </c>
      <c r="BO18" s="47" t="s">
        <v>1695</v>
      </c>
      <c r="BP18" s="37" t="str">
        <f>IFERROR(VLOOKUP(BO18,'Module Items'!$A$1:$B$2587,2,FALSE),"")</f>
        <v/>
      </c>
      <c r="BQ18" s="44" t="str">
        <f>IFERROR(VLOOKUP(BO18,'Monthly Line Picks'!$A$1:$D$2000,4,FALSE),"0")</f>
        <v>0</v>
      </c>
      <c r="BR18" s="234"/>
      <c r="BS18" s="234"/>
      <c r="BT18" s="235"/>
      <c r="BU18" s="13" t="s">
        <v>1696</v>
      </c>
      <c r="BV18" s="13" t="s">
        <v>1697</v>
      </c>
      <c r="BW18" s="108" t="s">
        <v>1698</v>
      </c>
      <c r="BX18" s="37" t="s">
        <v>1699</v>
      </c>
      <c r="BY18" s="13" t="s">
        <v>1700</v>
      </c>
      <c r="BZ18" s="13" t="s">
        <v>1701</v>
      </c>
      <c r="CA18" s="13" t="s">
        <v>1702</v>
      </c>
      <c r="CB18" s="13" t="s">
        <v>1703</v>
      </c>
      <c r="CC18" s="108" t="s">
        <v>1704</v>
      </c>
      <c r="CD18" s="37" t="s">
        <v>1705</v>
      </c>
      <c r="CE18" s="13" t="s">
        <v>1706</v>
      </c>
      <c r="CF18" s="13" t="s">
        <v>1707</v>
      </c>
      <c r="CG18" s="13" t="s">
        <v>1708</v>
      </c>
      <c r="CH18" s="13" t="s">
        <v>1709</v>
      </c>
      <c r="CI18" s="108" t="s">
        <v>1710</v>
      </c>
      <c r="CJ18" s="37" t="s">
        <v>1711</v>
      </c>
      <c r="CK18" s="13" t="s">
        <v>1712</v>
      </c>
      <c r="CL18" s="13" t="s">
        <v>1713</v>
      </c>
      <c r="CM18" s="13" t="s">
        <v>1714</v>
      </c>
      <c r="CN18" s="13" t="s">
        <v>1715</v>
      </c>
      <c r="CO18" s="11" t="s">
        <v>1716</v>
      </c>
      <c r="CP18" s="37" t="s">
        <v>1717</v>
      </c>
      <c r="CQ18" s="13" t="s">
        <v>1718</v>
      </c>
      <c r="CR18" s="13" t="s">
        <v>1719</v>
      </c>
      <c r="CS18" s="13" t="s">
        <v>1720</v>
      </c>
      <c r="CT18" s="13" t="s">
        <v>1721</v>
      </c>
      <c r="CU18" s="108" t="s">
        <v>1722</v>
      </c>
      <c r="CV18" s="10" t="s">
        <v>1723</v>
      </c>
      <c r="CW18" s="13" t="s">
        <v>1724</v>
      </c>
      <c r="CX18" s="13" t="s">
        <v>1725</v>
      </c>
      <c r="CY18" s="13" t="s">
        <v>1726</v>
      </c>
      <c r="CZ18" s="13" t="s">
        <v>1727</v>
      </c>
      <c r="DA18" s="108" t="s">
        <v>1728</v>
      </c>
      <c r="DB18" s="54" t="s">
        <v>1729</v>
      </c>
      <c r="DC18" s="37">
        <f>IFERROR(VLOOKUP(DB18,'Module Items'!$A$1:$B$2587,2,FALSE),"")</f>
        <v>5798</v>
      </c>
      <c r="DD18" s="44">
        <f>IFERROR(VLOOKUP(DB18,'Monthly Line Picks'!$A$1:$D$2000,4,FALSE),"0")</f>
        <v>9</v>
      </c>
      <c r="DE18" s="47" t="s">
        <v>1730</v>
      </c>
      <c r="DF18" s="37">
        <f>IFERROR(VLOOKUP(DE18,'Module Items'!$A$1:$B$2587,2,FALSE),"")</f>
        <v>107830</v>
      </c>
      <c r="DG18" s="44">
        <f>IFERROR(VLOOKUP(DE18,'Monthly Line Picks'!$A$1:$D$2000,4,FALSE),"0")</f>
        <v>22</v>
      </c>
      <c r="DH18" s="47" t="s">
        <v>1731</v>
      </c>
      <c r="DI18" s="37">
        <f>IFERROR(VLOOKUP(DH18,'Module Items'!$A$1:$B$2587,2,FALSE),"")</f>
        <v>141070</v>
      </c>
      <c r="DJ18" s="44">
        <f>IFERROR(VLOOKUP(DH18,'Monthly Line Picks'!$A$1:$D$2000,4,FALSE),"0")</f>
        <v>2</v>
      </c>
      <c r="DK18" s="47" t="s">
        <v>1732</v>
      </c>
      <c r="DL18" s="37">
        <f>IFERROR(VLOOKUP(DK18,'Module Items'!$A$1:$B$2587,2,FALSE),"")</f>
        <v>76893</v>
      </c>
      <c r="DM18" s="44">
        <f>IFERROR(VLOOKUP(DK18,'Monthly Line Picks'!$A$1:$D$2000,4,FALSE),"0")</f>
        <v>12</v>
      </c>
      <c r="DN18" s="43" t="s">
        <v>1733</v>
      </c>
      <c r="DO18" s="37">
        <f>IFERROR(VLOOKUP(DN18,'Module Items'!$A$1:$B$2587,2,FALSE),"")</f>
        <v>140966</v>
      </c>
      <c r="DP18" s="44">
        <f>IFERROR(VLOOKUP(DN18,'Monthly Line Picks'!$A$1:$D$2000,4,FALSE),"0")</f>
        <v>3</v>
      </c>
      <c r="DQ18" s="48" t="s">
        <v>1734</v>
      </c>
      <c r="DR18" s="37">
        <f>IFERROR(VLOOKUP(DQ18,'Module Items'!$A$1:$B$2587,2,FALSE),"")</f>
        <v>140965</v>
      </c>
      <c r="DS18" s="44" t="str">
        <f>IFERROR(VLOOKUP(DQ18,'Monthly Line Picks'!$A$1:$D$2000,4,FALSE),"0")</f>
        <v>0</v>
      </c>
      <c r="DT18" s="202"/>
      <c r="DU18" s="196"/>
      <c r="DV18" s="195"/>
      <c r="DW18" s="241"/>
    </row>
    <row r="19" spans="2:127" ht="15.95" thickBot="1">
      <c r="B19" s="205"/>
      <c r="C19" s="206"/>
      <c r="D19" s="206"/>
      <c r="E19" s="210"/>
      <c r="F19" s="202"/>
      <c r="G19" s="196"/>
      <c r="H19" s="195"/>
      <c r="I19" s="196"/>
      <c r="J19" s="56" t="str">
        <f>IFERROR(VLOOKUP(J21,'Monthly Line Picks'!$A$1:$D$1458,4,FALSE),"0")</f>
        <v>0</v>
      </c>
      <c r="K19" s="47" t="str">
        <f>IFERROR(VLOOKUP(K21,'Monthly Line Picks'!$A$1:$D$1458,4,FALSE),"0")</f>
        <v>0</v>
      </c>
      <c r="L19" s="47" t="str">
        <f>IFERROR(VLOOKUP(L21,'Monthly Line Picks'!$A$1:$D$1458,4,FALSE),"0")</f>
        <v>0</v>
      </c>
      <c r="M19" s="47">
        <f>IFERROR(VLOOKUP(M21,'Monthly Line Picks'!$A$1:$D$1458,4,FALSE),"0")</f>
        <v>25</v>
      </c>
      <c r="N19" s="47">
        <f>IFERROR(VLOOKUP(N21,'Monthly Line Picks'!$A$1:$D$1458,4,FALSE),"0")</f>
        <v>10</v>
      </c>
      <c r="O19" s="57">
        <f>IFERROR(VLOOKUP(O21,'Monthly Line Picks'!$A$1:$D$1458,4,FALSE),"0")</f>
        <v>13</v>
      </c>
      <c r="P19" s="56">
        <f>IFERROR(VLOOKUP(P21,'Monthly Line Picks'!$A$1:$D$1458,4,FALSE),"0")</f>
        <v>17</v>
      </c>
      <c r="Q19" s="47" t="str">
        <f>IFERROR(VLOOKUP(Q21,'Monthly Line Picks'!$A$1:$D$1458,4,FALSE),"0")</f>
        <v>0</v>
      </c>
      <c r="R19" s="47" t="str">
        <f>IFERROR(VLOOKUP(R21,'Monthly Line Picks'!$A$1:$D$1458,4,FALSE),"0")</f>
        <v>0</v>
      </c>
      <c r="S19" s="47">
        <f>IFERROR(VLOOKUP(S21,'Monthly Line Picks'!$A$1:$D$1458,4,FALSE),"0")</f>
        <v>21</v>
      </c>
      <c r="T19" s="47">
        <f>IFERROR(VLOOKUP(T21,'Monthly Line Picks'!$A$1:$D$1458,4,FALSE),"0")</f>
        <v>8</v>
      </c>
      <c r="U19" s="57">
        <f>IFERROR(VLOOKUP(U21,'Monthly Line Picks'!$A$1:$D$1458,4,FALSE),"0")</f>
        <v>39</v>
      </c>
      <c r="V19" s="56" t="str">
        <f>IFERROR(VLOOKUP(V21,'Monthly Line Picks'!$A$1:$D$1458,4,FALSE),"0")</f>
        <v>0</v>
      </c>
      <c r="W19" s="47" t="str">
        <f>IFERROR(VLOOKUP(W21,'Monthly Line Picks'!$A$1:$D$1458,4,FALSE),"0")</f>
        <v>0</v>
      </c>
      <c r="X19" s="47">
        <f>IFERROR(VLOOKUP(X21,'Monthly Line Picks'!$A$1:$D$1458,4,FALSE),"0")</f>
        <v>8</v>
      </c>
      <c r="Y19" s="47">
        <f>IFERROR(VLOOKUP(Y21,'Monthly Line Picks'!$A$1:$D$1458,4,FALSE),"0")</f>
        <v>4</v>
      </c>
      <c r="Z19" s="47" t="str">
        <f>IFERROR(VLOOKUP(Z21,'Monthly Line Picks'!$A$1:$D$1458,4,FALSE),"0")</f>
        <v>0</v>
      </c>
      <c r="AA19" s="57">
        <f>IFERROR(VLOOKUP(AA21,'Monthly Line Picks'!$A$1:$D$1458,4,FALSE),"0")</f>
        <v>21</v>
      </c>
      <c r="AB19" s="15" t="str">
        <f>IFERROR(VLOOKUP(AB21,'Monthly Line Picks'!$A$1:$D$1458,4,FALSE),"0")</f>
        <v>0</v>
      </c>
      <c r="AC19" s="47">
        <f>IFERROR(VLOOKUP(AC21,'Monthly Line Picks'!$A$1:$D$1458,4,FALSE),"0")</f>
        <v>4</v>
      </c>
      <c r="AD19" s="47" t="str">
        <f>IFERROR(VLOOKUP(AD21,'Monthly Line Picks'!$A$1:$D$1458,4,FALSE),"0")</f>
        <v>0</v>
      </c>
      <c r="AE19" s="47" t="str">
        <f>IFERROR(VLOOKUP(AE21,'Monthly Line Picks'!$A$1:$D$1458,4,FALSE),"0")</f>
        <v>0</v>
      </c>
      <c r="AF19" s="47" t="str">
        <f>IFERROR(VLOOKUP(AF21,'Monthly Line Picks'!$A$1:$D$1458,4,FALSE),"0")</f>
        <v>0</v>
      </c>
      <c r="AG19" s="57" t="str">
        <f>IFERROR(VLOOKUP(AG21,'Monthly Line Picks'!$A$1:$D$1458,4,FALSE),"0")</f>
        <v>0</v>
      </c>
      <c r="AH19" s="56" t="str">
        <f>IFERROR(VLOOKUP(AH21,'Monthly Line Picks'!$A$1:$D$1458,4,FALSE),"0")</f>
        <v>0</v>
      </c>
      <c r="AI19" s="47" t="str">
        <f>IFERROR(VLOOKUP(AI21,'Monthly Line Picks'!$A$1:$D$1458,4,FALSE),"0")</f>
        <v>0</v>
      </c>
      <c r="AJ19" s="47">
        <f>IFERROR(VLOOKUP(AJ21,'Monthly Line Picks'!$A$1:$D$1458,4,FALSE),"0")</f>
        <v>9</v>
      </c>
      <c r="AK19" s="47" t="str">
        <f>IFERROR(VLOOKUP(AK21,'Monthly Line Picks'!$A$1:$D$1458,4,FALSE),"0")</f>
        <v>0</v>
      </c>
      <c r="AL19" s="47">
        <f>IFERROR(VLOOKUP(AL21,'Monthly Line Picks'!$A$1:$D$1458,4,FALSE),"0")</f>
        <v>6</v>
      </c>
      <c r="AM19" s="57" t="str">
        <f>IFERROR(VLOOKUP(AM21,'Monthly Line Picks'!$A$1:$D$1458,4,FALSE),"0")</f>
        <v>0</v>
      </c>
      <c r="AN19" s="56">
        <f>IFERROR(VLOOKUP(AN21,'Monthly Line Picks'!$A$1:$D$1458,4,FALSE),"0")</f>
        <v>7</v>
      </c>
      <c r="AO19" s="47">
        <f>IFERROR(VLOOKUP(AO21,'Monthly Line Picks'!$A$1:$D$1458,4,FALSE),"0")</f>
        <v>27</v>
      </c>
      <c r="AP19" s="47">
        <f>IFERROR(VLOOKUP(AP21,'Monthly Line Picks'!$A$1:$D$1458,4,FALSE),"0")</f>
        <v>16</v>
      </c>
      <c r="AQ19" s="47">
        <f>IFERROR(VLOOKUP(AQ21,'Monthly Line Picks'!$A$1:$D$1458,4,FALSE),"0")</f>
        <v>9</v>
      </c>
      <c r="AR19" s="47">
        <f>IFERROR(VLOOKUP(AR21,'Monthly Line Picks'!$A$1:$D$1458,4,FALSE),"0")</f>
        <v>3</v>
      </c>
      <c r="AS19" s="57">
        <f>IFERROR(VLOOKUP(AS21,'Monthly Line Picks'!$A$1:$D$1458,4,FALSE),"0")</f>
        <v>14</v>
      </c>
      <c r="AT19" s="56" t="str">
        <f>IFERROR(VLOOKUP(AT21,'Monthly Line Picks'!$A$1:$D$1458,4,FALSE),"0")</f>
        <v>0</v>
      </c>
      <c r="AU19" s="47" t="str">
        <f>IFERROR(VLOOKUP(AU21,'Monthly Line Picks'!$A$1:$D$1458,4,FALSE),"0")</f>
        <v>0</v>
      </c>
      <c r="AV19" s="47">
        <f>IFERROR(VLOOKUP(AV21,'Monthly Line Picks'!$A$1:$D$1458,4,FALSE),"0")</f>
        <v>20</v>
      </c>
      <c r="AW19" s="47">
        <f>IFERROR(VLOOKUP(AW21,'Monthly Line Picks'!$A$1:$D$1458,4,FALSE),"0")</f>
        <v>7</v>
      </c>
      <c r="AX19" s="47">
        <f>IFERROR(VLOOKUP(AX21,'Monthly Line Picks'!$A$1:$D$1458,4,FALSE),"0")</f>
        <v>4</v>
      </c>
      <c r="AY19" s="57">
        <f>IFERROR(VLOOKUP(AY21,'Monthly Line Picks'!$A$1:$D$1458,4,FALSE),"0")</f>
        <v>22</v>
      </c>
      <c r="AZ19" s="15" t="s">
        <v>1735</v>
      </c>
      <c r="BA19" s="37">
        <f>IFERROR(VLOOKUP(AZ19,'Module Items'!$A$1:$B$2587,2,FALSE),"")</f>
        <v>5737</v>
      </c>
      <c r="BB19" s="44">
        <f>IFERROR(VLOOKUP(AZ19,'Monthly Line Picks'!$A$1:$D$2000,4,FALSE),"0")</f>
        <v>2</v>
      </c>
      <c r="BC19" s="47" t="s">
        <v>1736</v>
      </c>
      <c r="BD19" s="37">
        <f>IFERROR(VLOOKUP(BC19,'Module Items'!$A$1:$B$2587,2,FALSE),"")</f>
        <v>141099</v>
      </c>
      <c r="BE19" s="44" t="str">
        <f>IFERROR(VLOOKUP(BC19,'Monthly Line Picks'!$A$1:$D$2000,4,FALSE),"0")</f>
        <v>0</v>
      </c>
      <c r="BF19" s="47" t="s">
        <v>1737</v>
      </c>
      <c r="BG19" s="37">
        <f>IFERROR(VLOOKUP(BF19,'Module Items'!$A$1:$B$2587,2,FALSE),"")</f>
        <v>2217</v>
      </c>
      <c r="BH19" s="44">
        <f>IFERROR(VLOOKUP(BF19,'Monthly Line Picks'!$A$1:$D$2000,4,FALSE),"0")</f>
        <v>1</v>
      </c>
      <c r="BI19" s="47" t="s">
        <v>1738</v>
      </c>
      <c r="BJ19" s="37">
        <f>IFERROR(VLOOKUP(BI19,'Module Items'!$A$1:$B$2587,2,FALSE),"")</f>
        <v>110437</v>
      </c>
      <c r="BK19" s="44">
        <f>IFERROR(VLOOKUP(BI19,'Monthly Line Picks'!$A$1:$D$2000,4,FALSE),"0")</f>
        <v>4</v>
      </c>
      <c r="BL19" s="47" t="s">
        <v>1739</v>
      </c>
      <c r="BM19" s="37">
        <f>IFERROR(VLOOKUP(BL19,'Module Items'!$A$1:$B$2587,2,FALSE),"")</f>
        <v>140958</v>
      </c>
      <c r="BN19" s="44" t="str">
        <f>IFERROR(VLOOKUP(BL19,'Monthly Line Picks'!$A$1:$D$2000,4,FALSE),"0")</f>
        <v>0</v>
      </c>
      <c r="BO19" s="47" t="s">
        <v>1740</v>
      </c>
      <c r="BP19" s="37">
        <f>IFERROR(VLOOKUP(BO19,'Module Items'!$A$1:$B$2587,2,FALSE),"")</f>
        <v>6965</v>
      </c>
      <c r="BQ19" s="44" t="str">
        <f>IFERROR(VLOOKUP(BO19,'Monthly Line Picks'!$A$1:$D$2000,4,FALSE),"0")</f>
        <v>0</v>
      </c>
      <c r="BR19" s="234"/>
      <c r="BS19" s="234"/>
      <c r="BT19" s="235"/>
      <c r="BU19" s="47">
        <f>IFERROR(VLOOKUP(BU21,'Monthly Line Picks'!$A$1:$D$1458,4,FALSE),"0")</f>
        <v>5</v>
      </c>
      <c r="BV19" s="47" t="str">
        <f>IFERROR(VLOOKUP(BV21,'Monthly Line Picks'!$A$1:$D$1458,4,FALSE),"0")</f>
        <v>0</v>
      </c>
      <c r="BW19" s="57">
        <f>IFERROR(VLOOKUP(BW21,'Monthly Line Picks'!$A$1:$D$1458,4,FALSE),"0")</f>
        <v>35</v>
      </c>
      <c r="BX19" s="56" t="str">
        <f>IFERROR(VLOOKUP(BX21,'Monthly Line Picks'!$A$1:$D$1458,4,FALSE),"0")</f>
        <v>0</v>
      </c>
      <c r="BY19" s="47" t="str">
        <f>IFERROR(VLOOKUP(BY21,'Monthly Line Picks'!$A$1:$D$1458,4,FALSE),"0")</f>
        <v>0</v>
      </c>
      <c r="BZ19" s="47" t="str">
        <f>IFERROR(VLOOKUP(BZ21,'Monthly Line Picks'!$A$1:$D$1458,4,FALSE),"0")</f>
        <v>0</v>
      </c>
      <c r="CA19" s="47" t="str">
        <f>IFERROR(VLOOKUP(CA21,'Monthly Line Picks'!$A$1:$D$1458,4,FALSE),"0")</f>
        <v>0</v>
      </c>
      <c r="CB19" s="47" t="str">
        <f>IFERROR(VLOOKUP(CB21,'Monthly Line Picks'!$A$1:$D$1458,4,FALSE),"0")</f>
        <v>0</v>
      </c>
      <c r="CC19" s="57" t="str">
        <f>IFERROR(VLOOKUP(CC21,'Monthly Line Picks'!$A$1:$D$1458,4,FALSE),"0")</f>
        <v>0</v>
      </c>
      <c r="CD19" s="56" t="str">
        <f>IFERROR(VLOOKUP(CD21,'Monthly Line Picks'!$A$1:$D$1458,4,FALSE),"0")</f>
        <v>0</v>
      </c>
      <c r="CE19" s="47" t="str">
        <f>IFERROR(VLOOKUP(CE21,'Monthly Line Picks'!$A$1:$D$1458,4,FALSE),"0")</f>
        <v>0</v>
      </c>
      <c r="CF19" s="47" t="str">
        <f>IFERROR(VLOOKUP(CF21,'Monthly Line Picks'!$A$1:$D$1458,4,FALSE),"0")</f>
        <v>0</v>
      </c>
      <c r="CG19" s="47" t="str">
        <f>IFERROR(VLOOKUP(CG21,'Monthly Line Picks'!$A$1:$D$1458,4,FALSE),"0")</f>
        <v>0</v>
      </c>
      <c r="CH19" s="47" t="str">
        <f>IFERROR(VLOOKUP(CH21,'Monthly Line Picks'!$A$1:$D$1458,4,FALSE),"0")</f>
        <v>0</v>
      </c>
      <c r="CI19" s="57" t="str">
        <f>IFERROR(VLOOKUP(CI21,'Monthly Line Picks'!$A$1:$D$1458,4,FALSE),"0")</f>
        <v>0</v>
      </c>
      <c r="CJ19" s="56" t="str">
        <f>IFERROR(VLOOKUP(CJ21,'Monthly Line Picks'!$A$1:$D$1458,4,FALSE),"0")</f>
        <v>0</v>
      </c>
      <c r="CK19" s="47" t="str">
        <f>IFERROR(VLOOKUP(CK21,'Monthly Line Picks'!$A$1:$D$1458,4,FALSE),"0")</f>
        <v>0</v>
      </c>
      <c r="CL19" s="47" t="str">
        <f>IFERROR(VLOOKUP(CL21,'Monthly Line Picks'!$A$1:$D$1458,4,FALSE),"0")</f>
        <v>0</v>
      </c>
      <c r="CM19" s="47" t="str">
        <f>IFERROR(VLOOKUP(CM21,'Monthly Line Picks'!$A$1:$D$1458,4,FALSE),"0")</f>
        <v>0</v>
      </c>
      <c r="CN19" s="47" t="str">
        <f>IFERROR(VLOOKUP(CN21,'Monthly Line Picks'!$A$1:$D$1458,4,FALSE),"0")</f>
        <v>0</v>
      </c>
      <c r="CO19" s="63" t="str">
        <f>IFERROR(VLOOKUP(CO21,'Monthly Line Picks'!$A$1:$D$1458,4,FALSE),"0")</f>
        <v>0</v>
      </c>
      <c r="CP19" s="56" t="str">
        <f>IFERROR(VLOOKUP(CP21,'Monthly Line Picks'!$A$1:$D$1458,4,FALSE),"0")</f>
        <v>0</v>
      </c>
      <c r="CQ19" s="47" t="str">
        <f>IFERROR(VLOOKUP(CQ21,'Monthly Line Picks'!$A$1:$D$1458,4,FALSE),"0")</f>
        <v>0</v>
      </c>
      <c r="CR19" s="47" t="str">
        <f>IFERROR(VLOOKUP(CR21,'Monthly Line Picks'!$A$1:$D$1458,4,FALSE),"0")</f>
        <v>0</v>
      </c>
      <c r="CS19" s="47" t="str">
        <f>IFERROR(VLOOKUP(CS21,'Monthly Line Picks'!$A$1:$D$1458,4,FALSE),"0")</f>
        <v>0</v>
      </c>
      <c r="CT19" s="47" t="str">
        <f>IFERROR(VLOOKUP(CT21,'Monthly Line Picks'!$A$1:$D$1458,4,FALSE),"0")</f>
        <v>0</v>
      </c>
      <c r="CU19" s="57" t="str">
        <f>IFERROR(VLOOKUP(CU21,'Monthly Line Picks'!$A$1:$D$1458,4,FALSE),"0")</f>
        <v>0</v>
      </c>
      <c r="CV19" s="15" t="str">
        <f>IFERROR(VLOOKUP(CV21,'Monthly Line Picks'!$A$1:$D$1458,4,FALSE),"0")</f>
        <v>0</v>
      </c>
      <c r="CW19" s="47">
        <f>IFERROR(VLOOKUP(CW21,'Monthly Line Picks'!$A$1:$D$1458,4,FALSE),"0")</f>
        <v>17</v>
      </c>
      <c r="CX19" s="47">
        <f>IFERROR(VLOOKUP(CX21,'Monthly Line Picks'!$A$1:$D$1458,4,FALSE),"0")</f>
        <v>25</v>
      </c>
      <c r="CY19" s="47">
        <f>IFERROR(VLOOKUP(CY21,'Monthly Line Picks'!$A$1:$D$1458,4,FALSE),"0")</f>
        <v>5</v>
      </c>
      <c r="CZ19" s="47" t="str">
        <f>IFERROR(VLOOKUP(CZ21,'Monthly Line Picks'!$A$1:$D$1458,4,FALSE),"0")</f>
        <v>0</v>
      </c>
      <c r="DA19" s="57">
        <f>IFERROR(VLOOKUP(DA21,'Monthly Line Picks'!$A$1:$D$1458,4,FALSE),"0")</f>
        <v>5</v>
      </c>
      <c r="DB19" s="54" t="s">
        <v>1741</v>
      </c>
      <c r="DC19" s="37">
        <f>IFERROR(VLOOKUP(DB19,'Module Items'!$A$1:$B$2587,2,FALSE),"")</f>
        <v>135899</v>
      </c>
      <c r="DD19" s="44">
        <f>IFERROR(VLOOKUP(DB19,'Monthly Line Picks'!$A$1:$D$2000,4,FALSE),"0")</f>
        <v>1</v>
      </c>
      <c r="DE19" s="47" t="s">
        <v>1742</v>
      </c>
      <c r="DF19" s="37">
        <f>IFERROR(VLOOKUP(DE19,'Module Items'!$A$1:$B$2587,2,FALSE),"")</f>
        <v>127809</v>
      </c>
      <c r="DG19" s="44" t="str">
        <f>IFERROR(VLOOKUP(DE19,'Monthly Line Picks'!$A$1:$D$2000,4,FALSE),"0")</f>
        <v>0</v>
      </c>
      <c r="DH19" s="47" t="s">
        <v>1743</v>
      </c>
      <c r="DI19" s="37">
        <f>IFERROR(VLOOKUP(DH19,'Module Items'!$A$1:$B$2587,2,FALSE),"")</f>
        <v>141044</v>
      </c>
      <c r="DJ19" s="44">
        <f>IFERROR(VLOOKUP(DH19,'Monthly Line Picks'!$A$1:$D$2000,4,FALSE),"0")</f>
        <v>5</v>
      </c>
      <c r="DK19" s="47" t="s">
        <v>1744</v>
      </c>
      <c r="DL19" s="37">
        <f>IFERROR(VLOOKUP(DK19,'Module Items'!$A$1:$B$2587,2,FALSE),"")</f>
        <v>141031</v>
      </c>
      <c r="DM19" s="44">
        <f>IFERROR(VLOOKUP(DK19,'Monthly Line Picks'!$A$1:$D$2000,4,FALSE),"0")</f>
        <v>9</v>
      </c>
      <c r="DN19" s="43" t="s">
        <v>1745</v>
      </c>
      <c r="DO19" s="37">
        <f>IFERROR(VLOOKUP(DN19,'Module Items'!$A$1:$B$2587,2,FALSE),"")</f>
        <v>141063</v>
      </c>
      <c r="DP19" s="44">
        <f>IFERROR(VLOOKUP(DN19,'Monthly Line Picks'!$A$1:$D$2000,4,FALSE),"0")</f>
        <v>2</v>
      </c>
      <c r="DQ19" s="48" t="s">
        <v>1746</v>
      </c>
      <c r="DR19" s="37">
        <f>IFERROR(VLOOKUP(DQ19,'Module Items'!$A$1:$B$2587,2,FALSE),"")</f>
        <v>140980</v>
      </c>
      <c r="DS19" s="44">
        <f>IFERROR(VLOOKUP(DQ19,'Monthly Line Picks'!$A$1:$D$2000,4,FALSE),"0")</f>
        <v>1</v>
      </c>
      <c r="DT19" s="202"/>
      <c r="DU19" s="196"/>
      <c r="DV19" s="195"/>
      <c r="DW19" s="241"/>
    </row>
    <row r="20" spans="2:127" ht="15.95" thickBot="1">
      <c r="B20" s="205"/>
      <c r="C20" s="206"/>
      <c r="D20" s="206"/>
      <c r="E20" s="210"/>
      <c r="F20" s="202"/>
      <c r="G20" s="196"/>
      <c r="H20" s="195"/>
      <c r="I20" s="196"/>
      <c r="J20" s="37" t="str">
        <f>IFERROR(VLOOKUP(J21,'Module Items'!$A$1:$B$2587,2,FALSE),"")</f>
        <v>OPEN</v>
      </c>
      <c r="K20" s="13">
        <f>IFERROR(VLOOKUP(K21,'Module Items'!$A$1:$B$2587,2,FALSE),"")</f>
        <v>1962</v>
      </c>
      <c r="L20" s="13" t="str">
        <f>IFERROR(VLOOKUP(L21,'Module Items'!$A$1:$B$2587,2,FALSE),"")</f>
        <v>OPEN</v>
      </c>
      <c r="M20" s="13">
        <f>IFERROR(VLOOKUP(M21,'Module Items'!$A$1:$B$2587,2,FALSE),"")</f>
        <v>66739</v>
      </c>
      <c r="N20" s="13">
        <f>IFERROR(VLOOKUP(N21,'Module Items'!$A$1:$B$2587,2,FALSE),"")</f>
        <v>1725</v>
      </c>
      <c r="O20" s="108">
        <f>IFERROR(VLOOKUP(O21,'Module Items'!$A$1:$B$2587,2,FALSE),"")</f>
        <v>13541</v>
      </c>
      <c r="P20" s="37">
        <f>IFERROR(VLOOKUP(P21,'Module Items'!$A$1:$B$2587,2,FALSE),"")</f>
        <v>321</v>
      </c>
      <c r="Q20" s="13" t="str">
        <f>IFERROR(VLOOKUP(Q21,'Module Items'!$A$1:$B$2587,2,FALSE),"")</f>
        <v>OPEN</v>
      </c>
      <c r="R20" s="13" t="str">
        <f>IFERROR(VLOOKUP(R21,'Module Items'!$A$1:$B$2587,2,FALSE),"")</f>
        <v>OPEN</v>
      </c>
      <c r="S20" s="13">
        <f>IFERROR(VLOOKUP(S21,'Module Items'!$A$1:$B$2587,2,FALSE),"")</f>
        <v>7231</v>
      </c>
      <c r="T20" s="13">
        <f>IFERROR(VLOOKUP(T21,'Module Items'!$A$1:$B$2587,2,FALSE),"")</f>
        <v>35140</v>
      </c>
      <c r="U20" s="108">
        <f>IFERROR(VLOOKUP(U21,'Module Items'!$A$1:$B$2587,2,FALSE),"")</f>
        <v>113302</v>
      </c>
      <c r="V20" s="37" t="str">
        <f>IFERROR(VLOOKUP(V21,'Module Items'!$A$1:$B$2587,2,FALSE),"")</f>
        <v>OPEN</v>
      </c>
      <c r="W20" s="13" t="str">
        <f>IFERROR(VLOOKUP(W21,'Module Items'!$A$1:$B$2587,2,FALSE),"")</f>
        <v>OPEN</v>
      </c>
      <c r="X20" s="13">
        <f>IFERROR(VLOOKUP(X21,'Module Items'!$A$1:$B$2587,2,FALSE),"")</f>
        <v>159028</v>
      </c>
      <c r="Y20" s="13">
        <f>IFERROR(VLOOKUP(Y21,'Module Items'!$A$1:$B$2587,2,FALSE),"")</f>
        <v>115659</v>
      </c>
      <c r="Z20" s="13" t="str">
        <f>IFERROR(VLOOKUP(Z21,'Module Items'!$A$1:$B$2587,2,FALSE),"")</f>
        <v>OPEN</v>
      </c>
      <c r="AA20" s="108">
        <f>IFERROR(VLOOKUP(AA21,'Module Items'!$A$1:$B$2587,2,FALSE),"")</f>
        <v>100120</v>
      </c>
      <c r="AB20" s="10">
        <f>IFERROR(VLOOKUP(AB21,'Module Items'!$A$1:$B$2587,2,FALSE),"")</f>
        <v>1440</v>
      </c>
      <c r="AC20" s="13">
        <f>IFERROR(VLOOKUP(AC21,'Module Items'!$A$1:$B$2587,2,FALSE),"")</f>
        <v>59114</v>
      </c>
      <c r="AD20" s="13">
        <f>IFERROR(VLOOKUP(AD21,'Module Items'!$A$1:$B$2587,2,FALSE),"")</f>
        <v>118496</v>
      </c>
      <c r="AE20" s="13" t="str">
        <f>IFERROR(VLOOKUP(AE21,'Module Items'!$A$1:$B$2587,2,FALSE),"")</f>
        <v>OPEN</v>
      </c>
      <c r="AF20" s="13" t="str">
        <f>IFERROR(VLOOKUP(AF21,'Module Items'!$A$1:$B$2587,2,FALSE),"")</f>
        <v>OPEN</v>
      </c>
      <c r="AG20" s="108" t="str">
        <f>IFERROR(VLOOKUP(AG21,'Module Items'!$A$1:$B$2587,2,FALSE),"")</f>
        <v>OPEN</v>
      </c>
      <c r="AH20" s="37">
        <f>IFERROR(VLOOKUP(AH21,'Module Items'!$A$1:$B$2587,2,FALSE),"")</f>
        <v>70439</v>
      </c>
      <c r="AI20" s="13">
        <f>IFERROR(VLOOKUP(AI21,'Module Items'!$A$1:$B$2587,2,FALSE),"")</f>
        <v>134739</v>
      </c>
      <c r="AJ20" s="13">
        <f>IFERROR(VLOOKUP(AJ21,'Module Items'!$A$1:$B$2587,2,FALSE),"")</f>
        <v>109264</v>
      </c>
      <c r="AK20" s="13">
        <f>IFERROR(VLOOKUP(AK21,'Module Items'!$A$1:$B$2587,2,FALSE),"")</f>
        <v>138525</v>
      </c>
      <c r="AL20" s="13">
        <f>IFERROR(VLOOKUP(AL21,'Module Items'!$A$1:$B$2587,2,FALSE),"")</f>
        <v>137402</v>
      </c>
      <c r="AM20" s="108">
        <f>IFERROR(VLOOKUP(AM21,'Module Items'!$A$1:$B$2587,2,FALSE),"")</f>
        <v>173404</v>
      </c>
      <c r="AN20" s="37">
        <f>IFERROR(VLOOKUP(AN21,'Module Items'!$A$1:$B$2587,2,FALSE),"")</f>
        <v>94916</v>
      </c>
      <c r="AO20" s="13">
        <f>IFERROR(VLOOKUP(AO21,'Module Items'!$A$1:$B$2587,2,FALSE),"")</f>
        <v>10227</v>
      </c>
      <c r="AP20" s="13">
        <f>IFERROR(VLOOKUP(AP21,'Module Items'!$A$1:$B$2587,2,FALSE),"")</f>
        <v>124756</v>
      </c>
      <c r="AQ20" s="13">
        <f>IFERROR(VLOOKUP(AQ21,'Module Items'!$A$1:$B$2587,2,FALSE),"")</f>
        <v>159181</v>
      </c>
      <c r="AR20" s="13">
        <f>IFERROR(VLOOKUP(AR21,'Module Items'!$A$1:$B$2587,2,FALSE),"")</f>
        <v>11147</v>
      </c>
      <c r="AS20" s="108">
        <f>IFERROR(VLOOKUP(AS21,'Module Items'!$A$1:$B$2587,2,FALSE),"")</f>
        <v>108318</v>
      </c>
      <c r="AT20" s="37" t="str">
        <f>IFERROR(VLOOKUP(AT21,'Module Items'!$A$1:$B$2587,2,FALSE),"")</f>
        <v/>
      </c>
      <c r="AU20" s="13">
        <f>IFERROR(VLOOKUP(AU21,'Module Items'!$A$1:$B$2587,2,FALSE),"")</f>
        <v>9280</v>
      </c>
      <c r="AV20" s="13">
        <f>IFERROR(VLOOKUP(AV21,'Module Items'!$A$1:$B$2587,2,FALSE),"")</f>
        <v>114046</v>
      </c>
      <c r="AW20" s="13">
        <f>IFERROR(VLOOKUP(AW21,'Module Items'!$A$1:$B$2587,2,FALSE),"")</f>
        <v>141230</v>
      </c>
      <c r="AX20" s="13">
        <f>IFERROR(VLOOKUP(AX21,'Module Items'!$A$1:$B$2587,2,FALSE),"")</f>
        <v>157448</v>
      </c>
      <c r="AY20" s="108">
        <f>IFERROR(VLOOKUP(AY21,'Module Items'!$A$1:$B$2587,2,FALSE),"")</f>
        <v>73227</v>
      </c>
      <c r="AZ20" s="15" t="s">
        <v>1747</v>
      </c>
      <c r="BA20" s="37">
        <f>IFERROR(VLOOKUP(AZ20,'Module Items'!$A$1:$B$2587,2,FALSE),"")</f>
        <v>141047</v>
      </c>
      <c r="BB20" s="44">
        <f>IFERROR(VLOOKUP(AZ20,'Monthly Line Picks'!$A$1:$D$2000,4,FALSE),"0")</f>
        <v>4</v>
      </c>
      <c r="BC20" s="47" t="s">
        <v>1748</v>
      </c>
      <c r="BD20" s="37">
        <f>IFERROR(VLOOKUP(BC20,'Module Items'!$A$1:$B$2587,2,FALSE),"")</f>
        <v>83900</v>
      </c>
      <c r="BE20" s="44">
        <f>IFERROR(VLOOKUP(BC20,'Monthly Line Picks'!$A$1:$D$2000,4,FALSE),"0")</f>
        <v>9</v>
      </c>
      <c r="BF20" s="47" t="s">
        <v>1749</v>
      </c>
      <c r="BG20" s="37">
        <f>IFERROR(VLOOKUP(BF20,'Module Items'!$A$1:$B$2587,2,FALSE),"")</f>
        <v>5964</v>
      </c>
      <c r="BH20" s="44">
        <f>IFERROR(VLOOKUP(BF20,'Monthly Line Picks'!$A$1:$D$2000,4,FALSE),"0")</f>
        <v>1</v>
      </c>
      <c r="BI20" s="47" t="s">
        <v>1750</v>
      </c>
      <c r="BJ20" s="37">
        <f>IFERROR(VLOOKUP(BI20,'Module Items'!$A$1:$B$2587,2,FALSE),"")</f>
        <v>9937</v>
      </c>
      <c r="BK20" s="44">
        <f>IFERROR(VLOOKUP(BI20,'Monthly Line Picks'!$A$1:$D$2000,4,FALSE),"0")</f>
        <v>7</v>
      </c>
      <c r="BL20" s="47" t="s">
        <v>1751</v>
      </c>
      <c r="BM20" s="37">
        <f>IFERROR(VLOOKUP(BL20,'Module Items'!$A$1:$B$2587,2,FALSE),"")</f>
        <v>158011</v>
      </c>
      <c r="BN20" s="44">
        <f>IFERROR(VLOOKUP(BL20,'Monthly Line Picks'!$A$1:$D$2000,4,FALSE),"0")</f>
        <v>9</v>
      </c>
      <c r="BO20" s="47" t="s">
        <v>1752</v>
      </c>
      <c r="BP20" s="37">
        <f>IFERROR(VLOOKUP(BO20,'Module Items'!$A$1:$B$2587,2,FALSE),"")</f>
        <v>141083</v>
      </c>
      <c r="BQ20" s="44">
        <f>IFERROR(VLOOKUP(BO20,'Monthly Line Picks'!$A$1:$D$2000,4,FALSE),"0")</f>
        <v>3</v>
      </c>
      <c r="BR20" s="234"/>
      <c r="BS20" s="234"/>
      <c r="BT20" s="235"/>
      <c r="BU20" s="13">
        <f>IFERROR(VLOOKUP(BU21,'Module Items'!$A$1:$B$2587,2,FALSE),"")</f>
        <v>114368</v>
      </c>
      <c r="BV20" s="13">
        <f>IFERROR(VLOOKUP(BV21,'Module Items'!$A$1:$B$2587,2,FALSE),"")</f>
        <v>112805</v>
      </c>
      <c r="BW20" s="108">
        <f>IFERROR(VLOOKUP(BW21,'Module Items'!$A$1:$B$2587,2,FALSE),"")</f>
        <v>114978</v>
      </c>
      <c r="BX20" s="37" t="str">
        <f>IFERROR(VLOOKUP(BX21,'Module Items'!$A$1:$B$2587,2,FALSE),"")</f>
        <v/>
      </c>
      <c r="BY20" s="13" t="str">
        <f>IFERROR(VLOOKUP(BY21,'Module Items'!$A$1:$B$2587,2,FALSE),"")</f>
        <v/>
      </c>
      <c r="BZ20" s="13" t="str">
        <f>IFERROR(VLOOKUP(BZ21,'Module Items'!$A$1:$B$2587,2,FALSE),"")</f>
        <v/>
      </c>
      <c r="CA20" s="13" t="str">
        <f>IFERROR(VLOOKUP(CA21,'Module Items'!$A$1:$B$2587,2,FALSE),"")</f>
        <v/>
      </c>
      <c r="CB20" s="13" t="str">
        <f>IFERROR(VLOOKUP(CB21,'Module Items'!$A$1:$B$2587,2,FALSE),"")</f>
        <v/>
      </c>
      <c r="CC20" s="108" t="str">
        <f>IFERROR(VLOOKUP(CC21,'Module Items'!$A$1:$B$2587,2,FALSE),"")</f>
        <v/>
      </c>
      <c r="CD20" s="37" t="str">
        <f>IFERROR(VLOOKUP(CD21,'Module Items'!$A$1:$B$2587,2,FALSE),"")</f>
        <v/>
      </c>
      <c r="CE20" s="13" t="str">
        <f>IFERROR(VLOOKUP(CE21,'Module Items'!$A$1:$B$2587,2,FALSE),"")</f>
        <v/>
      </c>
      <c r="CF20" s="13" t="str">
        <f>IFERROR(VLOOKUP(CF21,'Module Items'!$A$1:$B$2587,2,FALSE),"")</f>
        <v/>
      </c>
      <c r="CG20" s="13" t="str">
        <f>IFERROR(VLOOKUP(CG21,'Module Items'!$A$1:$B$2587,2,FALSE),"")</f>
        <v/>
      </c>
      <c r="CH20" s="13" t="str">
        <f>IFERROR(VLOOKUP(CH21,'Module Items'!$A$1:$B$2587,2,FALSE),"")</f>
        <v/>
      </c>
      <c r="CI20" s="108" t="str">
        <f>IFERROR(VLOOKUP(CI21,'Module Items'!$A$1:$B$2587,2,FALSE),"")</f>
        <v/>
      </c>
      <c r="CJ20" s="37" t="str">
        <f>IFERROR(VLOOKUP(CJ21,'Module Items'!$A$1:$B$2587,2,FALSE),"")</f>
        <v/>
      </c>
      <c r="CK20" s="13" t="str">
        <f>IFERROR(VLOOKUP(CK21,'Module Items'!$A$1:$B$2587,2,FALSE),"")</f>
        <v/>
      </c>
      <c r="CL20" s="13" t="str">
        <f>IFERROR(VLOOKUP(CL21,'Module Items'!$A$1:$B$2587,2,FALSE),"")</f>
        <v/>
      </c>
      <c r="CM20" s="13" t="str">
        <f>IFERROR(VLOOKUP(CM21,'Module Items'!$A$1:$B$2587,2,FALSE),"")</f>
        <v/>
      </c>
      <c r="CN20" s="13" t="str">
        <f>IFERROR(VLOOKUP(CN21,'Module Items'!$A$1:$B$2587,2,FALSE),"")</f>
        <v/>
      </c>
      <c r="CO20" s="11" t="str">
        <f>IFERROR(VLOOKUP(CO21,'Module Items'!$A$1:$B$2587,2,FALSE),"")</f>
        <v/>
      </c>
      <c r="CP20" s="37" t="str">
        <f>IFERROR(VLOOKUP(CP21,'Module Items'!$A$1:$B$2587,2,FALSE),"")</f>
        <v/>
      </c>
      <c r="CQ20" s="13" t="str">
        <f>IFERROR(VLOOKUP(CQ21,'Module Items'!$A$1:$B$2587,2,FALSE),"")</f>
        <v/>
      </c>
      <c r="CR20" s="13" t="str">
        <f>IFERROR(VLOOKUP(CR21,'Module Items'!$A$1:$B$2587,2,FALSE),"")</f>
        <v/>
      </c>
      <c r="CS20" s="13" t="str">
        <f>IFERROR(VLOOKUP(CS21,'Module Items'!$A$1:$B$2587,2,FALSE),"")</f>
        <v/>
      </c>
      <c r="CT20" s="13" t="str">
        <f>IFERROR(VLOOKUP(CT21,'Module Items'!$A$1:$B$2587,2,FALSE),"")</f>
        <v/>
      </c>
      <c r="CU20" s="108" t="str">
        <f>IFERROR(VLOOKUP(CU21,'Module Items'!$A$1:$B$2587,2,FALSE),"")</f>
        <v/>
      </c>
      <c r="CV20" s="10">
        <f>IFERROR(VLOOKUP(CV21,'Module Items'!$A$1:$B$2587,2,FALSE),"")</f>
        <v>133213</v>
      </c>
      <c r="CW20" s="13">
        <f>IFERROR(VLOOKUP(CW21,'Module Items'!$A$1:$B$2587,2,FALSE),"")</f>
        <v>117</v>
      </c>
      <c r="CX20" s="13">
        <f>IFERROR(VLOOKUP(CX21,'Module Items'!$A$1:$B$2587,2,FALSE),"")</f>
        <v>86221</v>
      </c>
      <c r="CY20" s="13">
        <f>IFERROR(VLOOKUP(CY21,'Module Items'!$A$1:$B$2587,2,FALSE),"")</f>
        <v>173568</v>
      </c>
      <c r="CZ20" s="13" t="str">
        <f>IFERROR(VLOOKUP(CZ21,'Module Items'!$A$1:$B$2587,2,FALSE),"")</f>
        <v/>
      </c>
      <c r="DA20" s="108">
        <f>IFERROR(VLOOKUP(DA21,'Module Items'!$A$1:$B$2587,2,FALSE),"")</f>
        <v>116597</v>
      </c>
      <c r="DB20" s="54" t="s">
        <v>1753</v>
      </c>
      <c r="DC20" s="37">
        <f>IFERROR(VLOOKUP(DB20,'Module Items'!$A$1:$B$2587,2,FALSE),"")</f>
        <v>9484</v>
      </c>
      <c r="DD20" s="44">
        <f>IFERROR(VLOOKUP(DB20,'Monthly Line Picks'!$A$1:$D$2000,4,FALSE),"0")</f>
        <v>1</v>
      </c>
      <c r="DE20" s="47" t="s">
        <v>1754</v>
      </c>
      <c r="DF20" s="37">
        <f>IFERROR(VLOOKUP(DE20,'Module Items'!$A$1:$B$2587,2,FALSE),"")</f>
        <v>141102</v>
      </c>
      <c r="DG20" s="44">
        <f>IFERROR(VLOOKUP(DE20,'Monthly Line Picks'!$A$1:$D$2000,4,FALSE),"0")</f>
        <v>4</v>
      </c>
      <c r="DH20" s="47" t="s">
        <v>1755</v>
      </c>
      <c r="DI20" s="37">
        <f>IFERROR(VLOOKUP(DH20,'Module Items'!$A$1:$B$2587,2,FALSE),"")</f>
        <v>83902</v>
      </c>
      <c r="DJ20" s="44">
        <f>IFERROR(VLOOKUP(DH20,'Monthly Line Picks'!$A$1:$D$2000,4,FALSE),"0")</f>
        <v>27</v>
      </c>
      <c r="DK20" s="47" t="s">
        <v>1756</v>
      </c>
      <c r="DL20" s="37">
        <f>IFERROR(VLOOKUP(DK20,'Module Items'!$A$1:$B$2587,2,FALSE),"")</f>
        <v>8440</v>
      </c>
      <c r="DM20" s="44" t="str">
        <f>IFERROR(VLOOKUP(DK20,'Monthly Line Picks'!$A$1:$D$2000,4,FALSE),"0")</f>
        <v>0</v>
      </c>
      <c r="DN20" s="43" t="s">
        <v>1757</v>
      </c>
      <c r="DO20" s="37">
        <f>IFERROR(VLOOKUP(DN20,'Module Items'!$A$1:$B$2587,2,FALSE),"")</f>
        <v>141113</v>
      </c>
      <c r="DP20" s="44">
        <f>IFERROR(VLOOKUP(DN20,'Monthly Line Picks'!$A$1:$D$2000,4,FALSE),"0")</f>
        <v>3</v>
      </c>
      <c r="DQ20" s="48" t="s">
        <v>1758</v>
      </c>
      <c r="DR20" s="37">
        <f>IFERROR(VLOOKUP(DQ20,'Module Items'!$A$1:$B$2587,2,FALSE),"")</f>
        <v>140983</v>
      </c>
      <c r="DS20" s="44" t="str">
        <f>IFERROR(VLOOKUP(DQ20,'Monthly Line Picks'!$A$1:$D$2000,4,FALSE),"0")</f>
        <v>0</v>
      </c>
      <c r="DT20" s="202"/>
      <c r="DU20" s="196"/>
      <c r="DV20" s="195"/>
      <c r="DW20" s="241"/>
    </row>
    <row r="21" spans="2:127" ht="15.95" thickBot="1">
      <c r="B21" s="205"/>
      <c r="C21" s="206"/>
      <c r="D21" s="206"/>
      <c r="E21" s="210"/>
      <c r="F21" s="198"/>
      <c r="G21" s="199"/>
      <c r="H21" s="199"/>
      <c r="I21" s="199"/>
      <c r="J21" s="37" t="s">
        <v>1759</v>
      </c>
      <c r="K21" s="13" t="s">
        <v>1760</v>
      </c>
      <c r="L21" s="13" t="s">
        <v>1761</v>
      </c>
      <c r="M21" s="13" t="s">
        <v>1762</v>
      </c>
      <c r="N21" s="13" t="s">
        <v>1763</v>
      </c>
      <c r="O21" s="108" t="s">
        <v>1764</v>
      </c>
      <c r="P21" s="37" t="s">
        <v>1765</v>
      </c>
      <c r="Q21" s="13" t="s">
        <v>1766</v>
      </c>
      <c r="R21" s="13" t="s">
        <v>1767</v>
      </c>
      <c r="S21" s="13" t="s">
        <v>1768</v>
      </c>
      <c r="T21" s="13" t="s">
        <v>1769</v>
      </c>
      <c r="U21" s="108" t="s">
        <v>1770</v>
      </c>
      <c r="V21" s="37" t="s">
        <v>1771</v>
      </c>
      <c r="W21" s="13" t="s">
        <v>1772</v>
      </c>
      <c r="X21" s="13" t="s">
        <v>1773</v>
      </c>
      <c r="Y21" s="13" t="s">
        <v>1774</v>
      </c>
      <c r="Z21" s="13" t="s">
        <v>1775</v>
      </c>
      <c r="AA21" s="108" t="s">
        <v>1776</v>
      </c>
      <c r="AB21" s="10" t="s">
        <v>1777</v>
      </c>
      <c r="AC21" s="13" t="s">
        <v>1778</v>
      </c>
      <c r="AD21" s="13" t="s">
        <v>1779</v>
      </c>
      <c r="AE21" s="13" t="s">
        <v>1780</v>
      </c>
      <c r="AF21" s="13" t="s">
        <v>1781</v>
      </c>
      <c r="AG21" s="108" t="s">
        <v>1782</v>
      </c>
      <c r="AH21" s="37" t="s">
        <v>1783</v>
      </c>
      <c r="AI21" s="13" t="s">
        <v>1784</v>
      </c>
      <c r="AJ21" s="13" t="s">
        <v>1785</v>
      </c>
      <c r="AK21" s="13" t="s">
        <v>1786</v>
      </c>
      <c r="AL21" s="13" t="s">
        <v>1787</v>
      </c>
      <c r="AM21" s="108" t="s">
        <v>1788</v>
      </c>
      <c r="AN21" s="37" t="s">
        <v>1789</v>
      </c>
      <c r="AO21" s="13" t="s">
        <v>1790</v>
      </c>
      <c r="AP21" s="13" t="s">
        <v>1791</v>
      </c>
      <c r="AQ21" s="13" t="s">
        <v>1792</v>
      </c>
      <c r="AR21" s="13" t="s">
        <v>1793</v>
      </c>
      <c r="AS21" s="108" t="s">
        <v>1794</v>
      </c>
      <c r="AT21" s="37" t="s">
        <v>1795</v>
      </c>
      <c r="AU21" s="13" t="s">
        <v>1796</v>
      </c>
      <c r="AV21" s="13" t="s">
        <v>1797</v>
      </c>
      <c r="AW21" s="13" t="s">
        <v>1798</v>
      </c>
      <c r="AX21" s="13" t="s">
        <v>1799</v>
      </c>
      <c r="AY21" s="108" t="s">
        <v>1800</v>
      </c>
      <c r="AZ21" s="15" t="s">
        <v>1801</v>
      </c>
      <c r="BA21" s="37">
        <f>IFERROR(VLOOKUP(AZ21,'Module Items'!$A$1:$B$2587,2,FALSE),"")</f>
        <v>14999</v>
      </c>
      <c r="BB21" s="44" t="str">
        <f>IFERROR(VLOOKUP(AZ21,'Monthly Line Picks'!$A$1:$D$2000,4,FALSE),"0")</f>
        <v>0</v>
      </c>
      <c r="BC21" s="47" t="s">
        <v>1802</v>
      </c>
      <c r="BD21" s="37">
        <f>IFERROR(VLOOKUP(BC21,'Module Items'!$A$1:$B$2587,2,FALSE),"")</f>
        <v>6128</v>
      </c>
      <c r="BE21" s="44">
        <f>IFERROR(VLOOKUP(BC21,'Monthly Line Picks'!$A$1:$D$2000,4,FALSE),"0")</f>
        <v>4</v>
      </c>
      <c r="BF21" s="47" t="s">
        <v>1803</v>
      </c>
      <c r="BG21" s="37">
        <f>IFERROR(VLOOKUP(BF21,'Module Items'!$A$1:$B$2587,2,FALSE),"")</f>
        <v>78262</v>
      </c>
      <c r="BH21" s="44">
        <f>IFERROR(VLOOKUP(BF21,'Monthly Line Picks'!$A$1:$D$2000,4,FALSE),"0")</f>
        <v>2</v>
      </c>
      <c r="BI21" s="47" t="s">
        <v>1804</v>
      </c>
      <c r="BJ21" s="37">
        <f>IFERROR(VLOOKUP(BI21,'Module Items'!$A$1:$B$2587,2,FALSE),"")</f>
        <v>141021</v>
      </c>
      <c r="BK21" s="44">
        <f>IFERROR(VLOOKUP(BI21,'Monthly Line Picks'!$A$1:$D$2000,4,FALSE),"0")</f>
        <v>2</v>
      </c>
      <c r="BL21" s="47" t="s">
        <v>1805</v>
      </c>
      <c r="BM21" s="37">
        <f>IFERROR(VLOOKUP(BL21,'Module Items'!$A$1:$B$2587,2,FALSE),"")</f>
        <v>141077</v>
      </c>
      <c r="BN21" s="44">
        <f>IFERROR(VLOOKUP(BL21,'Monthly Line Picks'!$A$1:$D$2000,4,FALSE),"0")</f>
        <v>1</v>
      </c>
      <c r="BO21" s="47" t="s">
        <v>1806</v>
      </c>
      <c r="BP21" s="37">
        <f>IFERROR(VLOOKUP(BO21,'Module Items'!$A$1:$B$2587,2,FALSE),"")</f>
        <v>20001</v>
      </c>
      <c r="BQ21" s="44" t="str">
        <f>IFERROR(VLOOKUP(BO21,'Monthly Line Picks'!$A$1:$D$2000,4,FALSE),"0")</f>
        <v>0</v>
      </c>
      <c r="BR21" s="234"/>
      <c r="BS21" s="234"/>
      <c r="BT21" s="235"/>
      <c r="BU21" s="13" t="s">
        <v>1807</v>
      </c>
      <c r="BV21" s="13" t="s">
        <v>1808</v>
      </c>
      <c r="BW21" s="108" t="s">
        <v>1809</v>
      </c>
      <c r="BX21" s="37" t="s">
        <v>1810</v>
      </c>
      <c r="BY21" s="13" t="s">
        <v>1811</v>
      </c>
      <c r="BZ21" s="13" t="s">
        <v>1812</v>
      </c>
      <c r="CA21" s="13" t="s">
        <v>1813</v>
      </c>
      <c r="CB21" s="13" t="s">
        <v>1814</v>
      </c>
      <c r="CC21" s="108" t="s">
        <v>1815</v>
      </c>
      <c r="CD21" s="37" t="s">
        <v>1816</v>
      </c>
      <c r="CE21" s="13" t="s">
        <v>1817</v>
      </c>
      <c r="CF21" s="13" t="s">
        <v>1818</v>
      </c>
      <c r="CG21" s="13" t="s">
        <v>1819</v>
      </c>
      <c r="CH21" s="13" t="s">
        <v>1820</v>
      </c>
      <c r="CI21" s="108" t="s">
        <v>1821</v>
      </c>
      <c r="CJ21" s="37" t="s">
        <v>1822</v>
      </c>
      <c r="CK21" s="13" t="s">
        <v>1823</v>
      </c>
      <c r="CL21" s="13" t="s">
        <v>1824</v>
      </c>
      <c r="CM21" s="13" t="s">
        <v>1825</v>
      </c>
      <c r="CN21" s="13" t="s">
        <v>1826</v>
      </c>
      <c r="CO21" s="11" t="s">
        <v>1827</v>
      </c>
      <c r="CP21" s="37" t="s">
        <v>1828</v>
      </c>
      <c r="CQ21" s="13" t="s">
        <v>1829</v>
      </c>
      <c r="CR21" s="13" t="s">
        <v>1830</v>
      </c>
      <c r="CS21" s="13" t="s">
        <v>1831</v>
      </c>
      <c r="CT21" s="13" t="s">
        <v>1832</v>
      </c>
      <c r="CU21" s="108" t="s">
        <v>1833</v>
      </c>
      <c r="CV21" s="10" t="s">
        <v>1834</v>
      </c>
      <c r="CW21" s="13" t="s">
        <v>1835</v>
      </c>
      <c r="CX21" s="13" t="s">
        <v>1836</v>
      </c>
      <c r="CY21" s="13" t="s">
        <v>1837</v>
      </c>
      <c r="CZ21" s="13" t="s">
        <v>1838</v>
      </c>
      <c r="DA21" s="108" t="s">
        <v>1839</v>
      </c>
      <c r="DB21" s="54" t="s">
        <v>1840</v>
      </c>
      <c r="DC21" s="37">
        <f>IFERROR(VLOOKUP(DB21,'Module Items'!$A$1:$B$2587,2,FALSE),"")</f>
        <v>141097</v>
      </c>
      <c r="DD21" s="44" t="str">
        <f>IFERROR(VLOOKUP(DB21,'Monthly Line Picks'!$A$1:$D$2000,4,FALSE),"0")</f>
        <v>0</v>
      </c>
      <c r="DE21" s="47" t="s">
        <v>1841</v>
      </c>
      <c r="DF21" s="37">
        <f>IFERROR(VLOOKUP(DE21,'Module Items'!$A$1:$B$2587,2,FALSE),"")</f>
        <v>6004</v>
      </c>
      <c r="DG21" s="44">
        <f>IFERROR(VLOOKUP(DE21,'Monthly Line Picks'!$A$1:$D$2000,4,FALSE),"0")</f>
        <v>5</v>
      </c>
      <c r="DH21" s="47" t="s">
        <v>1842</v>
      </c>
      <c r="DI21" s="37">
        <f>IFERROR(VLOOKUP(DH21,'Module Items'!$A$1:$B$2587,2,FALSE),"")</f>
        <v>1510</v>
      </c>
      <c r="DJ21" s="44">
        <f>IFERROR(VLOOKUP(DH21,'Monthly Line Picks'!$A$1:$D$2000,4,FALSE),"0")</f>
        <v>9</v>
      </c>
      <c r="DK21" s="47" t="s">
        <v>1843</v>
      </c>
      <c r="DL21" s="37">
        <f>IFERROR(VLOOKUP(DK21,'Module Items'!$A$1:$B$2587,2,FALSE),"")</f>
        <v>74603</v>
      </c>
      <c r="DM21" s="44">
        <f>IFERROR(VLOOKUP(DK21,'Monthly Line Picks'!$A$1:$D$2000,4,FALSE),"0")</f>
        <v>9</v>
      </c>
      <c r="DN21" s="43" t="s">
        <v>1844</v>
      </c>
      <c r="DO21" s="37">
        <f>IFERROR(VLOOKUP(DN21,'Module Items'!$A$1:$B$2587,2,FALSE),"")</f>
        <v>140981</v>
      </c>
      <c r="DP21" s="44">
        <f>IFERROR(VLOOKUP(DN21,'Monthly Line Picks'!$A$1:$D$2000,4,FALSE),"0")</f>
        <v>3</v>
      </c>
      <c r="DQ21" s="48" t="s">
        <v>1845</v>
      </c>
      <c r="DR21" s="37">
        <f>IFERROR(VLOOKUP(DQ21,'Module Items'!$A$1:$B$2587,2,FALSE),"")</f>
        <v>140996</v>
      </c>
      <c r="DS21" s="44">
        <f>IFERROR(VLOOKUP(DQ21,'Monthly Line Picks'!$A$1:$D$2000,4,FALSE),"0")</f>
        <v>3</v>
      </c>
      <c r="DT21" s="198"/>
      <c r="DU21" s="199"/>
      <c r="DV21" s="199"/>
      <c r="DW21" s="239"/>
    </row>
    <row r="22" spans="2:127" ht="15.95" thickBot="1">
      <c r="B22" s="205"/>
      <c r="C22" s="206"/>
      <c r="D22" s="206"/>
      <c r="E22" s="210"/>
      <c r="F22" s="198"/>
      <c r="G22" s="199"/>
      <c r="H22" s="199"/>
      <c r="I22" s="199"/>
      <c r="J22" s="56" t="str">
        <f>IFERROR(VLOOKUP(J24,'Monthly Line Picks'!$A$1:$D$1458,4,FALSE),"0")</f>
        <v>0</v>
      </c>
      <c r="K22" s="47">
        <f>IFERROR(VLOOKUP(K24,'Monthly Line Picks'!$A$1:$D$1458,4,FALSE),"0")</f>
        <v>6</v>
      </c>
      <c r="L22" s="47" t="str">
        <f>IFERROR(VLOOKUP(L24,'Monthly Line Picks'!$A$1:$D$1458,4,FALSE),"0")</f>
        <v>0</v>
      </c>
      <c r="M22" s="47">
        <f>IFERROR(VLOOKUP(M24,'Monthly Line Picks'!$A$1:$D$1458,4,FALSE),"0")</f>
        <v>10</v>
      </c>
      <c r="N22" s="47">
        <f>IFERROR(VLOOKUP(N24,'Monthly Line Picks'!$A$1:$D$1458,4,FALSE),"0")</f>
        <v>23</v>
      </c>
      <c r="O22" s="57">
        <f>IFERROR(VLOOKUP(O24,'Monthly Line Picks'!$A$1:$D$1458,4,FALSE),"0")</f>
        <v>14</v>
      </c>
      <c r="P22" s="56" t="str">
        <f>IFERROR(VLOOKUP(P24,'Monthly Line Picks'!$A$1:$D$1458,4,FALSE),"0")</f>
        <v>0</v>
      </c>
      <c r="Q22" s="47">
        <f>IFERROR(VLOOKUP(Q24,'Monthly Line Picks'!$A$1:$D$1458,4,FALSE),"0")</f>
        <v>4</v>
      </c>
      <c r="R22" s="47">
        <f>IFERROR(VLOOKUP(R24,'Monthly Line Picks'!$A$1:$D$1458,4,FALSE),"0")</f>
        <v>12</v>
      </c>
      <c r="S22" s="47">
        <f>IFERROR(VLOOKUP(S24,'Monthly Line Picks'!$A$1:$D$1458,4,FALSE),"0")</f>
        <v>20</v>
      </c>
      <c r="T22" s="47" t="str">
        <f>IFERROR(VLOOKUP(T24,'Monthly Line Picks'!$A$1:$D$1458,4,FALSE),"0")</f>
        <v>0</v>
      </c>
      <c r="U22" s="57" t="str">
        <f>IFERROR(VLOOKUP(U24,'Monthly Line Picks'!$A$1:$D$1458,4,FALSE),"0")</f>
        <v>0</v>
      </c>
      <c r="V22" s="56">
        <f>IFERROR(VLOOKUP(V24,'Monthly Line Picks'!$A$1:$D$1458,4,FALSE),"0")</f>
        <v>40</v>
      </c>
      <c r="W22" s="47" t="str">
        <f>IFERROR(VLOOKUP(W24,'Monthly Line Picks'!$A$1:$D$1458,4,FALSE),"0")</f>
        <v>0</v>
      </c>
      <c r="X22" s="47">
        <f>IFERROR(VLOOKUP(X24,'Monthly Line Picks'!$A$1:$D$1458,4,FALSE),"0")</f>
        <v>10</v>
      </c>
      <c r="Y22" s="47" t="str">
        <f>IFERROR(VLOOKUP(Y24,'Monthly Line Picks'!$A$1:$D$1458,4,FALSE),"0")</f>
        <v>0</v>
      </c>
      <c r="Z22" s="47" t="str">
        <f>IFERROR(VLOOKUP(Z24,'Monthly Line Picks'!$A$1:$D$1458,4,FALSE),"0")</f>
        <v>0</v>
      </c>
      <c r="AA22" s="57" t="str">
        <f>IFERROR(VLOOKUP(AA24,'Monthly Line Picks'!$A$1:$D$1458,4,FALSE),"0")</f>
        <v>0</v>
      </c>
      <c r="AB22" s="15" t="str">
        <f>IFERROR(VLOOKUP(AB24,'Monthly Line Picks'!$A$1:$D$1458,4,FALSE),"0")</f>
        <v>0</v>
      </c>
      <c r="AC22" s="47" t="str">
        <f>IFERROR(VLOOKUP(AC24,'Monthly Line Picks'!$A$1:$D$1458,4,FALSE),"0")</f>
        <v>0</v>
      </c>
      <c r="AD22" s="47" t="str">
        <f>IFERROR(VLOOKUP(AD24,'Monthly Line Picks'!$A$1:$D$1458,4,FALSE),"0")</f>
        <v>0</v>
      </c>
      <c r="AE22" s="47" t="str">
        <f>IFERROR(VLOOKUP(AE24,'Monthly Line Picks'!$A$1:$D$1458,4,FALSE),"0")</f>
        <v>0</v>
      </c>
      <c r="AF22" s="47">
        <f>IFERROR(VLOOKUP(AF24,'Monthly Line Picks'!$A$1:$D$1458,4,FALSE),"0")</f>
        <v>5</v>
      </c>
      <c r="AG22" s="57">
        <f>IFERROR(VLOOKUP(AG24,'Monthly Line Picks'!$A$1:$D$1458,4,FALSE),"0")</f>
        <v>12</v>
      </c>
      <c r="AH22" s="56" t="str">
        <f>IFERROR(VLOOKUP(AH24,'Monthly Line Picks'!$A$1:$D$1458,4,FALSE),"0")</f>
        <v>0</v>
      </c>
      <c r="AI22" s="47" t="str">
        <f>IFERROR(VLOOKUP(AI24,'Monthly Line Picks'!$A$1:$D$1458,4,FALSE),"0")</f>
        <v>0</v>
      </c>
      <c r="AJ22" s="47" t="str">
        <f>IFERROR(VLOOKUP(AJ24,'Monthly Line Picks'!$A$1:$D$1458,4,FALSE),"0")</f>
        <v>0</v>
      </c>
      <c r="AK22" s="47">
        <f>IFERROR(VLOOKUP(AK24,'Monthly Line Picks'!$A$1:$D$1458,4,FALSE),"0")</f>
        <v>14</v>
      </c>
      <c r="AL22" s="47">
        <f>IFERROR(VLOOKUP(AL24,'Monthly Line Picks'!$A$1:$D$1458,4,FALSE),"0")</f>
        <v>7</v>
      </c>
      <c r="AM22" s="57" t="str">
        <f>IFERROR(VLOOKUP(AM24,'Monthly Line Picks'!$A$1:$D$1458,4,FALSE),"0")</f>
        <v>0</v>
      </c>
      <c r="AN22" s="56" t="str">
        <f>IFERROR(VLOOKUP(AN24,'Monthly Line Picks'!$A$1:$D$1458,4,FALSE),"0")</f>
        <v>0</v>
      </c>
      <c r="AO22" s="47" t="str">
        <f>IFERROR(VLOOKUP(AO24,'Monthly Line Picks'!$A$1:$D$1458,4,FALSE),"0")</f>
        <v>0</v>
      </c>
      <c r="AP22" s="47">
        <f>IFERROR(VLOOKUP(AP24,'Monthly Line Picks'!$A$1:$D$1458,4,FALSE),"0")</f>
        <v>3</v>
      </c>
      <c r="AQ22" s="47" t="str">
        <f>IFERROR(VLOOKUP(AQ24,'Monthly Line Picks'!$A$1:$D$1458,4,FALSE),"0")</f>
        <v>0</v>
      </c>
      <c r="AR22" s="47">
        <f>IFERROR(VLOOKUP(AR24,'Monthly Line Picks'!$A$1:$D$1458,4,FALSE),"0")</f>
        <v>26</v>
      </c>
      <c r="AS22" s="57" t="str">
        <f>IFERROR(VLOOKUP(AS24,'Monthly Line Picks'!$A$1:$D$1458,4,FALSE),"0")</f>
        <v>0</v>
      </c>
      <c r="AT22" s="56" t="str">
        <f>IFERROR(VLOOKUP(AT24,'Monthly Line Picks'!$A$1:$D$1458,4,FALSE),"0")</f>
        <v>0</v>
      </c>
      <c r="AU22" s="47">
        <f>IFERROR(VLOOKUP(AU24,'Monthly Line Picks'!$A$1:$D$1458,4,FALSE),"0")</f>
        <v>5</v>
      </c>
      <c r="AV22" s="47">
        <f>IFERROR(VLOOKUP(AV24,'Monthly Line Picks'!$A$1:$D$1458,4,FALSE),"0")</f>
        <v>4</v>
      </c>
      <c r="AW22" s="47" t="str">
        <f>IFERROR(VLOOKUP(AW24,'Monthly Line Picks'!$A$1:$D$1458,4,FALSE),"0")</f>
        <v>0</v>
      </c>
      <c r="AX22" s="47" t="str">
        <f>IFERROR(VLOOKUP(AX24,'Monthly Line Picks'!$A$1:$D$1458,4,FALSE),"0")</f>
        <v>0</v>
      </c>
      <c r="AY22" s="57" t="str">
        <f>IFERROR(VLOOKUP(AY24,'Monthly Line Picks'!$A$1:$D$1458,4,FALSE),"0")</f>
        <v>0</v>
      </c>
      <c r="AZ22" s="15" t="s">
        <v>1846</v>
      </c>
      <c r="BA22" s="37">
        <f>IFERROR(VLOOKUP(AZ22,'Module Items'!$A$1:$B$2587,2,FALSE),"")</f>
        <v>141092</v>
      </c>
      <c r="BB22" s="44">
        <f>IFERROR(VLOOKUP(AZ22,'Monthly Line Picks'!$A$1:$D$2000,4,FALSE),"0")</f>
        <v>1</v>
      </c>
      <c r="BC22" s="47" t="s">
        <v>1847</v>
      </c>
      <c r="BD22" s="37">
        <f>IFERROR(VLOOKUP(BC22,'Module Items'!$A$1:$B$2587,2,FALSE),"")</f>
        <v>78261</v>
      </c>
      <c r="BE22" s="44" t="str">
        <f>IFERROR(VLOOKUP(BC22,'Monthly Line Picks'!$A$1:$D$2000,4,FALSE),"0")</f>
        <v>0</v>
      </c>
      <c r="BF22" s="47" t="s">
        <v>1848</v>
      </c>
      <c r="BG22" s="37">
        <f>IFERROR(VLOOKUP(BF22,'Module Items'!$A$1:$B$2587,2,FALSE),"")</f>
        <v>140907</v>
      </c>
      <c r="BH22" s="44">
        <f>IFERROR(VLOOKUP(BF22,'Monthly Line Picks'!$A$1:$D$2000,4,FALSE),"0")</f>
        <v>1</v>
      </c>
      <c r="BI22" s="47" t="s">
        <v>1849</v>
      </c>
      <c r="BJ22" s="37">
        <f>IFERROR(VLOOKUP(BI22,'Module Items'!$A$1:$B$2587,2,FALSE),"")</f>
        <v>854</v>
      </c>
      <c r="BK22" s="44">
        <f>IFERROR(VLOOKUP(BI22,'Monthly Line Picks'!$A$1:$D$2000,4,FALSE),"0")</f>
        <v>1</v>
      </c>
      <c r="BL22" s="47" t="s">
        <v>1850</v>
      </c>
      <c r="BM22" s="37">
        <f>IFERROR(VLOOKUP(BL22,'Module Items'!$A$1:$B$2587,2,FALSE),"")</f>
        <v>744</v>
      </c>
      <c r="BN22" s="44" t="str">
        <f>IFERROR(VLOOKUP(BL22,'Monthly Line Picks'!$A$1:$D$2000,4,FALSE),"0")</f>
        <v>0</v>
      </c>
      <c r="BO22" s="47" t="s">
        <v>1851</v>
      </c>
      <c r="BP22" s="37">
        <f>IFERROR(VLOOKUP(BO22,'Module Items'!$A$1:$B$2587,2,FALSE),"")</f>
        <v>5846</v>
      </c>
      <c r="BQ22" s="44">
        <f>IFERROR(VLOOKUP(BO22,'Monthly Line Picks'!$A$1:$D$2000,4,FALSE),"0")</f>
        <v>2</v>
      </c>
      <c r="BR22" s="234"/>
      <c r="BS22" s="234"/>
      <c r="BT22" s="235"/>
      <c r="BU22" s="47" t="str">
        <f>IFERROR(VLOOKUP(BU24,'Monthly Line Picks'!$A$1:$D$1458,4,FALSE),"0")</f>
        <v>0</v>
      </c>
      <c r="BV22" s="47" t="str">
        <f>IFERROR(VLOOKUP(BV24,'Monthly Line Picks'!$A$1:$D$1458,4,FALSE),"0")</f>
        <v>0</v>
      </c>
      <c r="BW22" s="57" t="str">
        <f>IFERROR(VLOOKUP(BW24,'Monthly Line Picks'!$A$1:$D$1458,4,FALSE),"0")</f>
        <v>0</v>
      </c>
      <c r="BX22" s="56" t="str">
        <f>IFERROR(VLOOKUP(BX24,'Monthly Line Picks'!$A$1:$D$1458,4,FALSE),"0")</f>
        <v>0</v>
      </c>
      <c r="BY22" s="47" t="str">
        <f>IFERROR(VLOOKUP(BY24,'Monthly Line Picks'!$A$1:$D$1458,4,FALSE),"0")</f>
        <v>0</v>
      </c>
      <c r="BZ22" s="47" t="str">
        <f>IFERROR(VLOOKUP(BZ24,'Monthly Line Picks'!$A$1:$D$1458,4,FALSE),"0")</f>
        <v>0</v>
      </c>
      <c r="CA22" s="47" t="str">
        <f>IFERROR(VLOOKUP(CA24,'Monthly Line Picks'!$A$1:$D$1458,4,FALSE),"0")</f>
        <v>0</v>
      </c>
      <c r="CB22" s="47" t="str">
        <f>IFERROR(VLOOKUP(CB24,'Monthly Line Picks'!$A$1:$D$1458,4,FALSE),"0")</f>
        <v>0</v>
      </c>
      <c r="CC22" s="57" t="str">
        <f>IFERROR(VLOOKUP(CC24,'Monthly Line Picks'!$A$1:$D$1458,4,FALSE),"0")</f>
        <v>0</v>
      </c>
      <c r="CD22" s="56" t="str">
        <f>IFERROR(VLOOKUP(CD24,'Monthly Line Picks'!$A$1:$D$1458,4,FALSE),"0")</f>
        <v>0</v>
      </c>
      <c r="CE22" s="47" t="str">
        <f>IFERROR(VLOOKUP(CE24,'Monthly Line Picks'!$A$1:$D$1458,4,FALSE),"0")</f>
        <v>0</v>
      </c>
      <c r="CF22" s="47" t="str">
        <f>IFERROR(VLOOKUP(CF24,'Monthly Line Picks'!$A$1:$D$1458,4,FALSE),"0")</f>
        <v>0</v>
      </c>
      <c r="CG22" s="47" t="str">
        <f>IFERROR(VLOOKUP(CG24,'Monthly Line Picks'!$A$1:$D$1458,4,FALSE),"0")</f>
        <v>0</v>
      </c>
      <c r="CH22" s="47" t="str">
        <f>IFERROR(VLOOKUP(CH24,'Monthly Line Picks'!$A$1:$D$1458,4,FALSE),"0")</f>
        <v>0</v>
      </c>
      <c r="CI22" s="57" t="str">
        <f>IFERROR(VLOOKUP(CI24,'Monthly Line Picks'!$A$1:$D$1458,4,FALSE),"0")</f>
        <v>0</v>
      </c>
      <c r="CJ22" s="56" t="str">
        <f>IFERROR(VLOOKUP(CJ24,'Monthly Line Picks'!$A$1:$D$1458,4,FALSE),"0")</f>
        <v>0</v>
      </c>
      <c r="CK22" s="47" t="str">
        <f>IFERROR(VLOOKUP(CK24,'Monthly Line Picks'!$A$1:$D$1458,4,FALSE),"0")</f>
        <v>0</v>
      </c>
      <c r="CL22" s="47" t="str">
        <f>IFERROR(VLOOKUP(CL24,'Monthly Line Picks'!$A$1:$D$1458,4,FALSE),"0")</f>
        <v>0</v>
      </c>
      <c r="CM22" s="47" t="str">
        <f>IFERROR(VLOOKUP(CM24,'Monthly Line Picks'!$A$1:$D$1458,4,FALSE),"0")</f>
        <v>0</v>
      </c>
      <c r="CN22" s="47" t="str">
        <f>IFERROR(VLOOKUP(CN24,'Monthly Line Picks'!$A$1:$D$1458,4,FALSE),"0")</f>
        <v>0</v>
      </c>
      <c r="CO22" s="63" t="str">
        <f>IFERROR(VLOOKUP(CO24,'Monthly Line Picks'!$A$1:$D$1458,4,FALSE),"0")</f>
        <v>0</v>
      </c>
      <c r="CP22" s="56" t="str">
        <f>IFERROR(VLOOKUP(CP24,'Monthly Line Picks'!$A$1:$D$1458,4,FALSE),"0")</f>
        <v>0</v>
      </c>
      <c r="CQ22" s="47" t="str">
        <f>IFERROR(VLOOKUP(CQ24,'Monthly Line Picks'!$A$1:$D$1458,4,FALSE),"0")</f>
        <v>0</v>
      </c>
      <c r="CR22" s="47" t="str">
        <f>IFERROR(VLOOKUP(CR24,'Monthly Line Picks'!$A$1:$D$1458,4,FALSE),"0")</f>
        <v>0</v>
      </c>
      <c r="CS22" s="47" t="str">
        <f>IFERROR(VLOOKUP(CS24,'Monthly Line Picks'!$A$1:$D$1458,4,FALSE),"0")</f>
        <v>0</v>
      </c>
      <c r="CT22" s="47" t="str">
        <f>IFERROR(VLOOKUP(CT24,'Monthly Line Picks'!$A$1:$D$1458,4,FALSE),"0")</f>
        <v>0</v>
      </c>
      <c r="CU22" s="57" t="str">
        <f>IFERROR(VLOOKUP(CU24,'Monthly Line Picks'!$A$1:$D$1458,4,FALSE),"0")</f>
        <v>0</v>
      </c>
      <c r="CV22" s="15" t="str">
        <f>IFERROR(VLOOKUP(CV24,'Monthly Line Picks'!$A$1:$D$1458,4,FALSE),"0")</f>
        <v>0</v>
      </c>
      <c r="CW22" s="47">
        <f>IFERROR(VLOOKUP(CW24,'Monthly Line Picks'!$A$1:$D$1458,4,FALSE),"0")</f>
        <v>46</v>
      </c>
      <c r="CX22" s="47">
        <f>IFERROR(VLOOKUP(CX24,'Monthly Line Picks'!$A$1:$D$1458,4,FALSE),"0")</f>
        <v>49</v>
      </c>
      <c r="CY22" s="47">
        <f>IFERROR(VLOOKUP(CY24,'Monthly Line Picks'!$A$1:$D$1458,4,FALSE),"0")</f>
        <v>9</v>
      </c>
      <c r="CZ22" s="47" t="str">
        <f>IFERROR(VLOOKUP(CZ24,'Monthly Line Picks'!$A$1:$D$1458,4,FALSE),"0")</f>
        <v>0</v>
      </c>
      <c r="DA22" s="57" t="str">
        <f>IFERROR(VLOOKUP(DA24,'Monthly Line Picks'!$A$1:$D$1458,4,FALSE),"0")</f>
        <v>0</v>
      </c>
      <c r="DB22" s="54" t="s">
        <v>1852</v>
      </c>
      <c r="DC22" s="37">
        <f>IFERROR(VLOOKUP(DB22,'Module Items'!$A$1:$B$2587,2,FALSE),"")</f>
        <v>141093</v>
      </c>
      <c r="DD22" s="44">
        <f>IFERROR(VLOOKUP(DB22,'Monthly Line Picks'!$A$1:$D$2000,4,FALSE),"0")</f>
        <v>2</v>
      </c>
      <c r="DE22" s="47" t="s">
        <v>1853</v>
      </c>
      <c r="DF22" s="37">
        <f>IFERROR(VLOOKUP(DE22,'Module Items'!$A$1:$B$2587,2,FALSE),"")</f>
        <v>141069</v>
      </c>
      <c r="DG22" s="44">
        <f>IFERROR(VLOOKUP(DE22,'Monthly Line Picks'!$A$1:$D$2000,4,FALSE),"0")</f>
        <v>5</v>
      </c>
      <c r="DH22" s="47" t="s">
        <v>1854</v>
      </c>
      <c r="DI22" s="37">
        <f>IFERROR(VLOOKUP(DH22,'Module Items'!$A$1:$B$2587,2,FALSE),"")</f>
        <v>141016</v>
      </c>
      <c r="DJ22" s="44">
        <f>IFERROR(VLOOKUP(DH22,'Monthly Line Picks'!$A$1:$D$2000,4,FALSE),"0")</f>
        <v>7</v>
      </c>
      <c r="DK22" s="47" t="s">
        <v>1855</v>
      </c>
      <c r="DL22" s="37">
        <f>IFERROR(VLOOKUP(DK22,'Module Items'!$A$1:$B$2587,2,FALSE),"")</f>
        <v>3778</v>
      </c>
      <c r="DM22" s="44">
        <f>IFERROR(VLOOKUP(DK22,'Monthly Line Picks'!$A$1:$D$2000,4,FALSE),"0")</f>
        <v>5</v>
      </c>
      <c r="DN22" s="43" t="s">
        <v>1856</v>
      </c>
      <c r="DO22" s="37">
        <f>IFERROR(VLOOKUP(DN22,'Module Items'!$A$1:$B$2587,2,FALSE),"")</f>
        <v>7280</v>
      </c>
      <c r="DP22" s="44">
        <f>IFERROR(VLOOKUP(DN22,'Monthly Line Picks'!$A$1:$D$2000,4,FALSE),"0")</f>
        <v>2</v>
      </c>
      <c r="DQ22" s="48" t="s">
        <v>1857</v>
      </c>
      <c r="DR22" s="37">
        <f>IFERROR(VLOOKUP(DQ22,'Module Items'!$A$1:$B$2587,2,FALSE),"")</f>
        <v>156770</v>
      </c>
      <c r="DS22" s="44" t="str">
        <f>IFERROR(VLOOKUP(DQ22,'Monthly Line Picks'!$A$1:$D$2000,4,FALSE),"0")</f>
        <v>0</v>
      </c>
      <c r="DT22" s="198"/>
      <c r="DU22" s="199"/>
      <c r="DV22" s="199"/>
      <c r="DW22" s="239"/>
    </row>
    <row r="23" spans="2:127" ht="15.95" thickBot="1">
      <c r="B23" s="205"/>
      <c r="C23" s="206"/>
      <c r="D23" s="206"/>
      <c r="E23" s="210"/>
      <c r="F23" s="198"/>
      <c r="G23" s="199"/>
      <c r="H23" s="199"/>
      <c r="I23" s="199"/>
      <c r="J23" s="37" t="str">
        <f>IFERROR(VLOOKUP(J24,'Module Items'!$A$1:$B$2587,2,FALSE),"")</f>
        <v/>
      </c>
      <c r="K23" s="13">
        <f>IFERROR(VLOOKUP(K24,'Module Items'!$A$1:$B$2587,2,FALSE),"")</f>
        <v>177697</v>
      </c>
      <c r="L23" s="13" t="str">
        <f>IFERROR(VLOOKUP(L24,'Module Items'!$A$1:$B$2587,2,FALSE),"")</f>
        <v>OPEN</v>
      </c>
      <c r="M23" s="13">
        <f>IFERROR(VLOOKUP(M24,'Module Items'!$A$1:$B$2587,2,FALSE),"")</f>
        <v>336</v>
      </c>
      <c r="N23" s="13">
        <f>IFERROR(VLOOKUP(N24,'Module Items'!$A$1:$B$2587,2,FALSE),"")</f>
        <v>786</v>
      </c>
      <c r="O23" s="108">
        <f>IFERROR(VLOOKUP(O24,'Module Items'!$A$1:$B$2587,2,FALSE),"")</f>
        <v>114380</v>
      </c>
      <c r="P23" s="37" t="str">
        <f>IFERROR(VLOOKUP(P24,'Module Items'!$A$1:$B$2587,2,FALSE),"")</f>
        <v>OPEN</v>
      </c>
      <c r="Q23" s="13">
        <f>IFERROR(VLOOKUP(Q24,'Module Items'!$A$1:$B$2587,2,FALSE),"")</f>
        <v>156809</v>
      </c>
      <c r="R23" s="13">
        <f>IFERROR(VLOOKUP(R24,'Module Items'!$A$1:$B$2587,2,FALSE),"")</f>
        <v>91359</v>
      </c>
      <c r="S23" s="13">
        <f>IFERROR(VLOOKUP(S24,'Module Items'!$A$1:$B$2587,2,FALSE),"")</f>
        <v>160067</v>
      </c>
      <c r="T23" s="13" t="str">
        <f>IFERROR(VLOOKUP(T24,'Module Items'!$A$1:$B$2587,2,FALSE),"")</f>
        <v>OPEN</v>
      </c>
      <c r="U23" s="108" t="str">
        <f>IFERROR(VLOOKUP(U24,'Module Items'!$A$1:$B$2587,2,FALSE),"")</f>
        <v/>
      </c>
      <c r="V23" s="37">
        <f>IFERROR(VLOOKUP(V24,'Module Items'!$A$1:$B$2587,2,FALSE),"")</f>
        <v>114262</v>
      </c>
      <c r="W23" s="13">
        <f>IFERROR(VLOOKUP(W24,'Module Items'!$A$1:$B$2587,2,FALSE),"")</f>
        <v>134060</v>
      </c>
      <c r="X23" s="13">
        <f>IFERROR(VLOOKUP(X24,'Module Items'!$A$1:$B$2587,2,FALSE),"")</f>
        <v>101422</v>
      </c>
      <c r="Y23" s="13" t="str">
        <f>IFERROR(VLOOKUP(Y24,'Module Items'!$A$1:$B$2587,2,FALSE),"")</f>
        <v>OPEN</v>
      </c>
      <c r="Z23" s="13" t="str">
        <f>IFERROR(VLOOKUP(Z24,'Module Items'!$A$1:$B$2587,2,FALSE),"")</f>
        <v>OPEN</v>
      </c>
      <c r="AA23" s="108" t="str">
        <f>IFERROR(VLOOKUP(AA24,'Module Items'!$A$1:$B$2587,2,FALSE),"")</f>
        <v>OPEN</v>
      </c>
      <c r="AB23" s="10" t="str">
        <f>IFERROR(VLOOKUP(AB24,'Module Items'!$A$1:$B$2587,2,FALSE),"")</f>
        <v>OPEN</v>
      </c>
      <c r="AC23" s="13" t="str">
        <f>IFERROR(VLOOKUP(AC24,'Module Items'!$A$1:$B$2587,2,FALSE),"")</f>
        <v>OPEN</v>
      </c>
      <c r="AD23" s="13" t="str">
        <f>IFERROR(VLOOKUP(AD24,'Module Items'!$A$1:$B$2587,2,FALSE),"")</f>
        <v>OPEN</v>
      </c>
      <c r="AE23" s="13">
        <f>IFERROR(VLOOKUP(AE24,'Module Items'!$A$1:$B$2587,2,FALSE),"")</f>
        <v>111446</v>
      </c>
      <c r="AF23" s="13">
        <f>IFERROR(VLOOKUP(AF24,'Module Items'!$A$1:$B$2587,2,FALSE),"")</f>
        <v>9993</v>
      </c>
      <c r="AG23" s="108">
        <f>IFERROR(VLOOKUP(AG24,'Module Items'!$A$1:$B$2587,2,FALSE),"")</f>
        <v>143801</v>
      </c>
      <c r="AH23" s="37">
        <f>IFERROR(VLOOKUP(AH24,'Module Items'!$A$1:$B$2587,2,FALSE),"")</f>
        <v>39604</v>
      </c>
      <c r="AI23" s="13">
        <f>IFERROR(VLOOKUP(AI24,'Module Items'!$A$1:$B$2587,2,FALSE),"")</f>
        <v>1012</v>
      </c>
      <c r="AJ23" s="13">
        <f>IFERROR(VLOOKUP(AJ24,'Module Items'!$A$1:$B$2587,2,FALSE),"")</f>
        <v>32015</v>
      </c>
      <c r="AK23" s="13">
        <f>IFERROR(VLOOKUP(AK24,'Module Items'!$A$1:$B$2587,2,FALSE),"")</f>
        <v>8831</v>
      </c>
      <c r="AL23" s="13">
        <f>IFERROR(VLOOKUP(AL24,'Module Items'!$A$1:$B$2587,2,FALSE),"")</f>
        <v>90499</v>
      </c>
      <c r="AM23" s="108" t="str">
        <f>IFERROR(VLOOKUP(AM24,'Module Items'!$A$1:$B$2587,2,FALSE),"")</f>
        <v>OPEN</v>
      </c>
      <c r="AN23" s="37">
        <f>IFERROR(VLOOKUP(AN24,'Module Items'!$A$1:$B$2587,2,FALSE),"")</f>
        <v>12595</v>
      </c>
      <c r="AO23" s="13">
        <f>IFERROR(VLOOKUP(AO24,'Module Items'!$A$1:$B$2587,2,FALSE),"")</f>
        <v>765</v>
      </c>
      <c r="AP23" s="13">
        <f>IFERROR(VLOOKUP(AP24,'Module Items'!$A$1:$B$2587,2,FALSE),"")</f>
        <v>141166</v>
      </c>
      <c r="AQ23" s="13">
        <f>IFERROR(VLOOKUP(AQ24,'Module Items'!$A$1:$B$2587,2,FALSE),"")</f>
        <v>137725</v>
      </c>
      <c r="AR23" s="13">
        <f>IFERROR(VLOOKUP(AR24,'Module Items'!$A$1:$B$2587,2,FALSE),"")</f>
        <v>8501</v>
      </c>
      <c r="AS23" s="108" t="str">
        <f>IFERROR(VLOOKUP(AS24,'Module Items'!$A$1:$B$2587,2,FALSE),"")</f>
        <v>OPEN</v>
      </c>
      <c r="AT23" s="37" t="str">
        <f>IFERROR(VLOOKUP(AT24,'Module Items'!$A$1:$B$2587,2,FALSE),"")</f>
        <v/>
      </c>
      <c r="AU23" s="13">
        <f>IFERROR(VLOOKUP(AU24,'Module Items'!$A$1:$B$2587,2,FALSE),"")</f>
        <v>134061</v>
      </c>
      <c r="AV23" s="13">
        <f>IFERROR(VLOOKUP(AV24,'Module Items'!$A$1:$B$2587,2,FALSE),"")</f>
        <v>52</v>
      </c>
      <c r="AW23" s="13">
        <f>IFERROR(VLOOKUP(AW24,'Module Items'!$A$1:$B$2587,2,FALSE),"")</f>
        <v>83787</v>
      </c>
      <c r="AX23" s="13">
        <f>IFERROR(VLOOKUP(AX24,'Module Items'!$A$1:$B$2587,2,FALSE),"")</f>
        <v>140670</v>
      </c>
      <c r="AY23" s="108">
        <f>IFERROR(VLOOKUP(AY24,'Module Items'!$A$1:$B$2587,2,FALSE),"")</f>
        <v>59</v>
      </c>
      <c r="AZ23" s="15" t="s">
        <v>1858</v>
      </c>
      <c r="BA23" s="37">
        <f>IFERROR(VLOOKUP(AZ23,'Module Items'!$A$1:$B$2587,2,FALSE),"")</f>
        <v>88650</v>
      </c>
      <c r="BB23" s="44">
        <f>IFERROR(VLOOKUP(AZ23,'Monthly Line Picks'!$A$1:$D$2000,4,FALSE),"0")</f>
        <v>2</v>
      </c>
      <c r="BC23" s="47" t="s">
        <v>1859</v>
      </c>
      <c r="BD23" s="37">
        <f>IFERROR(VLOOKUP(BC23,'Module Items'!$A$1:$B$2587,2,FALSE),"")</f>
        <v>140938</v>
      </c>
      <c r="BE23" s="44">
        <f>IFERROR(VLOOKUP(BC23,'Monthly Line Picks'!$A$1:$D$2000,4,FALSE),"0")</f>
        <v>3</v>
      </c>
      <c r="BF23" s="47" t="s">
        <v>1860</v>
      </c>
      <c r="BG23" s="37">
        <f>IFERROR(VLOOKUP(BF23,'Module Items'!$A$1:$B$2587,2,FALSE),"")</f>
        <v>47842</v>
      </c>
      <c r="BH23" s="44">
        <f>IFERROR(VLOOKUP(BF23,'Monthly Line Picks'!$A$1:$D$2000,4,FALSE),"0")</f>
        <v>1</v>
      </c>
      <c r="BI23" s="47" t="s">
        <v>1861</v>
      </c>
      <c r="BJ23" s="37">
        <f>IFERROR(VLOOKUP(BI23,'Module Items'!$A$1:$B$2587,2,FALSE),"")</f>
        <v>820</v>
      </c>
      <c r="BK23" s="44">
        <f>IFERROR(VLOOKUP(BI23,'Monthly Line Picks'!$A$1:$D$2000,4,FALSE),"0")</f>
        <v>4</v>
      </c>
      <c r="BL23" s="47" t="s">
        <v>1862</v>
      </c>
      <c r="BM23" s="37">
        <f>IFERROR(VLOOKUP(BL23,'Module Items'!$A$1:$B$2587,2,FALSE),"")</f>
        <v>141020</v>
      </c>
      <c r="BN23" s="44" t="str">
        <f>IFERROR(VLOOKUP(BL23,'Monthly Line Picks'!$A$1:$D$2000,4,FALSE),"0")</f>
        <v>0</v>
      </c>
      <c r="BO23" s="47" t="s">
        <v>1863</v>
      </c>
      <c r="BP23" s="37">
        <f>IFERROR(VLOOKUP(BO23,'Module Items'!$A$1:$B$2587,2,FALSE),"")</f>
        <v>14434</v>
      </c>
      <c r="BQ23" s="44">
        <f>IFERROR(VLOOKUP(BO23,'Monthly Line Picks'!$A$1:$D$2000,4,FALSE),"0")</f>
        <v>2</v>
      </c>
      <c r="BR23" s="234"/>
      <c r="BS23" s="234"/>
      <c r="BT23" s="235"/>
      <c r="BU23" s="13" t="str">
        <f>IFERROR(VLOOKUP(BU24,'Module Items'!$A$1:$B$2587,2,FALSE),"")</f>
        <v/>
      </c>
      <c r="BV23" s="13" t="str">
        <f>IFERROR(VLOOKUP(BV24,'Module Items'!$A$1:$B$2587,2,FALSE),"")</f>
        <v>OPEN</v>
      </c>
      <c r="BW23" s="108" t="str">
        <f>IFERROR(VLOOKUP(BW24,'Module Items'!$A$1:$B$2587,2,FALSE),"")</f>
        <v>OPEN</v>
      </c>
      <c r="BX23" s="37" t="str">
        <f>IFERROR(VLOOKUP(BX24,'Module Items'!$A$1:$B$2587,2,FALSE),"")</f>
        <v/>
      </c>
      <c r="BY23" s="13" t="str">
        <f>IFERROR(VLOOKUP(BY24,'Module Items'!$A$1:$B$2587,2,FALSE),"")</f>
        <v/>
      </c>
      <c r="BZ23" s="13" t="str">
        <f>IFERROR(VLOOKUP(BZ24,'Module Items'!$A$1:$B$2587,2,FALSE),"")</f>
        <v/>
      </c>
      <c r="CA23" s="13" t="str">
        <f>IFERROR(VLOOKUP(CA24,'Module Items'!$A$1:$B$2587,2,FALSE),"")</f>
        <v/>
      </c>
      <c r="CB23" s="13" t="str">
        <f>IFERROR(VLOOKUP(CB24,'Module Items'!$A$1:$B$2587,2,FALSE),"")</f>
        <v/>
      </c>
      <c r="CC23" s="108" t="str">
        <f>IFERROR(VLOOKUP(CC24,'Module Items'!$A$1:$B$2587,2,FALSE),"")</f>
        <v/>
      </c>
      <c r="CD23" s="37" t="str">
        <f>IFERROR(VLOOKUP(CD24,'Module Items'!$A$1:$B$2587,2,FALSE),"")</f>
        <v/>
      </c>
      <c r="CE23" s="13" t="str">
        <f>IFERROR(VLOOKUP(CE24,'Module Items'!$A$1:$B$2587,2,FALSE),"")</f>
        <v/>
      </c>
      <c r="CF23" s="13" t="str">
        <f>IFERROR(VLOOKUP(CF24,'Module Items'!$A$1:$B$2587,2,FALSE),"")</f>
        <v/>
      </c>
      <c r="CG23" s="13" t="str">
        <f>IFERROR(VLOOKUP(CG24,'Module Items'!$A$1:$B$2587,2,FALSE),"")</f>
        <v/>
      </c>
      <c r="CH23" s="13" t="str">
        <f>IFERROR(VLOOKUP(CH24,'Module Items'!$A$1:$B$2587,2,FALSE),"")</f>
        <v/>
      </c>
      <c r="CI23" s="108" t="str">
        <f>IFERROR(VLOOKUP(CI24,'Module Items'!$A$1:$B$2587,2,FALSE),"")</f>
        <v/>
      </c>
      <c r="CJ23" s="37" t="str">
        <f>IFERROR(VLOOKUP(CJ24,'Module Items'!$A$1:$B$2587,2,FALSE),"")</f>
        <v/>
      </c>
      <c r="CK23" s="13" t="str">
        <f>IFERROR(VLOOKUP(CK24,'Module Items'!$A$1:$B$2587,2,FALSE),"")</f>
        <v/>
      </c>
      <c r="CL23" s="13" t="str">
        <f>IFERROR(VLOOKUP(CL24,'Module Items'!$A$1:$B$2587,2,FALSE),"")</f>
        <v/>
      </c>
      <c r="CM23" s="13" t="str">
        <f>IFERROR(VLOOKUP(CM24,'Module Items'!$A$1:$B$2587,2,FALSE),"")</f>
        <v/>
      </c>
      <c r="CN23" s="13" t="str">
        <f>IFERROR(VLOOKUP(CN24,'Module Items'!$A$1:$B$2587,2,FALSE),"")</f>
        <v/>
      </c>
      <c r="CO23" s="11" t="str">
        <f>IFERROR(VLOOKUP(CO24,'Module Items'!$A$1:$B$2587,2,FALSE),"")</f>
        <v/>
      </c>
      <c r="CP23" s="37" t="str">
        <f>IFERROR(VLOOKUP(CP24,'Module Items'!$A$1:$B$2587,2,FALSE),"")</f>
        <v/>
      </c>
      <c r="CQ23" s="13" t="str">
        <f>IFERROR(VLOOKUP(CQ24,'Module Items'!$A$1:$B$2587,2,FALSE),"")</f>
        <v/>
      </c>
      <c r="CR23" s="13" t="str">
        <f>IFERROR(VLOOKUP(CR24,'Module Items'!$A$1:$B$2587,2,FALSE),"")</f>
        <v/>
      </c>
      <c r="CS23" s="13" t="str">
        <f>IFERROR(VLOOKUP(CS24,'Module Items'!$A$1:$B$2587,2,FALSE),"")</f>
        <v/>
      </c>
      <c r="CT23" s="13" t="str">
        <f>IFERROR(VLOOKUP(CT24,'Module Items'!$A$1:$B$2587,2,FALSE),"")</f>
        <v/>
      </c>
      <c r="CU23" s="108" t="str">
        <f>IFERROR(VLOOKUP(CU24,'Module Items'!$A$1:$B$2587,2,FALSE),"")</f>
        <v/>
      </c>
      <c r="CV23" s="10" t="str">
        <f>IFERROR(VLOOKUP(CV24,'Module Items'!$A$1:$B$2587,2,FALSE),"")</f>
        <v/>
      </c>
      <c r="CW23" s="13">
        <f>IFERROR(VLOOKUP(CW24,'Module Items'!$A$1:$B$2587,2,FALSE),"")</f>
        <v>137712</v>
      </c>
      <c r="CX23" s="13">
        <f>IFERROR(VLOOKUP(CX24,'Module Items'!$A$1:$B$2587,2,FALSE),"")</f>
        <v>114053</v>
      </c>
      <c r="CY23" s="13">
        <f>IFERROR(VLOOKUP(CY24,'Module Items'!$A$1:$B$2587,2,FALSE),"")</f>
        <v>138958</v>
      </c>
      <c r="CZ23" s="13">
        <f>IFERROR(VLOOKUP(CZ24,'Module Items'!$A$1:$B$2587,2,FALSE),"")</f>
        <v>100945</v>
      </c>
      <c r="DA23" s="108">
        <f>IFERROR(VLOOKUP(DA24,'Module Items'!$A$1:$B$2587,2,FALSE),"")</f>
        <v>100216</v>
      </c>
      <c r="DB23" s="54" t="s">
        <v>1864</v>
      </c>
      <c r="DC23" s="37">
        <f>IFERROR(VLOOKUP(DB23,'Module Items'!$A$1:$B$2587,2,FALSE),"")</f>
        <v>140947</v>
      </c>
      <c r="DD23" s="44" t="str">
        <f>IFERROR(VLOOKUP(DB23,'Monthly Line Picks'!$A$1:$D$2000,4,FALSE),"0")</f>
        <v>0</v>
      </c>
      <c r="DE23" s="47" t="s">
        <v>1865</v>
      </c>
      <c r="DF23" s="37">
        <f>IFERROR(VLOOKUP(DE23,'Module Items'!$A$1:$B$2587,2,FALSE),"")</f>
        <v>141013</v>
      </c>
      <c r="DG23" s="44">
        <f>IFERROR(VLOOKUP(DE23,'Monthly Line Picks'!$A$1:$D$2000,4,FALSE),"0")</f>
        <v>1</v>
      </c>
      <c r="DH23" s="47" t="s">
        <v>1866</v>
      </c>
      <c r="DI23" s="37">
        <f>IFERROR(VLOOKUP(DH23,'Module Items'!$A$1:$B$2587,2,FALSE),"")</f>
        <v>140997</v>
      </c>
      <c r="DJ23" s="44">
        <f>IFERROR(VLOOKUP(DH23,'Monthly Line Picks'!$A$1:$D$2000,4,FALSE),"0")</f>
        <v>19</v>
      </c>
      <c r="DK23" s="47" t="s">
        <v>1867</v>
      </c>
      <c r="DL23" s="37">
        <f>IFERROR(VLOOKUP(DK23,'Module Items'!$A$1:$B$2587,2,FALSE),"")</f>
        <v>140949</v>
      </c>
      <c r="DM23" s="44" t="str">
        <f>IFERROR(VLOOKUP(DK23,'Monthly Line Picks'!$A$1:$D$2000,4,FALSE),"0")</f>
        <v>0</v>
      </c>
      <c r="DN23" s="43" t="s">
        <v>1868</v>
      </c>
      <c r="DO23" s="37">
        <f>IFERROR(VLOOKUP(DN23,'Module Items'!$A$1:$B$2587,2,FALSE),"")</f>
        <v>2637</v>
      </c>
      <c r="DP23" s="44" t="str">
        <f>IFERROR(VLOOKUP(DN23,'Monthly Line Picks'!$A$1:$D$2000,4,FALSE),"0")</f>
        <v>0</v>
      </c>
      <c r="DQ23" s="48" t="s">
        <v>1869</v>
      </c>
      <c r="DR23" s="37">
        <f>IFERROR(VLOOKUP(DQ23,'Module Items'!$A$1:$B$2587,2,FALSE),"")</f>
        <v>117060</v>
      </c>
      <c r="DS23" s="44">
        <f>IFERROR(VLOOKUP(DQ23,'Monthly Line Picks'!$A$1:$D$2000,4,FALSE),"0")</f>
        <v>1</v>
      </c>
      <c r="DT23" s="198"/>
      <c r="DU23" s="199"/>
      <c r="DV23" s="199"/>
      <c r="DW23" s="239"/>
    </row>
    <row r="24" spans="2:127" ht="15.95" thickBot="1">
      <c r="B24" s="207"/>
      <c r="C24" s="208"/>
      <c r="D24" s="208"/>
      <c r="E24" s="211"/>
      <c r="F24" s="200"/>
      <c r="G24" s="201"/>
      <c r="H24" s="201"/>
      <c r="I24" s="201"/>
      <c r="J24" s="38" t="s">
        <v>1870</v>
      </c>
      <c r="K24" s="32" t="s">
        <v>1871</v>
      </c>
      <c r="L24" s="32" t="s">
        <v>1872</v>
      </c>
      <c r="M24" s="32" t="s">
        <v>1873</v>
      </c>
      <c r="N24" s="32" t="s">
        <v>1874</v>
      </c>
      <c r="O24" s="33" t="s">
        <v>1875</v>
      </c>
      <c r="P24" s="38" t="s">
        <v>1876</v>
      </c>
      <c r="Q24" s="32" t="s">
        <v>1877</v>
      </c>
      <c r="R24" s="32" t="s">
        <v>1878</v>
      </c>
      <c r="S24" s="32" t="s">
        <v>1879</v>
      </c>
      <c r="T24" s="32" t="s">
        <v>1880</v>
      </c>
      <c r="U24" s="33" t="s">
        <v>1881</v>
      </c>
      <c r="V24" s="38" t="s">
        <v>1882</v>
      </c>
      <c r="W24" s="32" t="s">
        <v>1883</v>
      </c>
      <c r="X24" s="32" t="s">
        <v>1884</v>
      </c>
      <c r="Y24" s="32" t="s">
        <v>1885</v>
      </c>
      <c r="Z24" s="32" t="s">
        <v>1886</v>
      </c>
      <c r="AA24" s="33" t="s">
        <v>1887</v>
      </c>
      <c r="AB24" s="29" t="s">
        <v>1888</v>
      </c>
      <c r="AC24" s="32" t="s">
        <v>1889</v>
      </c>
      <c r="AD24" s="32" t="s">
        <v>1890</v>
      </c>
      <c r="AE24" s="32" t="s">
        <v>1891</v>
      </c>
      <c r="AF24" s="32" t="s">
        <v>1892</v>
      </c>
      <c r="AG24" s="33" t="s">
        <v>1893</v>
      </c>
      <c r="AH24" s="38" t="s">
        <v>1894</v>
      </c>
      <c r="AI24" s="32" t="s">
        <v>1895</v>
      </c>
      <c r="AJ24" s="32" t="s">
        <v>1896</v>
      </c>
      <c r="AK24" s="32" t="s">
        <v>1897</v>
      </c>
      <c r="AL24" s="32" t="s">
        <v>1898</v>
      </c>
      <c r="AM24" s="33" t="s">
        <v>1899</v>
      </c>
      <c r="AN24" s="38" t="s">
        <v>1900</v>
      </c>
      <c r="AO24" s="32" t="s">
        <v>1901</v>
      </c>
      <c r="AP24" s="32" t="s">
        <v>1902</v>
      </c>
      <c r="AQ24" s="32" t="s">
        <v>1903</v>
      </c>
      <c r="AR24" s="32" t="s">
        <v>1904</v>
      </c>
      <c r="AS24" s="33" t="s">
        <v>1905</v>
      </c>
      <c r="AT24" s="38" t="s">
        <v>1906</v>
      </c>
      <c r="AU24" s="32" t="s">
        <v>1907</v>
      </c>
      <c r="AV24" s="32" t="s">
        <v>1908</v>
      </c>
      <c r="AW24" s="32" t="s">
        <v>1909</v>
      </c>
      <c r="AX24" s="32" t="s">
        <v>1910</v>
      </c>
      <c r="AY24" s="33" t="s">
        <v>1911</v>
      </c>
      <c r="AZ24" s="15" t="s">
        <v>1912</v>
      </c>
      <c r="BA24" s="37">
        <f>IFERROR(VLOOKUP(AZ24,'Module Items'!$A$1:$B$2587,2,FALSE),"")</f>
        <v>83749</v>
      </c>
      <c r="BB24" s="44">
        <f>IFERROR(VLOOKUP(AZ24,'Monthly Line Picks'!$A$1:$D$2000,4,FALSE),"0")</f>
        <v>2</v>
      </c>
      <c r="BC24" s="47" t="s">
        <v>1913</v>
      </c>
      <c r="BD24" s="37">
        <f>IFERROR(VLOOKUP(BC24,'Module Items'!$A$1:$B$2587,2,FALSE),"")</f>
        <v>141071</v>
      </c>
      <c r="BE24" s="44">
        <f>IFERROR(VLOOKUP(BC24,'Monthly Line Picks'!$A$1:$D$2000,4,FALSE),"0")</f>
        <v>7</v>
      </c>
      <c r="BF24" s="47" t="s">
        <v>1914</v>
      </c>
      <c r="BG24" s="37">
        <f>IFERROR(VLOOKUP(BF24,'Module Items'!$A$1:$B$2587,2,FALSE),"")</f>
        <v>12449</v>
      </c>
      <c r="BH24" s="44">
        <f>IFERROR(VLOOKUP(BF24,'Monthly Line Picks'!$A$1:$D$2000,4,FALSE),"0")</f>
        <v>2</v>
      </c>
      <c r="BI24" s="47" t="s">
        <v>1915</v>
      </c>
      <c r="BJ24" s="37">
        <f>IFERROR(VLOOKUP(BI24,'Module Items'!$A$1:$B$2587,2,FALSE),"")</f>
        <v>5837</v>
      </c>
      <c r="BK24" s="44">
        <f>IFERROR(VLOOKUP(BI24,'Monthly Line Picks'!$A$1:$D$2000,4,FALSE),"0")</f>
        <v>13</v>
      </c>
      <c r="BL24" s="47" t="s">
        <v>1916</v>
      </c>
      <c r="BM24" s="37">
        <f>IFERROR(VLOOKUP(BL24,'Module Items'!$A$1:$B$2587,2,FALSE),"")</f>
        <v>117067</v>
      </c>
      <c r="BN24" s="44">
        <f>IFERROR(VLOOKUP(BL24,'Monthly Line Picks'!$A$1:$D$2000,4,FALSE),"0")</f>
        <v>2</v>
      </c>
      <c r="BO24" s="47" t="s">
        <v>1917</v>
      </c>
      <c r="BP24" s="37">
        <f>IFERROR(VLOOKUP(BO24,'Module Items'!$A$1:$B$2587,2,FALSE),"")</f>
        <v>141072</v>
      </c>
      <c r="BQ24" s="44">
        <f>IFERROR(VLOOKUP(BO24,'Monthly Line Picks'!$A$1:$D$2000,4,FALSE),"0")</f>
        <v>5</v>
      </c>
      <c r="BR24" s="237"/>
      <c r="BS24" s="237"/>
      <c r="BT24" s="238"/>
      <c r="BU24" s="32" t="s">
        <v>1918</v>
      </c>
      <c r="BV24" s="32" t="s">
        <v>1919</v>
      </c>
      <c r="BW24" s="33" t="s">
        <v>1920</v>
      </c>
      <c r="BX24" s="38" t="s">
        <v>1921</v>
      </c>
      <c r="BY24" s="32" t="s">
        <v>1922</v>
      </c>
      <c r="BZ24" s="32" t="s">
        <v>1923</v>
      </c>
      <c r="CA24" s="32" t="s">
        <v>1924</v>
      </c>
      <c r="CB24" s="32" t="s">
        <v>1925</v>
      </c>
      <c r="CC24" s="33" t="s">
        <v>1926</v>
      </c>
      <c r="CD24" s="38" t="s">
        <v>1927</v>
      </c>
      <c r="CE24" s="32" t="s">
        <v>1928</v>
      </c>
      <c r="CF24" s="32" t="s">
        <v>1929</v>
      </c>
      <c r="CG24" s="32" t="s">
        <v>1930</v>
      </c>
      <c r="CH24" s="32" t="s">
        <v>1931</v>
      </c>
      <c r="CI24" s="33" t="s">
        <v>1932</v>
      </c>
      <c r="CJ24" s="38" t="s">
        <v>1933</v>
      </c>
      <c r="CK24" s="32" t="s">
        <v>1934</v>
      </c>
      <c r="CL24" s="32" t="s">
        <v>1935</v>
      </c>
      <c r="CM24" s="32" t="s">
        <v>1936</v>
      </c>
      <c r="CN24" s="32" t="s">
        <v>1937</v>
      </c>
      <c r="CO24" s="35" t="s">
        <v>1938</v>
      </c>
      <c r="CP24" s="38" t="s">
        <v>1939</v>
      </c>
      <c r="CQ24" s="32" t="s">
        <v>1940</v>
      </c>
      <c r="CR24" s="32" t="s">
        <v>1941</v>
      </c>
      <c r="CS24" s="32" t="s">
        <v>1942</v>
      </c>
      <c r="CT24" s="32" t="s">
        <v>1943</v>
      </c>
      <c r="CU24" s="33" t="s">
        <v>1944</v>
      </c>
      <c r="CV24" s="29" t="s">
        <v>1945</v>
      </c>
      <c r="CW24" s="32" t="s">
        <v>1946</v>
      </c>
      <c r="CX24" s="32" t="s">
        <v>1947</v>
      </c>
      <c r="CY24" s="32" t="s">
        <v>1948</v>
      </c>
      <c r="CZ24" s="32" t="s">
        <v>1949</v>
      </c>
      <c r="DA24" s="33" t="s">
        <v>1950</v>
      </c>
      <c r="DB24" s="55" t="s">
        <v>1951</v>
      </c>
      <c r="DC24" s="37">
        <f>IFERROR(VLOOKUP(DB24,'Module Items'!$A$1:$B$2587,2,FALSE),"")</f>
        <v>76826</v>
      </c>
      <c r="DD24" s="44">
        <f>IFERROR(VLOOKUP(DB24,'Monthly Line Picks'!$A$1:$D$2000,4,FALSE),"0")</f>
        <v>2</v>
      </c>
      <c r="DE24" s="50" t="s">
        <v>1952</v>
      </c>
      <c r="DF24" s="37">
        <f>IFERROR(VLOOKUP(DE24,'Module Items'!$A$1:$B$2587,2,FALSE),"")</f>
        <v>140924</v>
      </c>
      <c r="DG24" s="44">
        <f>IFERROR(VLOOKUP(DE24,'Monthly Line Picks'!$A$1:$D$2000,4,FALSE),"0")</f>
        <v>3</v>
      </c>
      <c r="DH24" s="50" t="s">
        <v>1953</v>
      </c>
      <c r="DI24" s="37">
        <f>IFERROR(VLOOKUP(DH24,'Module Items'!$A$1:$B$2587,2,FALSE),"")</f>
        <v>96256</v>
      </c>
      <c r="DJ24" s="44">
        <f>IFERROR(VLOOKUP(DH24,'Monthly Line Picks'!$A$1:$D$2000,4,FALSE),"0")</f>
        <v>3</v>
      </c>
      <c r="DK24" s="50" t="s">
        <v>1954</v>
      </c>
      <c r="DL24" s="37">
        <f>IFERROR(VLOOKUP(DK24,'Module Items'!$A$1:$B$2587,2,FALSE),"")</f>
        <v>108485</v>
      </c>
      <c r="DM24" s="44">
        <f>IFERROR(VLOOKUP(DK24,'Monthly Line Picks'!$A$1:$D$2000,4,FALSE),"0")</f>
        <v>14</v>
      </c>
      <c r="DN24" s="51" t="s">
        <v>1955</v>
      </c>
      <c r="DO24" s="37">
        <f>IFERROR(VLOOKUP(DN24,'Module Items'!$A$1:$B$2587,2,FALSE),"")</f>
        <v>2485</v>
      </c>
      <c r="DP24" s="44">
        <f>IFERROR(VLOOKUP(DN24,'Monthly Line Picks'!$A$1:$D$2000,4,FALSE),"0")</f>
        <v>2</v>
      </c>
      <c r="DQ24" s="52" t="s">
        <v>1956</v>
      </c>
      <c r="DR24" s="37">
        <f>IFERROR(VLOOKUP(DQ24,'Module Items'!$A$1:$B$2587,2,FALSE),"")</f>
        <v>7291</v>
      </c>
      <c r="DS24" s="44">
        <f>IFERROR(VLOOKUP(DQ24,'Monthly Line Picks'!$A$1:$D$2000,4,FALSE),"0")</f>
        <v>4</v>
      </c>
      <c r="DT24" s="200"/>
      <c r="DU24" s="201"/>
      <c r="DV24" s="201"/>
      <c r="DW24" s="240"/>
    </row>
    <row r="25" spans="2:127" ht="15.95" thickTop="1"/>
    <row r="27" spans="2:127" ht="15.95" thickBot="1"/>
    <row r="28" spans="2:127" ht="45">
      <c r="T28" s="172" t="s">
        <v>649</v>
      </c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4"/>
      <c r="AR28" s="172" t="s">
        <v>1318</v>
      </c>
      <c r="AS28" s="173"/>
      <c r="AT28" s="173"/>
      <c r="AU28" s="173"/>
      <c r="AV28" s="173"/>
      <c r="AW28" s="173"/>
      <c r="AX28" s="173"/>
      <c r="AY28" s="173"/>
      <c r="AZ28" s="173"/>
      <c r="BA28" s="173"/>
      <c r="BB28" s="173"/>
      <c r="BC28" s="173"/>
      <c r="BD28" s="173"/>
      <c r="BE28" s="173"/>
      <c r="BF28" s="173"/>
      <c r="BG28" s="173"/>
      <c r="BH28" s="173"/>
      <c r="BI28" s="174"/>
      <c r="BJ28" s="103"/>
      <c r="BK28" s="103"/>
      <c r="BV28" s="172" t="s">
        <v>649</v>
      </c>
      <c r="BW28" s="173"/>
      <c r="BX28" s="173"/>
      <c r="BY28" s="173"/>
      <c r="BZ28" s="173"/>
      <c r="CA28" s="173"/>
      <c r="CB28" s="173"/>
      <c r="CC28" s="173"/>
      <c r="CD28" s="173"/>
      <c r="CE28" s="173"/>
      <c r="CF28" s="173"/>
      <c r="CG28" s="173"/>
      <c r="CH28" s="173"/>
      <c r="CI28" s="173"/>
      <c r="CJ28" s="173"/>
      <c r="CK28" s="173"/>
      <c r="CL28" s="173"/>
      <c r="CM28" s="174"/>
    </row>
    <row r="29" spans="2:127" ht="45.95" thickBot="1">
      <c r="T29" s="175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7"/>
      <c r="AR29" s="175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7"/>
      <c r="BJ29" s="103"/>
      <c r="BK29" s="103"/>
      <c r="BV29" s="175"/>
      <c r="BW29" s="176"/>
      <c r="BX29" s="176"/>
      <c r="BY29" s="176"/>
      <c r="BZ29" s="176"/>
      <c r="CA29" s="176"/>
      <c r="CB29" s="176"/>
      <c r="CC29" s="176"/>
      <c r="CD29" s="176"/>
      <c r="CE29" s="176"/>
      <c r="CF29" s="176"/>
      <c r="CG29" s="176"/>
      <c r="CH29" s="176"/>
      <c r="CI29" s="176"/>
      <c r="CJ29" s="176"/>
      <c r="CK29" s="176"/>
      <c r="CL29" s="176"/>
      <c r="CM29" s="177"/>
    </row>
    <row r="30" spans="2:127" ht="15.95" thickBot="1"/>
    <row r="31" spans="2:127" ht="15.95" thickBot="1">
      <c r="J31" s="44" t="s">
        <v>1957</v>
      </c>
      <c r="K31" s="37">
        <f>IFERROR(VLOOKUP(J31,'Module Items'!$A$1:$B$2587,2,FALSE),"")</f>
        <v>134099</v>
      </c>
      <c r="L31" s="44">
        <f>IFERROR(VLOOKUP(J31,'Monthly Line Picks'!$A$1:$D$2000,4,FALSE),"0")</f>
        <v>3</v>
      </c>
      <c r="M31" s="42" t="s">
        <v>1958</v>
      </c>
      <c r="N31" s="37">
        <f>IFERROR(VLOOKUP(M31,'Module Items'!$A$1:$B$2587,2,FALSE),"")</f>
        <v>173387</v>
      </c>
      <c r="O31" s="44">
        <f>IFERROR(VLOOKUP(M31,'Monthly Line Picks'!$A$1:$D$2000,4,FALSE),"0")</f>
        <v>29</v>
      </c>
      <c r="P31" s="42" t="s">
        <v>1959</v>
      </c>
      <c r="Q31" s="37">
        <f>IFERROR(VLOOKUP(P31,'Module Items'!$A$1:$B$2587,2,FALSE),"")</f>
        <v>9384</v>
      </c>
      <c r="R31" s="44">
        <f>IFERROR(VLOOKUP(P31,'Monthly Line Picks'!$A$1:$D$2000,4,FALSE),"0")</f>
        <v>3</v>
      </c>
      <c r="S31" s="42" t="s">
        <v>1960</v>
      </c>
      <c r="T31" s="37">
        <f>IFERROR(VLOOKUP(S31,'Module Items'!$A$1:$B$2587,2,FALSE),"")</f>
        <v>160091</v>
      </c>
      <c r="U31" s="44">
        <f>IFERROR(VLOOKUP(S31,'Monthly Line Picks'!$A$1:$D$2000,4,FALSE),"0")</f>
        <v>9</v>
      </c>
      <c r="V31" s="42" t="s">
        <v>1961</v>
      </c>
      <c r="W31" s="37">
        <f>IFERROR(VLOOKUP(V31,'Module Items'!$A$1:$B$2587,2,FALSE),"")</f>
        <v>20674</v>
      </c>
      <c r="X31" s="44">
        <f>IFERROR(VLOOKUP(V31,'Monthly Line Picks'!$A$1:$D$2000,4,FALSE),"0")</f>
        <v>10</v>
      </c>
      <c r="Y31" s="45" t="s">
        <v>1962</v>
      </c>
      <c r="Z31" s="37">
        <f>IFERROR(VLOOKUP(Y31,'Module Items'!$A$1:$B$2587,2,FALSE),"")</f>
        <v>87602</v>
      </c>
      <c r="AA31" s="44">
        <f>IFERROR(VLOOKUP(Y31,'Monthly Line Picks'!$A$1:$D$2000,4,FALSE),"0")</f>
        <v>19</v>
      </c>
      <c r="AB31" s="36" t="s">
        <v>1963</v>
      </c>
      <c r="AC31" s="26" t="s">
        <v>1964</v>
      </c>
      <c r="AD31" s="26" t="s">
        <v>1965</v>
      </c>
      <c r="AE31" s="26" t="s">
        <v>1966</v>
      </c>
      <c r="AF31" s="227" t="s">
        <v>13</v>
      </c>
      <c r="AG31" s="27" t="s">
        <v>1967</v>
      </c>
      <c r="AH31" s="36" t="s">
        <v>1968</v>
      </c>
      <c r="AI31" s="26" t="s">
        <v>1969</v>
      </c>
      <c r="AJ31" s="26" t="s">
        <v>1970</v>
      </c>
      <c r="AK31" s="26" t="s">
        <v>1971</v>
      </c>
      <c r="AL31" s="26" t="s">
        <v>1972</v>
      </c>
      <c r="AM31" s="27" t="s">
        <v>1973</v>
      </c>
      <c r="AN31" s="36" t="s">
        <v>1974</v>
      </c>
      <c r="AO31" s="26" t="s">
        <v>1975</v>
      </c>
      <c r="AP31" s="26" t="s">
        <v>1976</v>
      </c>
      <c r="AQ31" s="26" t="s">
        <v>1977</v>
      </c>
      <c r="AR31" s="26" t="s">
        <v>1978</v>
      </c>
      <c r="AS31" s="27" t="s">
        <v>1979</v>
      </c>
      <c r="AT31" s="36" t="s">
        <v>1980</v>
      </c>
      <c r="AU31" s="26" t="s">
        <v>1981</v>
      </c>
      <c r="AV31" s="26" t="s">
        <v>1982</v>
      </c>
      <c r="AW31" s="26" t="s">
        <v>1983</v>
      </c>
      <c r="AX31" s="26" t="s">
        <v>1984</v>
      </c>
      <c r="AY31" s="34" t="s">
        <v>1985</v>
      </c>
      <c r="AZ31" s="36" t="s">
        <v>1986</v>
      </c>
      <c r="BA31" s="26" t="s">
        <v>1987</v>
      </c>
      <c r="BB31" s="26" t="s">
        <v>1988</v>
      </c>
      <c r="BC31" s="26" t="s">
        <v>1989</v>
      </c>
      <c r="BD31" s="26" t="s">
        <v>1990</v>
      </c>
      <c r="BE31" s="27" t="s">
        <v>1991</v>
      </c>
      <c r="BF31" s="36" t="s">
        <v>1992</v>
      </c>
      <c r="BG31" s="26" t="s">
        <v>1993</v>
      </c>
      <c r="BH31" s="26" t="s">
        <v>1994</v>
      </c>
      <c r="BI31" s="26" t="s">
        <v>1995</v>
      </c>
      <c r="BJ31" s="26" t="s">
        <v>1996</v>
      </c>
      <c r="BK31" s="27" t="s">
        <v>1997</v>
      </c>
      <c r="BL31" s="15" t="s">
        <v>1998</v>
      </c>
      <c r="BM31" s="37">
        <f>IFERROR(VLOOKUP(BL31,'Module Items'!$A$1:$B$2587,2,FALSE),"")</f>
        <v>112686</v>
      </c>
      <c r="BN31" s="44">
        <f>IFERROR(VLOOKUP(BL31,'Monthly Line Picks'!$A$1:$D$2000,4,FALSE),"0")</f>
        <v>6</v>
      </c>
      <c r="BO31" s="47" t="s">
        <v>1999</v>
      </c>
      <c r="BP31" s="37">
        <f>IFERROR(VLOOKUP(BO31,'Module Items'!$A$1:$B$2587,2,FALSE),"")</f>
        <v>34</v>
      </c>
      <c r="BQ31" s="44">
        <f>IFERROR(VLOOKUP(BO31,'Monthly Line Picks'!$A$1:$D$2000,4,FALSE),"0")</f>
        <v>22</v>
      </c>
      <c r="BR31" s="47" t="s">
        <v>2000</v>
      </c>
      <c r="BS31" s="37">
        <f>IFERROR(VLOOKUP(BR31,'Module Items'!$A$1:$B$2587,2,FALSE),"")</f>
        <v>114950</v>
      </c>
      <c r="BT31" s="44">
        <f>IFERROR(VLOOKUP(BR31,'Monthly Line Picks'!$A$1:$D$2000,4,FALSE),"0")</f>
        <v>20</v>
      </c>
      <c r="BU31" s="47" t="s">
        <v>2001</v>
      </c>
      <c r="BV31" s="37">
        <f>IFERROR(VLOOKUP(BU31,'Module Items'!$A$1:$B$2587,2,FALSE),"")</f>
        <v>1931</v>
      </c>
      <c r="BW31" s="44">
        <f>IFERROR(VLOOKUP(BU31,'Monthly Line Picks'!$A$1:$D$2000,4,FALSE),"0")</f>
        <v>4</v>
      </c>
      <c r="BX31" s="47" t="s">
        <v>2002</v>
      </c>
      <c r="BY31" s="37">
        <f>IFERROR(VLOOKUP(BX31,'Module Items'!$A$1:$B$2587,2,FALSE),"")</f>
        <v>35162</v>
      </c>
      <c r="BZ31" s="44">
        <f>IFERROR(VLOOKUP(BX31,'Monthly Line Picks'!$A$1:$D$2000,4,FALSE),"0")</f>
        <v>7</v>
      </c>
      <c r="CA31" s="47" t="s">
        <v>2003</v>
      </c>
      <c r="CB31" s="37" t="str">
        <f>IFERROR(VLOOKUP(CA31,'Module Items'!$A$1:$B$2587,2,FALSE),"")</f>
        <v/>
      </c>
      <c r="CC31" s="44" t="str">
        <f>IFERROR(VLOOKUP(CA31,'Monthly Line Picks'!$A$1:$D$2000,4,FALSE),"0")</f>
        <v>0</v>
      </c>
      <c r="CD31" s="179" t="s">
        <v>13</v>
      </c>
      <c r="CE31" s="179"/>
      <c r="CF31" s="179"/>
      <c r="CG31" s="36" t="s">
        <v>2004</v>
      </c>
      <c r="CH31" s="26" t="s">
        <v>2005</v>
      </c>
      <c r="CI31" s="27" t="s">
        <v>2006</v>
      </c>
      <c r="CJ31" s="36" t="s">
        <v>2007</v>
      </c>
      <c r="CK31" s="26" t="s">
        <v>2008</v>
      </c>
      <c r="CL31" s="26" t="s">
        <v>2009</v>
      </c>
      <c r="CM31" s="26" t="s">
        <v>2010</v>
      </c>
      <c r="CN31" s="26" t="s">
        <v>2011</v>
      </c>
      <c r="CO31" s="27" t="s">
        <v>2012</v>
      </c>
      <c r="CP31" s="36" t="s">
        <v>2013</v>
      </c>
      <c r="CQ31" s="26" t="s">
        <v>2014</v>
      </c>
      <c r="CR31" s="26" t="s">
        <v>2015</v>
      </c>
      <c r="CS31" s="26" t="s">
        <v>2016</v>
      </c>
      <c r="CT31" s="26" t="s">
        <v>2017</v>
      </c>
      <c r="CU31" s="27" t="s">
        <v>2018</v>
      </c>
      <c r="CV31" s="36" t="s">
        <v>2019</v>
      </c>
      <c r="CW31" s="26" t="s">
        <v>2020</v>
      </c>
      <c r="CX31" s="26" t="s">
        <v>2021</v>
      </c>
      <c r="CY31" s="26" t="s">
        <v>2022</v>
      </c>
      <c r="CZ31" s="26" t="s">
        <v>2023</v>
      </c>
      <c r="DA31" s="27" t="s">
        <v>2024</v>
      </c>
      <c r="DB31" s="36" t="s">
        <v>2025</v>
      </c>
      <c r="DC31" s="26" t="s">
        <v>2026</v>
      </c>
      <c r="DD31" s="26" t="s">
        <v>2027</v>
      </c>
      <c r="DE31" s="26" t="s">
        <v>2028</v>
      </c>
      <c r="DF31" s="26" t="s">
        <v>2029</v>
      </c>
      <c r="DG31" s="27" t="s">
        <v>2030</v>
      </c>
      <c r="DH31" s="36" t="s">
        <v>2031</v>
      </c>
      <c r="DI31" s="26" t="s">
        <v>2032</v>
      </c>
      <c r="DJ31" s="26" t="s">
        <v>2033</v>
      </c>
      <c r="DK31" s="26" t="s">
        <v>2034</v>
      </c>
      <c r="DL31" s="27" t="s">
        <v>2035</v>
      </c>
      <c r="DM31" s="36" t="s">
        <v>2036</v>
      </c>
      <c r="DN31" s="26" t="s">
        <v>2037</v>
      </c>
      <c r="DO31" s="26" t="s">
        <v>2038</v>
      </c>
      <c r="DP31" s="26" t="s">
        <v>2039</v>
      </c>
      <c r="DQ31" s="27" t="s">
        <v>2040</v>
      </c>
      <c r="DR31" s="180" t="s">
        <v>13</v>
      </c>
      <c r="DS31" s="27" t="s">
        <v>2041</v>
      </c>
    </row>
    <row r="32" spans="2:127" ht="15.95" thickBot="1">
      <c r="J32" s="56" t="s">
        <v>2042</v>
      </c>
      <c r="K32" s="37">
        <f>IFERROR(VLOOKUP(J32,'Module Items'!$A$1:$B$2587,2,FALSE),"")</f>
        <v>115226</v>
      </c>
      <c r="L32" s="44">
        <f>IFERROR(VLOOKUP(J32,'Monthly Line Picks'!$A$1:$D$2000,4,FALSE),"0")</f>
        <v>5</v>
      </c>
      <c r="M32" s="47" t="s">
        <v>2043</v>
      </c>
      <c r="N32" s="37">
        <f>IFERROR(VLOOKUP(M32,'Module Items'!$A$1:$B$2587,2,FALSE),"")</f>
        <v>126071</v>
      </c>
      <c r="O32" s="44" t="str">
        <f>IFERROR(VLOOKUP(M32,'Monthly Line Picks'!$A$1:$D$2000,4,FALSE),"0")</f>
        <v>0</v>
      </c>
      <c r="P32" s="47" t="s">
        <v>2044</v>
      </c>
      <c r="Q32" s="37">
        <f>IFERROR(VLOOKUP(P32,'Module Items'!$A$1:$B$2587,2,FALSE),"")</f>
        <v>177146</v>
      </c>
      <c r="R32" s="44" t="str">
        <f>IFERROR(VLOOKUP(P32,'Monthly Line Picks'!$A$1:$D$2000,4,FALSE),"0")</f>
        <v>0</v>
      </c>
      <c r="S32" s="47" t="s">
        <v>2045</v>
      </c>
      <c r="T32" s="37">
        <f>IFERROR(VLOOKUP(S32,'Module Items'!$A$1:$B$2587,2,FALSE),"")</f>
        <v>157248</v>
      </c>
      <c r="U32" s="44">
        <f>IFERROR(VLOOKUP(S32,'Monthly Line Picks'!$A$1:$D$2000,4,FALSE),"0")</f>
        <v>6</v>
      </c>
      <c r="V32" s="47" t="s">
        <v>2046</v>
      </c>
      <c r="W32" s="37">
        <f>IFERROR(VLOOKUP(V32,'Module Items'!$A$1:$B$2587,2,FALSE),"")</f>
        <v>157242</v>
      </c>
      <c r="X32" s="44">
        <f>IFERROR(VLOOKUP(V32,'Monthly Line Picks'!$A$1:$D$2000,4,FALSE),"0")</f>
        <v>7</v>
      </c>
      <c r="Y32" s="57" t="s">
        <v>2047</v>
      </c>
      <c r="Z32" s="37">
        <f>IFERROR(VLOOKUP(Y32,'Module Items'!$A$1:$B$2587,2,FALSE),"")</f>
        <v>19649</v>
      </c>
      <c r="AA32" s="44" t="str">
        <f>IFERROR(VLOOKUP(Y32,'Monthly Line Picks'!$A$1:$D$2000,4,FALSE),"0")</f>
        <v>0</v>
      </c>
      <c r="AB32" s="37">
        <f>IFERROR(VLOOKUP(AB31,'Module Items'!$A$1:$B$2587,2,FALSE),"")</f>
        <v>124994</v>
      </c>
      <c r="AC32" s="13">
        <f>IFERROR(VLOOKUP(AC31,'Module Items'!$A$1:$B$2587,2,FALSE),"")</f>
        <v>113615</v>
      </c>
      <c r="AD32" s="13">
        <f>IFERROR(VLOOKUP(AD31,'Module Items'!$A$1:$B$2587,2,FALSE),"")</f>
        <v>105219</v>
      </c>
      <c r="AE32" s="13">
        <f>IFERROR(VLOOKUP(AE31,'Module Items'!$A$1:$B$2587,2,FALSE),"")</f>
        <v>138617</v>
      </c>
      <c r="AF32" s="228"/>
      <c r="AG32" s="108">
        <f>IFERROR(VLOOKUP(AG31,'Module Items'!$A$1:$B$2587,2,FALSE),"")</f>
        <v>156825</v>
      </c>
      <c r="AH32" s="37">
        <f>IFERROR(VLOOKUP(AH31,'Module Items'!$A$1:$B$2587,2,FALSE),"")</f>
        <v>159176</v>
      </c>
      <c r="AI32" s="13">
        <f>IFERROR(VLOOKUP(AI31,'Module Items'!$A$1:$B$2587,2,FALSE),"")</f>
        <v>90149</v>
      </c>
      <c r="AJ32" s="13">
        <f>IFERROR(VLOOKUP(AJ31,'Module Items'!$A$1:$B$2587,2,FALSE),"")</f>
        <v>142655</v>
      </c>
      <c r="AK32" s="13">
        <f>IFERROR(VLOOKUP(AK31,'Module Items'!$A$1:$B$2587,2,FALSE),"")</f>
        <v>110816</v>
      </c>
      <c r="AL32" s="13" t="str">
        <f>IFERROR(VLOOKUP(AL31,'Module Items'!$A$1:$B$2587,2,FALSE),"")</f>
        <v>OPEN</v>
      </c>
      <c r="AM32" s="108" t="str">
        <f>IFERROR(VLOOKUP(AM31,'Module Items'!$A$1:$B$2587,2,FALSE),"")</f>
        <v>OPEN</v>
      </c>
      <c r="AN32" s="37">
        <f>IFERROR(VLOOKUP(AN31,'Module Items'!$A$1:$B$2587,2,FALSE),"")</f>
        <v>159053</v>
      </c>
      <c r="AO32" s="13">
        <f>IFERROR(VLOOKUP(AO31,'Module Items'!$A$1:$B$2587,2,FALSE),"")</f>
        <v>278</v>
      </c>
      <c r="AP32" s="13">
        <f>IFERROR(VLOOKUP(AP31,'Module Items'!$A$1:$B$2587,2,FALSE),"")</f>
        <v>127255</v>
      </c>
      <c r="AQ32" s="13">
        <f>IFERROR(VLOOKUP(AQ31,'Module Items'!$A$1:$B$2587,2,FALSE),"")</f>
        <v>117127</v>
      </c>
      <c r="AR32" s="13">
        <f>IFERROR(VLOOKUP(AR31,'Module Items'!$A$1:$B$2587,2,FALSE),"")</f>
        <v>138404</v>
      </c>
      <c r="AS32" s="108" t="str">
        <f>IFERROR(VLOOKUP(AS31,'Module Items'!$A$1:$B$2587,2,FALSE),"")</f>
        <v>OPEN</v>
      </c>
      <c r="AT32" s="37">
        <f>IFERROR(VLOOKUP(AT31,'Module Items'!$A$1:$B$2587,2,FALSE),"")</f>
        <v>14485</v>
      </c>
      <c r="AU32" s="13">
        <f>IFERROR(VLOOKUP(AU31,'Module Items'!$A$1:$B$2587,2,FALSE),"")</f>
        <v>132699</v>
      </c>
      <c r="AV32" s="13">
        <f>IFERROR(VLOOKUP(AV31,'Module Items'!$A$1:$B$2587,2,FALSE),"")</f>
        <v>13542</v>
      </c>
      <c r="AW32" s="13">
        <f>IFERROR(VLOOKUP(AW31,'Module Items'!$A$1:$B$2587,2,FALSE),"")</f>
        <v>84017</v>
      </c>
      <c r="AX32" s="13">
        <f>IFERROR(VLOOKUP(AX31,'Module Items'!$A$1:$B$2587,2,FALSE),"")</f>
        <v>124932</v>
      </c>
      <c r="AY32" s="11">
        <f>IFERROR(VLOOKUP(AY31,'Module Items'!$A$1:$B$2587,2,FALSE),"")</f>
        <v>110872</v>
      </c>
      <c r="AZ32" s="37">
        <f>IFERROR(VLOOKUP(AZ31,'Module Items'!$A$1:$B$2587,2,FALSE),"")</f>
        <v>2698</v>
      </c>
      <c r="BA32" s="13">
        <f>IFERROR(VLOOKUP(BA31,'Module Items'!$A$1:$B$2587,2,FALSE),"")</f>
        <v>178450</v>
      </c>
      <c r="BB32" s="13">
        <f>IFERROR(VLOOKUP(BB31,'Module Items'!$A$1:$B$2587,2,FALSE),"")</f>
        <v>107899</v>
      </c>
      <c r="BC32" s="13">
        <f>IFERROR(VLOOKUP(BC31,'Module Items'!$A$1:$B$2587,2,FALSE),"")</f>
        <v>472</v>
      </c>
      <c r="BD32" s="13">
        <f>IFERROR(VLOOKUP(BD31,'Module Items'!$A$1:$B$2587,2,FALSE),"")</f>
        <v>74241</v>
      </c>
      <c r="BE32" s="108">
        <f>IFERROR(VLOOKUP(BE31,'Module Items'!$A$1:$B$2587,2,FALSE),"")</f>
        <v>92080</v>
      </c>
      <c r="BF32" s="37">
        <f>IFERROR(VLOOKUP(BF31,'Module Items'!$A$1:$B$2587,2,FALSE),"")</f>
        <v>58569</v>
      </c>
      <c r="BG32" s="13">
        <f>IFERROR(VLOOKUP(BG31,'Module Items'!$A$1:$B$2587,2,FALSE),"")</f>
        <v>121693</v>
      </c>
      <c r="BH32" s="13">
        <f>IFERROR(VLOOKUP(BH31,'Module Items'!$A$1:$B$2587,2,FALSE),"")</f>
        <v>7634</v>
      </c>
      <c r="BI32" s="13">
        <f>IFERROR(VLOOKUP(BI31,'Module Items'!$A$1:$B$2587,2,FALSE),"")</f>
        <v>119962</v>
      </c>
      <c r="BJ32" s="13">
        <f>IFERROR(VLOOKUP(BJ31,'Module Items'!$A$1:$B$2587,2,FALSE),"")</f>
        <v>24156</v>
      </c>
      <c r="BK32" s="108">
        <f>IFERROR(VLOOKUP(BK31,'Module Items'!$A$1:$B$2587,2,FALSE),"")</f>
        <v>116951</v>
      </c>
      <c r="BL32" s="15" t="s">
        <v>2048</v>
      </c>
      <c r="BM32" s="37" t="str">
        <f>IFERROR(VLOOKUP(BL32,'Module Items'!$A$1:$B$2587,2,FALSE),"")</f>
        <v/>
      </c>
      <c r="BN32" s="44" t="str">
        <f>IFERROR(VLOOKUP(BL32,'Monthly Line Picks'!$A$1:$D$2000,4,FALSE),"0")</f>
        <v>0</v>
      </c>
      <c r="BO32" s="47" t="s">
        <v>2049</v>
      </c>
      <c r="BP32" s="37">
        <f>IFERROR(VLOOKUP(BO32,'Module Items'!$A$1:$B$2587,2,FALSE),"")</f>
        <v>156867</v>
      </c>
      <c r="BQ32" s="44">
        <f>IFERROR(VLOOKUP(BO32,'Monthly Line Picks'!$A$1:$D$2000,4,FALSE),"0")</f>
        <v>56</v>
      </c>
      <c r="BR32" s="47" t="s">
        <v>2050</v>
      </c>
      <c r="BS32" s="37">
        <f>IFERROR(VLOOKUP(BR32,'Module Items'!$A$1:$B$2587,2,FALSE),"")</f>
        <v>157041</v>
      </c>
      <c r="BT32" s="44">
        <f>IFERROR(VLOOKUP(BR32,'Monthly Line Picks'!$A$1:$D$2000,4,FALSE),"0")</f>
        <v>42</v>
      </c>
      <c r="BU32" s="47" t="s">
        <v>2051</v>
      </c>
      <c r="BV32" s="37">
        <f>IFERROR(VLOOKUP(BU32,'Module Items'!$A$1:$B$2587,2,FALSE),"")</f>
        <v>113326</v>
      </c>
      <c r="BW32" s="44">
        <f>IFERROR(VLOOKUP(BU32,'Monthly Line Picks'!$A$1:$D$2000,4,FALSE),"0")</f>
        <v>1</v>
      </c>
      <c r="BX32" s="47" t="s">
        <v>2052</v>
      </c>
      <c r="BY32" s="37">
        <f>IFERROR(VLOOKUP(BX32,'Module Items'!$A$1:$B$2587,2,FALSE),"")</f>
        <v>35254</v>
      </c>
      <c r="BZ32" s="44">
        <f>IFERROR(VLOOKUP(BX32,'Monthly Line Picks'!$A$1:$D$2000,4,FALSE),"0")</f>
        <v>9</v>
      </c>
      <c r="CA32" s="47" t="s">
        <v>2053</v>
      </c>
      <c r="CB32" s="37">
        <f>IFERROR(VLOOKUP(CA32,'Module Items'!$A$1:$B$2587,2,FALSE),"")</f>
        <v>90501</v>
      </c>
      <c r="CC32" s="44">
        <f>IFERROR(VLOOKUP(CA32,'Monthly Line Picks'!$A$1:$D$2000,4,FALSE),"0")</f>
        <v>2</v>
      </c>
      <c r="CD32" s="182"/>
      <c r="CE32" s="182"/>
      <c r="CF32" s="182"/>
      <c r="CG32" s="37">
        <f>IFERROR(VLOOKUP(CG31,'Module Items'!$A$1:$B$2587,2,FALSE),"")</f>
        <v>133777</v>
      </c>
      <c r="CH32" s="13">
        <f>IFERROR(VLOOKUP(CH31,'Module Items'!$A$1:$B$2587,2,FALSE),"")</f>
        <v>129853</v>
      </c>
      <c r="CI32" s="108">
        <f>IFERROR(VLOOKUP(CI31,'Module Items'!$A$1:$B$2587,2,FALSE),"")</f>
        <v>136454</v>
      </c>
      <c r="CJ32" s="37">
        <f>IFERROR(VLOOKUP(CJ31,'Module Items'!$A$1:$B$2587,2,FALSE),"")</f>
        <v>115194</v>
      </c>
      <c r="CK32" s="13">
        <f>IFERROR(VLOOKUP(CK31,'Module Items'!$A$1:$B$2587,2,FALSE),"")</f>
        <v>129750</v>
      </c>
      <c r="CL32" s="13">
        <f>IFERROR(VLOOKUP(CL31,'Module Items'!$A$1:$B$2587,2,FALSE),"")</f>
        <v>60043</v>
      </c>
      <c r="CM32" s="13" t="str">
        <f>IFERROR(VLOOKUP(CM31,'Module Items'!$A$1:$B$2587,2,FALSE),"")</f>
        <v>OPEN</v>
      </c>
      <c r="CN32" s="13">
        <f>IFERROR(VLOOKUP(CN31,'Module Items'!$A$1:$B$2587,2,FALSE),"")</f>
        <v>570</v>
      </c>
      <c r="CO32" s="108">
        <f>IFERROR(VLOOKUP(CO31,'Module Items'!$A$1:$B$2587,2,FALSE),"")</f>
        <v>159191</v>
      </c>
      <c r="CP32" s="37">
        <f>IFERROR(VLOOKUP(CP31,'Module Items'!$A$1:$B$2587,2,FALSE),"")</f>
        <v>37944</v>
      </c>
      <c r="CQ32" s="13" t="str">
        <f>IFERROR(VLOOKUP(CQ31,'Module Items'!$A$1:$B$2587,2,FALSE),"")</f>
        <v/>
      </c>
      <c r="CR32" s="13">
        <f>IFERROR(VLOOKUP(CR31,'Module Items'!$A$1:$B$2587,2,FALSE),"")</f>
        <v>67577</v>
      </c>
      <c r="CS32" s="13">
        <f>IFERROR(VLOOKUP(CS31,'Module Items'!$A$1:$B$2587,2,FALSE),"")</f>
        <v>12158</v>
      </c>
      <c r="CT32" s="13">
        <f>IFERROR(VLOOKUP(CT31,'Module Items'!$A$1:$B$2587,2,FALSE),"")</f>
        <v>110199</v>
      </c>
      <c r="CU32" s="108" t="str">
        <f>IFERROR(VLOOKUP(CU31,'Module Items'!$A$1:$B$2587,2,FALSE),"")</f>
        <v/>
      </c>
      <c r="CV32" s="37">
        <f>IFERROR(VLOOKUP(CV31,'Module Items'!$A$1:$B$2587,2,FALSE),"")</f>
        <v>17422</v>
      </c>
      <c r="CW32" s="13">
        <f>IFERROR(VLOOKUP(CW31,'Module Items'!$A$1:$B$2587,2,FALSE),"")</f>
        <v>86031</v>
      </c>
      <c r="CX32" s="13">
        <f>IFERROR(VLOOKUP(CX31,'Module Items'!$A$1:$B$2587,2,FALSE),"")</f>
        <v>132709</v>
      </c>
      <c r="CY32" s="13">
        <f>IFERROR(VLOOKUP(CY31,'Module Items'!$A$1:$B$2587,2,FALSE),"")</f>
        <v>142311</v>
      </c>
      <c r="CZ32" s="13" t="str">
        <f>IFERROR(VLOOKUP(CZ31,'Module Items'!$A$1:$B$2587,2,FALSE),"")</f>
        <v>OPEN</v>
      </c>
      <c r="DA32" s="108">
        <f>IFERROR(VLOOKUP(DA31,'Module Items'!$A$1:$B$2587,2,FALSE),"")</f>
        <v>79428</v>
      </c>
      <c r="DB32" s="37">
        <f>IFERROR(VLOOKUP(DB31,'Module Items'!$A$1:$B$2587,2,FALSE),"")</f>
        <v>1915</v>
      </c>
      <c r="DC32" s="13">
        <f>IFERROR(VLOOKUP(DC31,'Module Items'!$A$1:$B$2587,2,FALSE),"")</f>
        <v>56</v>
      </c>
      <c r="DD32" s="13">
        <f>IFERROR(VLOOKUP(DD31,'Module Items'!$A$1:$B$2587,2,FALSE),"")</f>
        <v>35287</v>
      </c>
      <c r="DE32" s="13">
        <f>IFERROR(VLOOKUP(DE31,'Module Items'!$A$1:$B$2587,2,FALSE),"")</f>
        <v>21591</v>
      </c>
      <c r="DF32" s="13">
        <f>IFERROR(VLOOKUP(DF31,'Module Items'!$A$1:$B$2587,2,FALSE),"")</f>
        <v>142656</v>
      </c>
      <c r="DG32" s="108">
        <f>IFERROR(VLOOKUP(DG31,'Module Items'!$A$1:$B$2587,2,FALSE),"")</f>
        <v>1435</v>
      </c>
      <c r="DH32" s="37">
        <f>IFERROR(VLOOKUP(DH31,'Module Items'!$A$1:$B$2587,2,FALSE),"")</f>
        <v>157079</v>
      </c>
      <c r="DI32" s="13">
        <f>IFERROR(VLOOKUP(DI31,'Module Items'!$A$1:$B$2587,2,FALSE),"")</f>
        <v>138846</v>
      </c>
      <c r="DJ32" s="13">
        <f>IFERROR(VLOOKUP(DJ31,'Module Items'!$A$1:$B$2587,2,FALSE),"")</f>
        <v>96319</v>
      </c>
      <c r="DK32" s="13" t="str">
        <f>IFERROR(VLOOKUP(DK31,'Module Items'!$A$1:$B$2587,2,FALSE),"")</f>
        <v/>
      </c>
      <c r="DL32" s="108">
        <f>IFERROR(VLOOKUP(DL31,'Module Items'!$A$1:$B$2587,2,FALSE),"")</f>
        <v>142590</v>
      </c>
      <c r="DM32" s="37">
        <f>IFERROR(VLOOKUP(DM31,'Module Items'!$A$1:$B$2587,2,FALSE),"")</f>
        <v>138516</v>
      </c>
      <c r="DN32" s="13" t="str">
        <f>IFERROR(VLOOKUP(DN31,'Module Items'!$A$1:$B$2587,2,FALSE),"")</f>
        <v/>
      </c>
      <c r="DO32" s="13">
        <f>IFERROR(VLOOKUP(DO31,'Module Items'!$A$1:$B$2587,2,FALSE),"")</f>
        <v>137618</v>
      </c>
      <c r="DP32" s="13">
        <f>IFERROR(VLOOKUP(DP31,'Module Items'!$A$1:$B$2587,2,FALSE),"")</f>
        <v>97707</v>
      </c>
      <c r="DQ32" s="108" t="str">
        <f>IFERROR(VLOOKUP(DQ31,'Module Items'!$A$1:$B$2587,2,FALSE),"")</f>
        <v>OPEN</v>
      </c>
      <c r="DR32" s="183"/>
      <c r="DS32" s="39">
        <f>IFERROR(VLOOKUP(DS31,'Module Items'!$A$1:$B$2587,2,FALSE),"")</f>
        <v>140671</v>
      </c>
    </row>
    <row r="33" spans="6:127" ht="15.95" thickBot="1">
      <c r="J33" s="56" t="s">
        <v>2054</v>
      </c>
      <c r="K33" s="37">
        <f>IFERROR(VLOOKUP(J33,'Module Items'!$A$1:$B$2587,2,FALSE),"")</f>
        <v>3119</v>
      </c>
      <c r="L33" s="44">
        <f>IFERROR(VLOOKUP(J33,'Monthly Line Picks'!$A$1:$D$2000,4,FALSE),"0")</f>
        <v>1</v>
      </c>
      <c r="M33" s="47" t="s">
        <v>2055</v>
      </c>
      <c r="N33" s="37">
        <f>IFERROR(VLOOKUP(M33,'Module Items'!$A$1:$B$2587,2,FALSE),"")</f>
        <v>61047</v>
      </c>
      <c r="O33" s="44">
        <f>IFERROR(VLOOKUP(M33,'Monthly Line Picks'!$A$1:$D$2000,4,FALSE),"0")</f>
        <v>4</v>
      </c>
      <c r="P33" s="47" t="s">
        <v>2056</v>
      </c>
      <c r="Q33" s="37">
        <f>IFERROR(VLOOKUP(P33,'Module Items'!$A$1:$B$2587,2,FALSE),"")</f>
        <v>109245</v>
      </c>
      <c r="R33" s="44">
        <f>IFERROR(VLOOKUP(P33,'Monthly Line Picks'!$A$1:$D$2000,4,FALSE),"0")</f>
        <v>20</v>
      </c>
      <c r="S33" s="47" t="s">
        <v>2057</v>
      </c>
      <c r="T33" s="37">
        <f>IFERROR(VLOOKUP(S33,'Module Items'!$A$1:$B$2587,2,FALSE),"")</f>
        <v>112421</v>
      </c>
      <c r="U33" s="44">
        <f>IFERROR(VLOOKUP(S33,'Monthly Line Picks'!$A$1:$D$2000,4,FALSE),"0")</f>
        <v>3</v>
      </c>
      <c r="V33" s="47" t="s">
        <v>2058</v>
      </c>
      <c r="W33" s="37">
        <f>IFERROR(VLOOKUP(V33,'Module Items'!$A$1:$B$2587,2,FALSE),"")</f>
        <v>8592</v>
      </c>
      <c r="X33" s="44" t="str">
        <f>IFERROR(VLOOKUP(V33,'Monthly Line Picks'!$A$1:$D$2000,4,FALSE),"0")</f>
        <v>0</v>
      </c>
      <c r="Y33" s="57" t="s">
        <v>2059</v>
      </c>
      <c r="Z33" s="37">
        <f>IFERROR(VLOOKUP(Y33,'Module Items'!$A$1:$B$2587,2,FALSE),"")</f>
        <v>124950</v>
      </c>
      <c r="AA33" s="44">
        <f>IFERROR(VLOOKUP(Y33,'Monthly Line Picks'!$A$1:$D$2000,4,FALSE),"0")</f>
        <v>4</v>
      </c>
      <c r="AB33" s="56">
        <f>IFERROR(VLOOKUP(AB31,'Monthly Line Picks'!$A$1:$D$2101,4,FALSE),"0")</f>
        <v>173</v>
      </c>
      <c r="AC33" s="47">
        <f>IFERROR(VLOOKUP(AC31,'Monthly Line Picks'!$A$1:$D$2101,4,FALSE),"0")</f>
        <v>328</v>
      </c>
      <c r="AD33" s="47">
        <f>IFERROR(VLOOKUP(AD31,'Monthly Line Picks'!$A$1:$D$2101,4,FALSE),"0")</f>
        <v>112</v>
      </c>
      <c r="AE33" s="47">
        <f>IFERROR(VLOOKUP(AE31,'Monthly Line Picks'!$A$1:$D$2101,4,FALSE),"0")</f>
        <v>2</v>
      </c>
      <c r="AF33" s="228"/>
      <c r="AG33" s="57">
        <f>IFERROR(VLOOKUP(AG31,'Monthly Line Picks'!$A$1:$D$2101,4,FALSE),"0")</f>
        <v>75</v>
      </c>
      <c r="AH33" s="56">
        <f>IFERROR(VLOOKUP(AH31,'Monthly Line Picks'!$A$1:$D$2101,4,FALSE),"0")</f>
        <v>12</v>
      </c>
      <c r="AI33" s="47">
        <f>IFERROR(VLOOKUP(AI31,'Monthly Line Picks'!$A$1:$D$2101,4,FALSE),"0")</f>
        <v>259</v>
      </c>
      <c r="AJ33" s="47">
        <f>IFERROR(VLOOKUP(AJ31,'Monthly Line Picks'!$A$1:$D$2101,4,FALSE),"0")</f>
        <v>208</v>
      </c>
      <c r="AK33" s="47">
        <f>IFERROR(VLOOKUP(AK31,'Monthly Line Picks'!$A$1:$D$2101,4,FALSE),"0")</f>
        <v>56</v>
      </c>
      <c r="AL33" s="47">
        <f>IFERROR(VLOOKUP(AL31,'Monthly Line Picks'!$A$1:$D$2101,4,FALSE),"0")</f>
        <v>1</v>
      </c>
      <c r="AM33" s="57" t="str">
        <f>IFERROR(VLOOKUP(AM31,'Monthly Line Picks'!$A$1:$D$2101,4,FALSE),"0")</f>
        <v>0</v>
      </c>
      <c r="AN33" s="56">
        <f>IFERROR(VLOOKUP(AN31,'Monthly Line Picks'!$A$1:$D$2101,4,FALSE),"0")</f>
        <v>5</v>
      </c>
      <c r="AO33" s="47">
        <f>IFERROR(VLOOKUP(AO31,'Monthly Line Picks'!$A$1:$D$2101,4,FALSE),"0")</f>
        <v>95</v>
      </c>
      <c r="AP33" s="47">
        <f>IFERROR(VLOOKUP(AP31,'Monthly Line Picks'!$A$1:$D$2101,4,FALSE),"0")</f>
        <v>129</v>
      </c>
      <c r="AQ33" s="47">
        <f>IFERROR(VLOOKUP(AQ31,'Monthly Line Picks'!$A$1:$D$2101,4,FALSE),"0")</f>
        <v>15</v>
      </c>
      <c r="AR33" s="47">
        <f>IFERROR(VLOOKUP(AR31,'Monthly Line Picks'!$A$1:$D$2101,4,FALSE),"0")</f>
        <v>3</v>
      </c>
      <c r="AS33" s="57" t="str">
        <f>IFERROR(VLOOKUP(AS31,'Monthly Line Picks'!$A$1:$D$2101,4,FALSE),"0")</f>
        <v>0</v>
      </c>
      <c r="AT33" s="56" t="str">
        <f>IFERROR(VLOOKUP(AT31,'Monthly Line Picks'!$A$1:$D$2101,4,FALSE),"0")</f>
        <v>0</v>
      </c>
      <c r="AU33" s="47">
        <f>IFERROR(VLOOKUP(AU31,'Monthly Line Picks'!$A$1:$D$2101,4,FALSE),"0")</f>
        <v>48</v>
      </c>
      <c r="AV33" s="47">
        <f>IFERROR(VLOOKUP(AV31,'Monthly Line Picks'!$A$1:$D$2101,4,FALSE),"0")</f>
        <v>4</v>
      </c>
      <c r="AW33" s="47">
        <f>IFERROR(VLOOKUP(AW31,'Monthly Line Picks'!$A$1:$D$2101,4,FALSE),"0")</f>
        <v>1</v>
      </c>
      <c r="AX33" s="47">
        <f>IFERROR(VLOOKUP(AX31,'Monthly Line Picks'!$A$1:$D$2101,4,FALSE),"0")</f>
        <v>37</v>
      </c>
      <c r="AY33" s="63">
        <f>IFERROR(VLOOKUP(AY31,'Monthly Line Picks'!$A$1:$D$2101,4,FALSE),"0")</f>
        <v>6</v>
      </c>
      <c r="AZ33" s="56" t="str">
        <f>IFERROR(VLOOKUP(AZ31,'Monthly Line Picks'!$A$1:$D$2101,4,FALSE),"0")</f>
        <v>0</v>
      </c>
      <c r="BA33" s="47">
        <f>IFERROR(VLOOKUP(BA31,'Monthly Line Picks'!$A$1:$D$2101,4,FALSE),"0")</f>
        <v>92</v>
      </c>
      <c r="BB33" s="47">
        <f>IFERROR(VLOOKUP(BB31,'Monthly Line Picks'!$A$1:$D$2101,4,FALSE),"0")</f>
        <v>35</v>
      </c>
      <c r="BC33" s="47">
        <f>IFERROR(VLOOKUP(BC31,'Monthly Line Picks'!$A$1:$D$2101,4,FALSE),"0")</f>
        <v>35</v>
      </c>
      <c r="BD33" s="47">
        <f>IFERROR(VLOOKUP(BD31,'Monthly Line Picks'!$A$1:$D$2101,4,FALSE),"0")</f>
        <v>1</v>
      </c>
      <c r="BE33" s="57" t="str">
        <f>IFERROR(VLOOKUP(BE31,'Monthly Line Picks'!$A$1:$D$2101,4,FALSE),"0")</f>
        <v>0</v>
      </c>
      <c r="BF33" s="56">
        <f>IFERROR(VLOOKUP(BF31,'Monthly Line Picks'!$A$1:$D$2101,4,FALSE),"0")</f>
        <v>37</v>
      </c>
      <c r="BG33" s="47">
        <f>IFERROR(VLOOKUP(BG31,'Monthly Line Picks'!$A$1:$D$2101,4,FALSE),"0")</f>
        <v>10</v>
      </c>
      <c r="BH33" s="47">
        <f>IFERROR(VLOOKUP(BH31,'Monthly Line Picks'!$A$1:$D$2101,4,FALSE),"0")</f>
        <v>6</v>
      </c>
      <c r="BI33" s="47" t="str">
        <f>IFERROR(VLOOKUP(BI31,'Monthly Line Picks'!$A$1:$D$2101,4,FALSE),"0")</f>
        <v>0</v>
      </c>
      <c r="BJ33" s="47">
        <f>IFERROR(VLOOKUP(BJ31,'Monthly Line Picks'!$A$1:$D$2101,4,FALSE),"0")</f>
        <v>20</v>
      </c>
      <c r="BK33" s="57">
        <f>IFERROR(VLOOKUP(BK31,'Monthly Line Picks'!$A$1:$D$2101,4,FALSE),"0")</f>
        <v>23</v>
      </c>
      <c r="BL33" s="15" t="s">
        <v>2060</v>
      </c>
      <c r="BM33" s="37" t="str">
        <f>IFERROR(VLOOKUP(BL33,'Module Items'!$A$1:$B$2587,2,FALSE),"")</f>
        <v/>
      </c>
      <c r="BN33" s="44" t="str">
        <f>IFERROR(VLOOKUP(BL33,'Monthly Line Picks'!$A$1:$D$2000,4,FALSE),"0")</f>
        <v>0</v>
      </c>
      <c r="BO33" s="47" t="s">
        <v>2061</v>
      </c>
      <c r="BP33" s="37">
        <f>IFERROR(VLOOKUP(BO33,'Module Items'!$A$1:$B$2587,2,FALSE),"")</f>
        <v>1079</v>
      </c>
      <c r="BQ33" s="44">
        <f>IFERROR(VLOOKUP(BO33,'Monthly Line Picks'!$A$1:$D$2000,4,FALSE),"0")</f>
        <v>1</v>
      </c>
      <c r="BR33" s="47" t="s">
        <v>2062</v>
      </c>
      <c r="BS33" s="37">
        <f>IFERROR(VLOOKUP(BR33,'Module Items'!$A$1:$B$2587,2,FALSE),"")</f>
        <v>120175</v>
      </c>
      <c r="BT33" s="44">
        <f>IFERROR(VLOOKUP(BR33,'Monthly Line Picks'!$A$1:$D$2000,4,FALSE),"0")</f>
        <v>15</v>
      </c>
      <c r="BU33" s="47" t="s">
        <v>2063</v>
      </c>
      <c r="BV33" s="37">
        <f>IFERROR(VLOOKUP(BU33,'Module Items'!$A$1:$B$2587,2,FALSE),"")</f>
        <v>16011</v>
      </c>
      <c r="BW33" s="44">
        <f>IFERROR(VLOOKUP(BU33,'Monthly Line Picks'!$A$1:$D$2000,4,FALSE),"0")</f>
        <v>26</v>
      </c>
      <c r="BX33" s="47" t="s">
        <v>2064</v>
      </c>
      <c r="BY33" s="37">
        <f>IFERROR(VLOOKUP(BX33,'Module Items'!$A$1:$B$2587,2,FALSE),"")</f>
        <v>138289</v>
      </c>
      <c r="BZ33" s="44">
        <f>IFERROR(VLOOKUP(BX33,'Monthly Line Picks'!$A$1:$D$2000,4,FALSE),"0")</f>
        <v>4</v>
      </c>
      <c r="CA33" s="47" t="s">
        <v>2065</v>
      </c>
      <c r="CB33" s="37">
        <f>IFERROR(VLOOKUP(CA33,'Module Items'!$A$1:$B$2587,2,FALSE),"")</f>
        <v>130157</v>
      </c>
      <c r="CC33" s="44" t="str">
        <f>IFERROR(VLOOKUP(CA33,'Monthly Line Picks'!$A$1:$D$2000,4,FALSE),"0")</f>
        <v>0</v>
      </c>
      <c r="CD33" s="182"/>
      <c r="CE33" s="182"/>
      <c r="CF33" s="182"/>
      <c r="CG33" s="56">
        <f>IFERROR(VLOOKUP(CG31,'Monthly Line Picks'!$A$1:$D$2101,4,FALSE),"0")</f>
        <v>615</v>
      </c>
      <c r="CH33" s="47">
        <f>IFERROR(VLOOKUP(CH31,'Monthly Line Picks'!$A$1:$D$2101,4,FALSE),"0")</f>
        <v>93</v>
      </c>
      <c r="CI33" s="57">
        <f>IFERROR(VLOOKUP(CI31,'Monthly Line Picks'!$A$1:$D$2101,4,FALSE),"0")</f>
        <v>7</v>
      </c>
      <c r="CJ33" s="56" t="str">
        <f>IFERROR(VLOOKUP(CJ31,'Monthly Line Picks'!$A$1:$D$2101,4,FALSE),"0")</f>
        <v>0</v>
      </c>
      <c r="CK33" s="47">
        <f>IFERROR(VLOOKUP(CK31,'Monthly Line Picks'!$A$1:$D$2101,4,FALSE),"0")</f>
        <v>357</v>
      </c>
      <c r="CL33" s="47">
        <f>IFERROR(VLOOKUP(CL31,'Monthly Line Picks'!$A$1:$D$2101,4,FALSE),"0")</f>
        <v>199</v>
      </c>
      <c r="CM33" s="47" t="str">
        <f>IFERROR(VLOOKUP(CM31,'Monthly Line Picks'!$A$1:$D$2101,4,FALSE),"0")</f>
        <v>0</v>
      </c>
      <c r="CN33" s="47">
        <f>IFERROR(VLOOKUP(CN31,'Monthly Line Picks'!$A$1:$D$2101,4,FALSE),"0")</f>
        <v>297</v>
      </c>
      <c r="CO33" s="57">
        <f>IFERROR(VLOOKUP(CO31,'Monthly Line Picks'!$A$1:$D$2101,4,FALSE),"0")</f>
        <v>130</v>
      </c>
      <c r="CP33" s="56">
        <f>IFERROR(VLOOKUP(CP31,'Monthly Line Picks'!$A$1:$D$2101,4,FALSE),"0")</f>
        <v>15</v>
      </c>
      <c r="CQ33" s="47" t="str">
        <f>IFERROR(VLOOKUP(CQ31,'Monthly Line Picks'!$A$1:$D$2101,4,FALSE),"0")</f>
        <v>0</v>
      </c>
      <c r="CR33" s="47">
        <f>IFERROR(VLOOKUP(CR31,'Monthly Line Picks'!$A$1:$D$2101,4,FALSE),"0")</f>
        <v>39</v>
      </c>
      <c r="CS33" s="47">
        <f>IFERROR(VLOOKUP(CS31,'Monthly Line Picks'!$A$1:$D$2101,4,FALSE),"0")</f>
        <v>8</v>
      </c>
      <c r="CT33" s="47">
        <f>IFERROR(VLOOKUP(CT31,'Monthly Line Picks'!$A$1:$D$2101,4,FALSE),"0")</f>
        <v>61</v>
      </c>
      <c r="CU33" s="57" t="str">
        <f>IFERROR(VLOOKUP(CU31,'Monthly Line Picks'!$A$1:$D$2101,4,FALSE),"0")</f>
        <v>0</v>
      </c>
      <c r="CV33" s="56">
        <f>IFERROR(VLOOKUP(CV31,'Monthly Line Picks'!$A$1:$D$2101,4,FALSE),"0")</f>
        <v>40</v>
      </c>
      <c r="CW33" s="47" t="str">
        <f>IFERROR(VLOOKUP(CW31,'Monthly Line Picks'!$A$1:$D$2101,4,FALSE),"0")</f>
        <v>0</v>
      </c>
      <c r="CX33" s="47">
        <f>IFERROR(VLOOKUP(CX31,'Monthly Line Picks'!$A$1:$D$2101,4,FALSE),"0")</f>
        <v>31</v>
      </c>
      <c r="CY33" s="47">
        <f>IFERROR(VLOOKUP(CY31,'Monthly Line Picks'!$A$1:$D$2101,4,FALSE),"0")</f>
        <v>10</v>
      </c>
      <c r="CZ33" s="47" t="str">
        <f>IFERROR(VLOOKUP(CZ31,'Monthly Line Picks'!$A$1:$D$2101,4,FALSE),"0")</f>
        <v>0</v>
      </c>
      <c r="DA33" s="57">
        <f>IFERROR(VLOOKUP(DA31,'Monthly Line Picks'!$A$1:$D$2101,4,FALSE),"0")</f>
        <v>10</v>
      </c>
      <c r="DB33" s="56">
        <f>IFERROR(VLOOKUP(DB31,'Monthly Line Picks'!$A$1:$D$2101,4,FALSE),"0")</f>
        <v>35</v>
      </c>
      <c r="DC33" s="47">
        <f>IFERROR(VLOOKUP(DC31,'Monthly Line Picks'!$A$1:$D$2101,4,FALSE),"0")</f>
        <v>9</v>
      </c>
      <c r="DD33" s="47" t="str">
        <f>IFERROR(VLOOKUP(DD31,'Monthly Line Picks'!$A$1:$D$2101,4,FALSE),"0")</f>
        <v>0</v>
      </c>
      <c r="DE33" s="47">
        <f>IFERROR(VLOOKUP(DE31,'Monthly Line Picks'!$A$1:$D$2101,4,FALSE),"0")</f>
        <v>24</v>
      </c>
      <c r="DF33" s="47" t="str">
        <f>IFERROR(VLOOKUP(DF31,'Monthly Line Picks'!$A$1:$D$2101,4,FALSE),"0")</f>
        <v>0</v>
      </c>
      <c r="DG33" s="57">
        <f>IFERROR(VLOOKUP(DG31,'Monthly Line Picks'!$A$1:$D$2101,4,FALSE),"0")</f>
        <v>29</v>
      </c>
      <c r="DH33" s="56">
        <f>IFERROR(VLOOKUP(DH31,'Monthly Line Picks'!$A$1:$D$2101,4,FALSE),"0")</f>
        <v>19</v>
      </c>
      <c r="DI33" s="47">
        <f>IFERROR(VLOOKUP(DI31,'Monthly Line Picks'!$A$1:$D$2101,4,FALSE),"0")</f>
        <v>13</v>
      </c>
      <c r="DJ33" s="47">
        <f>IFERROR(VLOOKUP(DJ31,'Monthly Line Picks'!$A$1:$D$2101,4,FALSE),"0")</f>
        <v>3</v>
      </c>
      <c r="DK33" s="47" t="str">
        <f>IFERROR(VLOOKUP(DK31,'Monthly Line Picks'!$A$1:$D$2101,4,FALSE),"0")</f>
        <v>0</v>
      </c>
      <c r="DL33" s="57" t="str">
        <f>IFERROR(VLOOKUP(DL31,'Monthly Line Picks'!$A$1:$D$2101,4,FALSE),"0")</f>
        <v>0</v>
      </c>
      <c r="DM33" s="56" t="str">
        <f>IFERROR(VLOOKUP(DM31,'Monthly Line Picks'!$A$1:$D$2101,4,FALSE),"0")</f>
        <v>0</v>
      </c>
      <c r="DN33" s="47" t="str">
        <f>IFERROR(VLOOKUP(DN31,'Monthly Line Picks'!$A$1:$D$2101,4,FALSE),"0")</f>
        <v>0</v>
      </c>
      <c r="DO33" s="47">
        <f>IFERROR(VLOOKUP(DO31,'Monthly Line Picks'!$A$1:$D$2101,4,FALSE),"0")</f>
        <v>9</v>
      </c>
      <c r="DP33" s="47">
        <f>IFERROR(VLOOKUP(DP31,'Monthly Line Picks'!$A$1:$D$2101,4,FALSE),"0")</f>
        <v>6</v>
      </c>
      <c r="DQ33" s="57" t="str">
        <f>IFERROR(VLOOKUP(DQ31,'Monthly Line Picks'!$A$1:$D$2101,4,FALSE),"0")</f>
        <v>0</v>
      </c>
      <c r="DR33" s="183"/>
      <c r="DS33" s="46" t="str">
        <f>IFERROR(VLOOKUP(DS31,'Monthly Line Picks'!$A$1:$D$1458,4,FALSE),"0")</f>
        <v>0</v>
      </c>
    </row>
    <row r="34" spans="6:127" ht="15.95" thickBot="1">
      <c r="J34" s="56" t="s">
        <v>2066</v>
      </c>
      <c r="K34" s="37">
        <f>IFERROR(VLOOKUP(J34,'Module Items'!$A$1:$B$2587,2,FALSE),"")</f>
        <v>131494</v>
      </c>
      <c r="L34" s="44">
        <f>IFERROR(VLOOKUP(J34,'Monthly Line Picks'!$A$1:$D$2000,4,FALSE),"0")</f>
        <v>13</v>
      </c>
      <c r="M34" s="47" t="s">
        <v>2067</v>
      </c>
      <c r="N34" s="37">
        <f>IFERROR(VLOOKUP(M34,'Module Items'!$A$1:$B$2587,2,FALSE),"")</f>
        <v>126112</v>
      </c>
      <c r="O34" s="44">
        <f>IFERROR(VLOOKUP(M34,'Monthly Line Picks'!$A$1:$D$2000,4,FALSE),"0")</f>
        <v>9</v>
      </c>
      <c r="P34" s="47" t="s">
        <v>2068</v>
      </c>
      <c r="Q34" s="37">
        <f>IFERROR(VLOOKUP(P34,'Module Items'!$A$1:$B$2587,2,FALSE),"")</f>
        <v>178338</v>
      </c>
      <c r="R34" s="44">
        <f>IFERROR(VLOOKUP(P34,'Monthly Line Picks'!$A$1:$D$2000,4,FALSE),"0")</f>
        <v>11</v>
      </c>
      <c r="S34" s="47" t="s">
        <v>2069</v>
      </c>
      <c r="T34" s="37">
        <f>IFERROR(VLOOKUP(S34,'Module Items'!$A$1:$B$2587,2,FALSE),"")</f>
        <v>74060</v>
      </c>
      <c r="U34" s="44">
        <f>IFERROR(VLOOKUP(S34,'Monthly Line Picks'!$A$1:$D$2000,4,FALSE),"0")</f>
        <v>16</v>
      </c>
      <c r="V34" s="47" t="s">
        <v>2070</v>
      </c>
      <c r="W34" s="37">
        <f>IFERROR(VLOOKUP(V34,'Module Items'!$A$1:$B$2587,2,FALSE),"")</f>
        <v>113974</v>
      </c>
      <c r="X34" s="44">
        <f>IFERROR(VLOOKUP(V34,'Monthly Line Picks'!$A$1:$D$2000,4,FALSE),"0")</f>
        <v>2</v>
      </c>
      <c r="Y34" s="57" t="s">
        <v>2071</v>
      </c>
      <c r="Z34" s="37">
        <f>IFERROR(VLOOKUP(Y34,'Module Items'!$A$1:$B$2587,2,FALSE),"")</f>
        <v>156309</v>
      </c>
      <c r="AA34" s="44">
        <f>IFERROR(VLOOKUP(Y34,'Monthly Line Picks'!$A$1:$D$2000,4,FALSE),"0")</f>
        <v>19</v>
      </c>
      <c r="AB34" s="37" t="s">
        <v>2072</v>
      </c>
      <c r="AC34" s="13" t="s">
        <v>2073</v>
      </c>
      <c r="AD34" s="13" t="s">
        <v>2074</v>
      </c>
      <c r="AE34" s="41" t="s">
        <v>2075</v>
      </c>
      <c r="AF34" s="228"/>
      <c r="AG34" s="108" t="s">
        <v>2076</v>
      </c>
      <c r="AH34" s="37" t="s">
        <v>2077</v>
      </c>
      <c r="AI34" s="13" t="s">
        <v>2078</v>
      </c>
      <c r="AJ34" s="13" t="s">
        <v>2079</v>
      </c>
      <c r="AK34" s="13" t="s">
        <v>2080</v>
      </c>
      <c r="AL34" s="13" t="s">
        <v>2081</v>
      </c>
      <c r="AM34" s="108" t="s">
        <v>2082</v>
      </c>
      <c r="AN34" s="37" t="s">
        <v>2083</v>
      </c>
      <c r="AO34" s="13" t="s">
        <v>2084</v>
      </c>
      <c r="AP34" s="13" t="s">
        <v>2085</v>
      </c>
      <c r="AQ34" s="13" t="s">
        <v>2086</v>
      </c>
      <c r="AR34" s="13" t="s">
        <v>2087</v>
      </c>
      <c r="AS34" s="108" t="s">
        <v>2088</v>
      </c>
      <c r="AT34" s="37" t="s">
        <v>2089</v>
      </c>
      <c r="AU34" s="13" t="s">
        <v>2090</v>
      </c>
      <c r="AV34" s="13" t="s">
        <v>2091</v>
      </c>
      <c r="AW34" s="13" t="s">
        <v>2092</v>
      </c>
      <c r="AX34" s="13" t="s">
        <v>2093</v>
      </c>
      <c r="AY34" s="11" t="s">
        <v>2094</v>
      </c>
      <c r="AZ34" s="37" t="s">
        <v>2095</v>
      </c>
      <c r="BA34" s="13" t="s">
        <v>2096</v>
      </c>
      <c r="BB34" s="13" t="s">
        <v>2097</v>
      </c>
      <c r="BC34" s="13" t="s">
        <v>2098</v>
      </c>
      <c r="BD34" s="13" t="s">
        <v>2099</v>
      </c>
      <c r="BE34" s="108" t="s">
        <v>2100</v>
      </c>
      <c r="BF34" s="37" t="s">
        <v>2101</v>
      </c>
      <c r="BG34" s="13" t="s">
        <v>2102</v>
      </c>
      <c r="BH34" s="13" t="s">
        <v>2103</v>
      </c>
      <c r="BI34" s="13" t="s">
        <v>2104</v>
      </c>
      <c r="BJ34" s="13" t="s">
        <v>2105</v>
      </c>
      <c r="BK34" s="108" t="s">
        <v>2106</v>
      </c>
      <c r="BL34" s="15" t="s">
        <v>2107</v>
      </c>
      <c r="BM34" s="37" t="str">
        <f>IFERROR(VLOOKUP(BL34,'Module Items'!$A$1:$B$2587,2,FALSE),"")</f>
        <v/>
      </c>
      <c r="BN34" s="44" t="str">
        <f>IFERROR(VLOOKUP(BL34,'Monthly Line Picks'!$A$1:$D$2000,4,FALSE),"0")</f>
        <v>0</v>
      </c>
      <c r="BO34" s="47" t="s">
        <v>2108</v>
      </c>
      <c r="BP34" s="37">
        <f>IFERROR(VLOOKUP(BO34,'Module Items'!$A$1:$B$2587,2,FALSE),"")</f>
        <v>324</v>
      </c>
      <c r="BQ34" s="44">
        <f>IFERROR(VLOOKUP(BO34,'Monthly Line Picks'!$A$1:$D$2000,4,FALSE),"0")</f>
        <v>5</v>
      </c>
      <c r="BR34" s="47" t="s">
        <v>2109</v>
      </c>
      <c r="BS34" s="37">
        <f>IFERROR(VLOOKUP(BR34,'Module Items'!$A$1:$B$2587,2,FALSE),"")</f>
        <v>14732</v>
      </c>
      <c r="BT34" s="44">
        <f>IFERROR(VLOOKUP(BR34,'Monthly Line Picks'!$A$1:$D$2000,4,FALSE),"0")</f>
        <v>17</v>
      </c>
      <c r="BU34" s="47" t="s">
        <v>2110</v>
      </c>
      <c r="BV34" s="37">
        <f>IFERROR(VLOOKUP(BU34,'Module Items'!$A$1:$B$2587,2,FALSE),"")</f>
        <v>82352</v>
      </c>
      <c r="BW34" s="44" t="str">
        <f>IFERROR(VLOOKUP(BU34,'Monthly Line Picks'!$A$1:$D$2000,4,FALSE),"0")</f>
        <v>0</v>
      </c>
      <c r="BX34" s="47" t="s">
        <v>2111</v>
      </c>
      <c r="BY34" s="37">
        <f>IFERROR(VLOOKUP(BX34,'Module Items'!$A$1:$B$2587,2,FALSE),"")</f>
        <v>14500</v>
      </c>
      <c r="BZ34" s="44">
        <f>IFERROR(VLOOKUP(BX34,'Monthly Line Picks'!$A$1:$D$2000,4,FALSE),"0")</f>
        <v>3</v>
      </c>
      <c r="CA34" s="47" t="s">
        <v>2112</v>
      </c>
      <c r="CB34" s="37" t="str">
        <f>IFERROR(VLOOKUP(CA34,'Module Items'!$A$1:$B$2587,2,FALSE),"")</f>
        <v/>
      </c>
      <c r="CC34" s="44" t="str">
        <f>IFERROR(VLOOKUP(CA34,'Monthly Line Picks'!$A$1:$D$2000,4,FALSE),"0")</f>
        <v>0</v>
      </c>
      <c r="CD34" s="182"/>
      <c r="CE34" s="182"/>
      <c r="CF34" s="182"/>
      <c r="CG34" s="37" t="s">
        <v>2113</v>
      </c>
      <c r="CH34" s="13" t="s">
        <v>2114</v>
      </c>
      <c r="CI34" s="108" t="s">
        <v>2115</v>
      </c>
      <c r="CJ34" s="37" t="s">
        <v>2116</v>
      </c>
      <c r="CK34" s="13" t="s">
        <v>2117</v>
      </c>
      <c r="CL34" s="13" t="s">
        <v>2118</v>
      </c>
      <c r="CM34" s="13" t="s">
        <v>2119</v>
      </c>
      <c r="CN34" s="13" t="s">
        <v>2120</v>
      </c>
      <c r="CO34" s="108" t="s">
        <v>2121</v>
      </c>
      <c r="CP34" s="37" t="s">
        <v>2122</v>
      </c>
      <c r="CQ34" s="13" t="s">
        <v>2123</v>
      </c>
      <c r="CR34" s="13" t="s">
        <v>2124</v>
      </c>
      <c r="CS34" s="13" t="s">
        <v>2125</v>
      </c>
      <c r="CT34" s="13" t="s">
        <v>2126</v>
      </c>
      <c r="CU34" s="108" t="s">
        <v>2127</v>
      </c>
      <c r="CV34" s="37" t="s">
        <v>2128</v>
      </c>
      <c r="CW34" s="13" t="s">
        <v>2129</v>
      </c>
      <c r="CX34" s="13" t="s">
        <v>2130</v>
      </c>
      <c r="CY34" s="13" t="s">
        <v>2131</v>
      </c>
      <c r="CZ34" s="13" t="s">
        <v>2132</v>
      </c>
      <c r="DA34" s="108" t="s">
        <v>2133</v>
      </c>
      <c r="DB34" s="37" t="s">
        <v>2134</v>
      </c>
      <c r="DC34" s="13" t="s">
        <v>2135</v>
      </c>
      <c r="DD34" s="13" t="s">
        <v>2136</v>
      </c>
      <c r="DE34" s="13" t="s">
        <v>2137</v>
      </c>
      <c r="DF34" s="13" t="s">
        <v>2138</v>
      </c>
      <c r="DG34" s="108" t="s">
        <v>2139</v>
      </c>
      <c r="DH34" s="37" t="s">
        <v>2140</v>
      </c>
      <c r="DI34" s="13" t="s">
        <v>2141</v>
      </c>
      <c r="DJ34" s="13" t="s">
        <v>2142</v>
      </c>
      <c r="DK34" s="13" t="s">
        <v>2143</v>
      </c>
      <c r="DL34" s="108" t="s">
        <v>2144</v>
      </c>
      <c r="DM34" s="37" t="s">
        <v>2145</v>
      </c>
      <c r="DN34" s="13" t="s">
        <v>2146</v>
      </c>
      <c r="DO34" s="13" t="s">
        <v>2147</v>
      </c>
      <c r="DP34" s="13" t="s">
        <v>2148</v>
      </c>
      <c r="DQ34" s="108" t="s">
        <v>2149</v>
      </c>
      <c r="DR34" s="183"/>
      <c r="DS34" s="28" t="s">
        <v>2150</v>
      </c>
    </row>
    <row r="35" spans="6:127" ht="15.95" thickBot="1">
      <c r="J35" s="56" t="s">
        <v>2151</v>
      </c>
      <c r="K35" s="37">
        <f>IFERROR(VLOOKUP(J35,'Module Items'!$A$1:$B$2587,2,FALSE),"")</f>
        <v>107963</v>
      </c>
      <c r="L35" s="44">
        <f>IFERROR(VLOOKUP(J35,'Monthly Line Picks'!$A$1:$D$2000,4,FALSE),"0")</f>
        <v>3</v>
      </c>
      <c r="M35" s="47" t="s">
        <v>2152</v>
      </c>
      <c r="N35" s="37">
        <f>IFERROR(VLOOKUP(M35,'Module Items'!$A$1:$B$2587,2,FALSE),"")</f>
        <v>98212</v>
      </c>
      <c r="O35" s="44">
        <f>IFERROR(VLOOKUP(M35,'Monthly Line Picks'!$A$1:$D$2000,4,FALSE),"0")</f>
        <v>3</v>
      </c>
      <c r="P35" s="47" t="s">
        <v>2153</v>
      </c>
      <c r="Q35" s="37">
        <f>IFERROR(VLOOKUP(P35,'Module Items'!$A$1:$B$2587,2,FALSE),"")</f>
        <v>9803</v>
      </c>
      <c r="R35" s="44">
        <f>IFERROR(VLOOKUP(P35,'Monthly Line Picks'!$A$1:$D$2000,4,FALSE),"0")</f>
        <v>17</v>
      </c>
      <c r="S35" s="47" t="s">
        <v>2154</v>
      </c>
      <c r="T35" s="37">
        <f>IFERROR(VLOOKUP(S35,'Module Items'!$A$1:$B$2587,2,FALSE),"")</f>
        <v>124557</v>
      </c>
      <c r="U35" s="44">
        <f>IFERROR(VLOOKUP(S35,'Monthly Line Picks'!$A$1:$D$2000,4,FALSE),"0")</f>
        <v>5</v>
      </c>
      <c r="V35" s="47" t="s">
        <v>2155</v>
      </c>
      <c r="W35" s="37" t="str">
        <f>IFERROR(VLOOKUP(V35,'Module Items'!$A$1:$B$2587,2,FALSE),"")</f>
        <v/>
      </c>
      <c r="X35" s="44">
        <f>IFERROR(VLOOKUP(V35,'Monthly Line Picks'!$A$1:$D$2000,4,FALSE),"0")</f>
        <v>5</v>
      </c>
      <c r="Y35" s="57" t="s">
        <v>2156</v>
      </c>
      <c r="Z35" s="37">
        <f>IFERROR(VLOOKUP(Y35,'Module Items'!$A$1:$B$2587,2,FALSE),"")</f>
        <v>117036</v>
      </c>
      <c r="AA35" s="44">
        <f>IFERROR(VLOOKUP(Y35,'Monthly Line Picks'!$A$1:$D$2000,4,FALSE),"0")</f>
        <v>1</v>
      </c>
      <c r="AB35" s="37">
        <f>IFERROR(VLOOKUP(AB34,'Module Items'!$A$1:$B$2587,2,FALSE),"")</f>
        <v>107025</v>
      </c>
      <c r="AC35" s="13" t="str">
        <f>IFERROR(VLOOKUP(AC34,'Module Items'!$A$1:$B$2587,2,FALSE),"")</f>
        <v/>
      </c>
      <c r="AD35" s="13">
        <f>IFERROR(VLOOKUP(AD34,'Module Items'!$A$1:$B$2587,2,FALSE),"")</f>
        <v>160317</v>
      </c>
      <c r="AE35" s="13" t="str">
        <f>IFERROR(VLOOKUP(AE34,'Module Items'!$A$1:$B$2587,2,FALSE),"")</f>
        <v/>
      </c>
      <c r="AF35" s="228"/>
      <c r="AG35" s="108">
        <f>IFERROR(VLOOKUP(AG34,'Module Items'!$A$1:$B$2587,2,FALSE),"")</f>
        <v>138405</v>
      </c>
      <c r="AH35" s="37">
        <f>IFERROR(VLOOKUP(AH34,'Module Items'!$A$1:$B$2587,2,FALSE),"")</f>
        <v>129751</v>
      </c>
      <c r="AI35" s="13" t="str">
        <f>IFERROR(VLOOKUP(AI34,'Module Items'!$A$1:$B$2587,2,FALSE),"")</f>
        <v>OPEN</v>
      </c>
      <c r="AJ35" s="13">
        <f>IFERROR(VLOOKUP(AJ34,'Module Items'!$A$1:$B$2587,2,FALSE),"")</f>
        <v>173454</v>
      </c>
      <c r="AK35" s="13" t="str">
        <f>IFERROR(VLOOKUP(AK34,'Module Items'!$A$1:$B$2587,2,FALSE),"")</f>
        <v/>
      </c>
      <c r="AL35" s="13">
        <f>IFERROR(VLOOKUP(AL34,'Module Items'!$A$1:$B$2587,2,FALSE),"")</f>
        <v>113622</v>
      </c>
      <c r="AM35" s="108" t="str">
        <f>IFERROR(VLOOKUP(AM34,'Module Items'!$A$1:$B$2587,2,FALSE),"")</f>
        <v>OPEN</v>
      </c>
      <c r="AN35" s="37">
        <f>IFERROR(VLOOKUP(AN34,'Module Items'!$A$1:$B$2587,2,FALSE),"")</f>
        <v>130173</v>
      </c>
      <c r="AO35" s="13">
        <f>IFERROR(VLOOKUP(AO34,'Module Items'!$A$1:$B$2587,2,FALSE),"")</f>
        <v>130120</v>
      </c>
      <c r="AP35" s="13">
        <f>IFERROR(VLOOKUP(AP34,'Module Items'!$A$1:$B$2587,2,FALSE),"")</f>
        <v>35137</v>
      </c>
      <c r="AQ35" s="13">
        <f>IFERROR(VLOOKUP(AQ34,'Module Items'!$A$1:$B$2587,2,FALSE),"")</f>
        <v>110086</v>
      </c>
      <c r="AR35" s="13">
        <f>IFERROR(VLOOKUP(AR34,'Module Items'!$A$1:$B$2587,2,FALSE),"")</f>
        <v>110226</v>
      </c>
      <c r="AS35" s="108">
        <f>IFERROR(VLOOKUP(AS34,'Module Items'!$A$1:$B$2587,2,FALSE),"")</f>
        <v>108449</v>
      </c>
      <c r="AT35" s="37">
        <f>IFERROR(VLOOKUP(AT34,'Module Items'!$A$1:$B$2587,2,FALSE),"")</f>
        <v>113471</v>
      </c>
      <c r="AU35" s="13" t="str">
        <f>IFERROR(VLOOKUP(AU34,'Module Items'!$A$1:$B$2587,2,FALSE),"")</f>
        <v>OPEN</v>
      </c>
      <c r="AV35" s="13">
        <f>IFERROR(VLOOKUP(AV34,'Module Items'!$A$1:$B$2587,2,FALSE),"")</f>
        <v>115524</v>
      </c>
      <c r="AW35" s="13">
        <f>IFERROR(VLOOKUP(AW34,'Module Items'!$A$1:$B$2587,2,FALSE),"")</f>
        <v>100382</v>
      </c>
      <c r="AX35" s="13">
        <f>IFERROR(VLOOKUP(AX34,'Module Items'!$A$1:$B$2587,2,FALSE),"")</f>
        <v>1381</v>
      </c>
      <c r="AY35" s="11">
        <f>IFERROR(VLOOKUP(AY34,'Module Items'!$A$1:$B$2587,2,FALSE),"")</f>
        <v>100217</v>
      </c>
      <c r="AZ35" s="37">
        <f>IFERROR(VLOOKUP(AZ34,'Module Items'!$A$1:$B$2587,2,FALSE),"")</f>
        <v>101441</v>
      </c>
      <c r="BA35" s="13">
        <f>IFERROR(VLOOKUP(BA34,'Module Items'!$A$1:$B$2587,2,FALSE),"")</f>
        <v>178330</v>
      </c>
      <c r="BB35" s="13">
        <f>IFERROR(VLOOKUP(BB34,'Module Items'!$A$1:$B$2587,2,FALSE),"")</f>
        <v>35274</v>
      </c>
      <c r="BC35" s="13">
        <f>IFERROR(VLOOKUP(BC34,'Module Items'!$A$1:$B$2587,2,FALSE),"")</f>
        <v>117922</v>
      </c>
      <c r="BD35" s="13">
        <f>IFERROR(VLOOKUP(BD34,'Module Items'!$A$1:$B$2587,2,FALSE),"")</f>
        <v>138759</v>
      </c>
      <c r="BE35" s="108">
        <f>IFERROR(VLOOKUP(BE34,'Module Items'!$A$1:$B$2587,2,FALSE),"")</f>
        <v>177623</v>
      </c>
      <c r="BF35" s="37">
        <f>IFERROR(VLOOKUP(BF34,'Module Items'!$A$1:$B$2587,2,FALSE),"")</f>
        <v>121302</v>
      </c>
      <c r="BG35" s="13">
        <f>IFERROR(VLOOKUP(BG34,'Module Items'!$A$1:$B$2587,2,FALSE),"")</f>
        <v>85072</v>
      </c>
      <c r="BH35" s="13">
        <f>IFERROR(VLOOKUP(BH34,'Module Items'!$A$1:$B$2587,2,FALSE),"")</f>
        <v>1839</v>
      </c>
      <c r="BI35" s="13">
        <f>IFERROR(VLOOKUP(BI34,'Module Items'!$A$1:$B$2587,2,FALSE),"")</f>
        <v>132594</v>
      </c>
      <c r="BJ35" s="13">
        <f>IFERROR(VLOOKUP(BJ34,'Module Items'!$A$1:$B$2587,2,FALSE),"")</f>
        <v>178638</v>
      </c>
      <c r="BK35" s="108">
        <f>IFERROR(VLOOKUP(BK34,'Module Items'!$A$1:$B$2587,2,FALSE),"")</f>
        <v>132590</v>
      </c>
      <c r="BL35" s="15" t="s">
        <v>2157</v>
      </c>
      <c r="BM35" s="37">
        <f>IFERROR(VLOOKUP(BL35,'Module Items'!$A$1:$B$2587,2,FALSE),"")</f>
        <v>109850</v>
      </c>
      <c r="BN35" s="44">
        <f>IFERROR(VLOOKUP(BL35,'Monthly Line Picks'!$A$1:$D$2000,4,FALSE),"0")</f>
        <v>4</v>
      </c>
      <c r="BO35" s="47" t="s">
        <v>2158</v>
      </c>
      <c r="BP35" s="37">
        <f>IFERROR(VLOOKUP(BO35,'Module Items'!$A$1:$B$2587,2,FALSE),"")</f>
        <v>13570</v>
      </c>
      <c r="BQ35" s="44">
        <f>IFERROR(VLOOKUP(BO35,'Monthly Line Picks'!$A$1:$D$2000,4,FALSE),"0")</f>
        <v>19</v>
      </c>
      <c r="BR35" s="47" t="s">
        <v>2159</v>
      </c>
      <c r="BS35" s="37">
        <f>IFERROR(VLOOKUP(BR35,'Module Items'!$A$1:$B$2587,2,FALSE),"")</f>
        <v>1067</v>
      </c>
      <c r="BT35" s="44">
        <f>IFERROR(VLOOKUP(BR35,'Monthly Line Picks'!$A$1:$D$2000,4,FALSE),"0")</f>
        <v>4</v>
      </c>
      <c r="BU35" s="47" t="s">
        <v>2160</v>
      </c>
      <c r="BV35" s="37">
        <f>IFERROR(VLOOKUP(BU35,'Module Items'!$A$1:$B$2587,2,FALSE),"")</f>
        <v>83917</v>
      </c>
      <c r="BW35" s="44">
        <f>IFERROR(VLOOKUP(BU35,'Monthly Line Picks'!$A$1:$D$2000,4,FALSE),"0")</f>
        <v>4</v>
      </c>
      <c r="BX35" s="47" t="s">
        <v>2161</v>
      </c>
      <c r="BY35" s="37">
        <f>IFERROR(VLOOKUP(BX35,'Module Items'!$A$1:$B$2587,2,FALSE),"")</f>
        <v>36992</v>
      </c>
      <c r="BZ35" s="44">
        <f>IFERROR(VLOOKUP(BX35,'Monthly Line Picks'!$A$1:$D$2000,4,FALSE),"0")</f>
        <v>9</v>
      </c>
      <c r="CA35" s="47" t="s">
        <v>2162</v>
      </c>
      <c r="CB35" s="37">
        <f>IFERROR(VLOOKUP(CA35,'Module Items'!$A$1:$B$2587,2,FALSE),"")</f>
        <v>8366</v>
      </c>
      <c r="CC35" s="44">
        <f>IFERROR(VLOOKUP(CA35,'Monthly Line Picks'!$A$1:$D$2000,4,FALSE),"0")</f>
        <v>8</v>
      </c>
      <c r="CD35" s="182"/>
      <c r="CE35" s="182"/>
      <c r="CF35" s="182"/>
      <c r="CG35" s="37">
        <f>IFERROR(VLOOKUP(CG34,'Module Items'!$A$1:$B$2587,2,FALSE),"")</f>
        <v>82521</v>
      </c>
      <c r="CH35" s="13" t="str">
        <f>IFERROR(VLOOKUP(CH34,'Module Items'!$A$1:$B$2587,2,FALSE),"")</f>
        <v>OPEN</v>
      </c>
      <c r="CI35" s="108">
        <f>IFERROR(VLOOKUP(CI34,'Module Items'!$A$1:$B$2587,2,FALSE),"")</f>
        <v>137591</v>
      </c>
      <c r="CJ35" s="37">
        <f>IFERROR(VLOOKUP(CJ34,'Module Items'!$A$1:$B$2587,2,FALSE),"")</f>
        <v>65585</v>
      </c>
      <c r="CK35" s="13">
        <f>IFERROR(VLOOKUP(CK34,'Module Items'!$A$1:$B$2587,2,FALSE),"")</f>
        <v>158212</v>
      </c>
      <c r="CL35" s="13">
        <f>IFERROR(VLOOKUP(CL34,'Module Items'!$A$1:$B$2587,2,FALSE),"")</f>
        <v>60318</v>
      </c>
      <c r="CM35" s="13">
        <f>IFERROR(VLOOKUP(CM34,'Module Items'!$A$1:$B$2587,2,FALSE),"")</f>
        <v>566</v>
      </c>
      <c r="CN35" s="13" t="str">
        <f>IFERROR(VLOOKUP(CN34,'Module Items'!$A$1:$B$2587,2,FALSE),"")</f>
        <v>OPEN</v>
      </c>
      <c r="CO35" s="108" t="str">
        <f>IFERROR(VLOOKUP(CO34,'Module Items'!$A$1:$B$2587,2,FALSE),"")</f>
        <v>OPEN</v>
      </c>
      <c r="CP35" s="37">
        <f>IFERROR(VLOOKUP(CP34,'Module Items'!$A$1:$B$2587,2,FALSE),"")</f>
        <v>157623</v>
      </c>
      <c r="CQ35" s="13" t="str">
        <f>IFERROR(VLOOKUP(CQ34,'Module Items'!$A$1:$B$2587,2,FALSE),"")</f>
        <v>OPEN</v>
      </c>
      <c r="CR35" s="13" t="str">
        <f>IFERROR(VLOOKUP(CR34,'Module Items'!$A$1:$B$2587,2,FALSE),"")</f>
        <v>OPEN</v>
      </c>
      <c r="CS35" s="13" t="str">
        <f>IFERROR(VLOOKUP(CS34,'Module Items'!$A$1:$B$2587,2,FALSE),"")</f>
        <v/>
      </c>
      <c r="CT35" s="13" t="str">
        <f>IFERROR(VLOOKUP(CT34,'Module Items'!$A$1:$B$2587,2,FALSE),"")</f>
        <v/>
      </c>
      <c r="CU35" s="108">
        <f>IFERROR(VLOOKUP(CU34,'Module Items'!$A$1:$B$2587,2,FALSE),"")</f>
        <v>119965</v>
      </c>
      <c r="CV35" s="37">
        <f>IFERROR(VLOOKUP(CV34,'Module Items'!$A$1:$B$2587,2,FALSE),"")</f>
        <v>157514</v>
      </c>
      <c r="CW35" s="13" t="str">
        <f>IFERROR(VLOOKUP(CW34,'Module Items'!$A$1:$B$2587,2,FALSE),"")</f>
        <v>OPEN</v>
      </c>
      <c r="CX35" s="13" t="str">
        <f>IFERROR(VLOOKUP(CX34,'Module Items'!$A$1:$B$2587,2,FALSE),"")</f>
        <v>OPEN</v>
      </c>
      <c r="CY35" s="13">
        <f>IFERROR(VLOOKUP(CY34,'Module Items'!$A$1:$B$2587,2,FALSE),"")</f>
        <v>58974</v>
      </c>
      <c r="CZ35" s="13">
        <f>IFERROR(VLOOKUP(CZ34,'Module Items'!$A$1:$B$2587,2,FALSE),"")</f>
        <v>112289</v>
      </c>
      <c r="DA35" s="108" t="str">
        <f>IFERROR(VLOOKUP(DA34,'Module Items'!$A$1:$B$2587,2,FALSE),"")</f>
        <v>OPEN</v>
      </c>
      <c r="DB35" s="37">
        <f>IFERROR(VLOOKUP(DB34,'Module Items'!$A$1:$B$2587,2,FALSE),"")</f>
        <v>123728</v>
      </c>
      <c r="DC35" s="13">
        <f>IFERROR(VLOOKUP(DC34,'Module Items'!$A$1:$B$2587,2,FALSE),"")</f>
        <v>2018</v>
      </c>
      <c r="DD35" s="13">
        <f>IFERROR(VLOOKUP(DD34,'Module Items'!$A$1:$B$2587,2,FALSE),"")</f>
        <v>157464</v>
      </c>
      <c r="DE35" s="13">
        <f>IFERROR(VLOOKUP(DE34,'Module Items'!$A$1:$B$2587,2,FALSE),"")</f>
        <v>156160</v>
      </c>
      <c r="DF35" s="13">
        <f>IFERROR(VLOOKUP(DF34,'Module Items'!$A$1:$B$2587,2,FALSE),"")</f>
        <v>96046</v>
      </c>
      <c r="DG35" s="108">
        <f>IFERROR(VLOOKUP(DG34,'Module Items'!$A$1:$B$2587,2,FALSE),"")</f>
        <v>136240</v>
      </c>
      <c r="DH35" s="37">
        <f>IFERROR(VLOOKUP(DH34,'Module Items'!$A$1:$B$2587,2,FALSE),"")</f>
        <v>136453</v>
      </c>
      <c r="DI35" s="13" t="str">
        <f>IFERROR(VLOOKUP(DI34,'Module Items'!$A$1:$B$2587,2,FALSE),"")</f>
        <v>OPEN</v>
      </c>
      <c r="DJ35" s="13">
        <f>IFERROR(VLOOKUP(DJ34,'Module Items'!$A$1:$B$2587,2,FALSE),"")</f>
        <v>137006</v>
      </c>
      <c r="DK35" s="13">
        <f>IFERROR(VLOOKUP(DK34,'Module Items'!$A$1:$B$2587,2,FALSE),"")</f>
        <v>69237</v>
      </c>
      <c r="DL35" s="108" t="str">
        <f>IFERROR(VLOOKUP(DL34,'Module Items'!$A$1:$B$2587,2,FALSE),"")</f>
        <v>OPEN</v>
      </c>
      <c r="DM35" s="37">
        <f>IFERROR(VLOOKUP(DM34,'Module Items'!$A$1:$B$2587,2,FALSE),"")</f>
        <v>204</v>
      </c>
      <c r="DN35" s="13">
        <f>IFERROR(VLOOKUP(DN34,'Module Items'!$A$1:$B$2587,2,FALSE),"")</f>
        <v>111572</v>
      </c>
      <c r="DO35" s="13">
        <f>IFERROR(VLOOKUP(DO34,'Module Items'!$A$1:$B$2587,2,FALSE),"")</f>
        <v>122622</v>
      </c>
      <c r="DP35" s="13" t="str">
        <f>IFERROR(VLOOKUP(DP34,'Module Items'!$A$1:$B$2587,2,FALSE),"")</f>
        <v/>
      </c>
      <c r="DQ35" s="108">
        <f>IFERROR(VLOOKUP(DQ34,'Module Items'!$A$1:$B$2587,2,FALSE),"")</f>
        <v>62220</v>
      </c>
      <c r="DR35" s="183"/>
      <c r="DS35" s="39">
        <f>IFERROR(VLOOKUP(DS34,'Module Items'!$A$1:$B$2587,2,FALSE),"")</f>
        <v>130114</v>
      </c>
    </row>
    <row r="36" spans="6:127" ht="15.95" thickBot="1">
      <c r="J36" s="56" t="s">
        <v>2163</v>
      </c>
      <c r="K36" s="37">
        <f>IFERROR(VLOOKUP(J36,'Module Items'!$A$1:$B$2587,2,FALSE),"")</f>
        <v>110250</v>
      </c>
      <c r="L36" s="44">
        <f>IFERROR(VLOOKUP(J36,'Monthly Line Picks'!$A$1:$D$2000,4,FALSE),"0")</f>
        <v>13</v>
      </c>
      <c r="M36" s="47" t="s">
        <v>2164</v>
      </c>
      <c r="N36" s="37">
        <f>IFERROR(VLOOKUP(M36,'Module Items'!$A$1:$B$2587,2,FALSE),"")</f>
        <v>57539</v>
      </c>
      <c r="O36" s="44" t="str">
        <f>IFERROR(VLOOKUP(M36,'Monthly Line Picks'!$A$1:$D$2000,4,FALSE),"0")</f>
        <v>0</v>
      </c>
      <c r="P36" s="47" t="s">
        <v>2165</v>
      </c>
      <c r="Q36" s="37">
        <f>IFERROR(VLOOKUP(P36,'Module Items'!$A$1:$B$2587,2,FALSE),"")</f>
        <v>64559</v>
      </c>
      <c r="R36" s="44">
        <f>IFERROR(VLOOKUP(P36,'Monthly Line Picks'!$A$1:$D$2000,4,FALSE),"0")</f>
        <v>5</v>
      </c>
      <c r="S36" s="47" t="s">
        <v>2166</v>
      </c>
      <c r="T36" s="37">
        <f>IFERROR(VLOOKUP(S36,'Module Items'!$A$1:$B$2587,2,FALSE),"")</f>
        <v>114263</v>
      </c>
      <c r="U36" s="44">
        <f>IFERROR(VLOOKUP(S36,'Monthly Line Picks'!$A$1:$D$2000,4,FALSE),"0")</f>
        <v>4</v>
      </c>
      <c r="V36" s="47" t="s">
        <v>2167</v>
      </c>
      <c r="W36" s="37">
        <f>IFERROR(VLOOKUP(V36,'Module Items'!$A$1:$B$2587,2,FALSE),"")</f>
        <v>1929</v>
      </c>
      <c r="X36" s="44">
        <f>IFERROR(VLOOKUP(V36,'Monthly Line Picks'!$A$1:$D$2000,4,FALSE),"0")</f>
        <v>10</v>
      </c>
      <c r="Y36" s="57" t="s">
        <v>2168</v>
      </c>
      <c r="Z36" s="37">
        <f>IFERROR(VLOOKUP(Y36,'Module Items'!$A$1:$B$2587,2,FALSE),"")</f>
        <v>54930</v>
      </c>
      <c r="AA36" s="44">
        <f>IFERROR(VLOOKUP(Y36,'Monthly Line Picks'!$A$1:$D$2000,4,FALSE),"0")</f>
        <v>2</v>
      </c>
      <c r="AB36" s="56">
        <f>IFERROR(VLOOKUP(AB34,'Monthly Line Picks'!$A$1:$D$2101,4,FALSE),"0")</f>
        <v>11</v>
      </c>
      <c r="AC36" s="47" t="str">
        <f>IFERROR(VLOOKUP(AC34,'Monthly Line Picks'!$A$1:$D$2101,4,FALSE),"0")</f>
        <v>0</v>
      </c>
      <c r="AD36" s="47">
        <f>IFERROR(VLOOKUP(AD34,'Monthly Line Picks'!$A$1:$D$2101,4,FALSE),"0")</f>
        <v>137</v>
      </c>
      <c r="AE36" s="47" t="str">
        <f>IFERROR(VLOOKUP(AE34,'Monthly Line Picks'!$A$1:$D$2101,4,FALSE),"0")</f>
        <v>0</v>
      </c>
      <c r="AF36" s="228"/>
      <c r="AG36" s="57">
        <f>IFERROR(VLOOKUP(AG34,'Monthly Line Picks'!$A$1:$D$2101,4,FALSE),"0")</f>
        <v>379</v>
      </c>
      <c r="AH36" s="56">
        <f>IFERROR(VLOOKUP(AH34,'Monthly Line Picks'!$A$1:$D$2101,4,FALSE),"0")</f>
        <v>687</v>
      </c>
      <c r="AI36" s="47" t="str">
        <f>IFERROR(VLOOKUP(AI34,'Monthly Line Picks'!$A$1:$D$2101,4,FALSE),"0")</f>
        <v>0</v>
      </c>
      <c r="AJ36" s="47">
        <f>IFERROR(VLOOKUP(AJ34,'Monthly Line Picks'!$A$1:$D$2101,4,FALSE),"0")</f>
        <v>296</v>
      </c>
      <c r="AK36" s="47" t="str">
        <f>IFERROR(VLOOKUP(AK34,'Monthly Line Picks'!$A$1:$D$2101,4,FALSE),"0")</f>
        <v>0</v>
      </c>
      <c r="AL36" s="47">
        <f>IFERROR(VLOOKUP(AL34,'Monthly Line Picks'!$A$1:$D$2101,4,FALSE),"0")</f>
        <v>473</v>
      </c>
      <c r="AM36" s="57" t="str">
        <f>IFERROR(VLOOKUP(AM34,'Monthly Line Picks'!$A$1:$D$2101,4,FALSE),"0")</f>
        <v>0</v>
      </c>
      <c r="AN36" s="56">
        <f>IFERROR(VLOOKUP(AN34,'Monthly Line Picks'!$A$1:$D$2101,4,FALSE),"0")</f>
        <v>171</v>
      </c>
      <c r="AO36" s="47">
        <f>IFERROR(VLOOKUP(AO34,'Monthly Line Picks'!$A$1:$D$2101,4,FALSE),"0")</f>
        <v>251</v>
      </c>
      <c r="AP36" s="47">
        <f>IFERROR(VLOOKUP(AP34,'Monthly Line Picks'!$A$1:$D$2101,4,FALSE),"0")</f>
        <v>114</v>
      </c>
      <c r="AQ36" s="47">
        <f>IFERROR(VLOOKUP(AQ34,'Monthly Line Picks'!$A$1:$D$2101,4,FALSE),"0")</f>
        <v>57</v>
      </c>
      <c r="AR36" s="47">
        <f>IFERROR(VLOOKUP(AR34,'Monthly Line Picks'!$A$1:$D$2101,4,FALSE),"0")</f>
        <v>32</v>
      </c>
      <c r="AS36" s="57">
        <f>IFERROR(VLOOKUP(AS34,'Monthly Line Picks'!$A$1:$D$2101,4,FALSE),"0")</f>
        <v>139</v>
      </c>
      <c r="AT36" s="56">
        <f>IFERROR(VLOOKUP(AT34,'Monthly Line Picks'!$A$1:$D$2101,4,FALSE),"0")</f>
        <v>27</v>
      </c>
      <c r="AU36" s="47" t="str">
        <f>IFERROR(VLOOKUP(AU34,'Monthly Line Picks'!$A$1:$D$2101,4,FALSE),"0")</f>
        <v>0</v>
      </c>
      <c r="AV36" s="47">
        <f>IFERROR(VLOOKUP(AV34,'Monthly Line Picks'!$A$1:$D$2101,4,FALSE),"0")</f>
        <v>1</v>
      </c>
      <c r="AW36" s="47" t="str">
        <f>IFERROR(VLOOKUP(AW34,'Monthly Line Picks'!$A$1:$D$2101,4,FALSE),"0")</f>
        <v>0</v>
      </c>
      <c r="AX36" s="47">
        <f>IFERROR(VLOOKUP(AX34,'Monthly Line Picks'!$A$1:$D$2101,4,FALSE),"0")</f>
        <v>1</v>
      </c>
      <c r="AY36" s="63">
        <f>IFERROR(VLOOKUP(AY34,'Monthly Line Picks'!$A$1:$D$2101,4,FALSE),"0")</f>
        <v>3</v>
      </c>
      <c r="AZ36" s="56">
        <f>IFERROR(VLOOKUP(AZ34,'Monthly Line Picks'!$A$1:$D$2101,4,FALSE),"0")</f>
        <v>31</v>
      </c>
      <c r="BA36" s="47">
        <f>IFERROR(VLOOKUP(BA34,'Monthly Line Picks'!$A$1:$D$2101,4,FALSE),"0")</f>
        <v>18</v>
      </c>
      <c r="BB36" s="47">
        <f>IFERROR(VLOOKUP(BB34,'Monthly Line Picks'!$A$1:$D$2101,4,FALSE),"0")</f>
        <v>26</v>
      </c>
      <c r="BC36" s="47">
        <f>IFERROR(VLOOKUP(BC34,'Monthly Line Picks'!$A$1:$D$2101,4,FALSE),"0")</f>
        <v>42</v>
      </c>
      <c r="BD36" s="47">
        <f>IFERROR(VLOOKUP(BD34,'Monthly Line Picks'!$A$1:$D$2101,4,FALSE),"0")</f>
        <v>46</v>
      </c>
      <c r="BE36" s="57" t="str">
        <f>IFERROR(VLOOKUP(BE34,'Monthly Line Picks'!$A$1:$D$2101,4,FALSE),"0")</f>
        <v>0</v>
      </c>
      <c r="BF36" s="56">
        <f>IFERROR(VLOOKUP(BF34,'Monthly Line Picks'!$A$1:$D$2101,4,FALSE),"0")</f>
        <v>240</v>
      </c>
      <c r="BG36" s="47">
        <f>IFERROR(VLOOKUP(BG34,'Monthly Line Picks'!$A$1:$D$2101,4,FALSE),"0")</f>
        <v>4</v>
      </c>
      <c r="BH36" s="47">
        <f>IFERROR(VLOOKUP(BH34,'Monthly Line Picks'!$A$1:$D$2101,4,FALSE),"0")</f>
        <v>13</v>
      </c>
      <c r="BI36" s="47">
        <f>IFERROR(VLOOKUP(BI34,'Monthly Line Picks'!$A$1:$D$2101,4,FALSE),"0")</f>
        <v>26</v>
      </c>
      <c r="BJ36" s="47" t="str">
        <f>IFERROR(VLOOKUP(BJ34,'Monthly Line Picks'!$A$1:$D$2101,4,FALSE),"0")</f>
        <v>0</v>
      </c>
      <c r="BK36" s="57">
        <f>IFERROR(VLOOKUP(BK34,'Monthly Line Picks'!$A$1:$D$2101,4,FALSE),"0")</f>
        <v>4</v>
      </c>
      <c r="BL36" s="15" t="s">
        <v>2169</v>
      </c>
      <c r="BM36" s="37">
        <f>IFERROR(VLOOKUP(BL36,'Module Items'!$A$1:$B$2587,2,FALSE),"")</f>
        <v>123944</v>
      </c>
      <c r="BN36" s="44">
        <f>IFERROR(VLOOKUP(BL36,'Monthly Line Picks'!$A$1:$D$2000,4,FALSE),"0")</f>
        <v>8</v>
      </c>
      <c r="BO36" s="47" t="s">
        <v>2170</v>
      </c>
      <c r="BP36" s="37">
        <f>IFERROR(VLOOKUP(BO36,'Module Items'!$A$1:$B$2587,2,FALSE),"")</f>
        <v>79504</v>
      </c>
      <c r="BQ36" s="44">
        <f>IFERROR(VLOOKUP(BO36,'Monthly Line Picks'!$A$1:$D$2000,4,FALSE),"0")</f>
        <v>10</v>
      </c>
      <c r="BR36" s="47" t="s">
        <v>2171</v>
      </c>
      <c r="BS36" s="37">
        <f>IFERROR(VLOOKUP(BR36,'Module Items'!$A$1:$B$2587,2,FALSE),"")</f>
        <v>157512</v>
      </c>
      <c r="BT36" s="44">
        <f>IFERROR(VLOOKUP(BR36,'Monthly Line Picks'!$A$1:$D$2000,4,FALSE),"0")</f>
        <v>28</v>
      </c>
      <c r="BU36" s="47" t="s">
        <v>2172</v>
      </c>
      <c r="BV36" s="37">
        <f>IFERROR(VLOOKUP(BU36,'Module Items'!$A$1:$B$2587,2,FALSE),"")</f>
        <v>3710</v>
      </c>
      <c r="BW36" s="44">
        <f>IFERROR(VLOOKUP(BU36,'Monthly Line Picks'!$A$1:$D$2000,4,FALSE),"0")</f>
        <v>31</v>
      </c>
      <c r="BX36" s="47" t="s">
        <v>2173</v>
      </c>
      <c r="BY36" s="37">
        <f>IFERROR(VLOOKUP(BX36,'Module Items'!$A$1:$B$2587,2,FALSE),"")</f>
        <v>35267</v>
      </c>
      <c r="BZ36" s="44">
        <f>IFERROR(VLOOKUP(BX36,'Monthly Line Picks'!$A$1:$D$2000,4,FALSE),"0")</f>
        <v>13</v>
      </c>
      <c r="CA36" s="47" t="s">
        <v>2174</v>
      </c>
      <c r="CB36" s="37">
        <f>IFERROR(VLOOKUP(CA36,'Module Items'!$A$1:$B$2587,2,FALSE),"")</f>
        <v>60168</v>
      </c>
      <c r="CC36" s="44">
        <f>IFERROR(VLOOKUP(CA36,'Monthly Line Picks'!$A$1:$D$2000,4,FALSE),"0")</f>
        <v>1</v>
      </c>
      <c r="CD36" s="182"/>
      <c r="CE36" s="182"/>
      <c r="CF36" s="182"/>
      <c r="CG36" s="59">
        <f>IFERROR(VLOOKUP(CG34,'Monthly Line Picks'!$A$1:$D$2000,4,FALSE),"0")</f>
        <v>94</v>
      </c>
      <c r="CH36" s="59" t="str">
        <f>IFERROR(VLOOKUP(CH34,'Monthly Line Picks'!$A$1:$D$2000,4,FALSE),"0")</f>
        <v>0</v>
      </c>
      <c r="CI36" s="59">
        <f>IFERROR(VLOOKUP(CI34,'Monthly Line Picks'!$A$1:$D$2000,4,FALSE),"0")</f>
        <v>311</v>
      </c>
      <c r="CJ36" s="59">
        <f>IFERROR(VLOOKUP(CJ34,'Monthly Line Picks'!$A$1:$D$2000,4,FALSE),"0")</f>
        <v>502</v>
      </c>
      <c r="CK36" s="59">
        <f>IFERROR(VLOOKUP(CK34,'Monthly Line Picks'!$A$1:$D$2000,4,FALSE),"0")</f>
        <v>340</v>
      </c>
      <c r="CL36" s="59">
        <f>IFERROR(VLOOKUP(CL34,'Monthly Line Picks'!$A$1:$D$2000,4,FALSE),"0")</f>
        <v>257</v>
      </c>
      <c r="CM36" s="59">
        <f>IFERROR(VLOOKUP(CM34,'Monthly Line Picks'!$A$1:$D$2000,4,FALSE),"0")</f>
        <v>363</v>
      </c>
      <c r="CN36" s="59" t="str">
        <f>IFERROR(VLOOKUP(CN34,'Monthly Line Picks'!$A$1:$D$2000,4,FALSE),"0")</f>
        <v>0</v>
      </c>
      <c r="CO36" s="59" t="str">
        <f>IFERROR(VLOOKUP(CO34,'Monthly Line Picks'!$A$1:$D$2000,4,FALSE),"0")</f>
        <v>0</v>
      </c>
      <c r="CP36" s="59">
        <f>IFERROR(VLOOKUP(CP34,'Monthly Line Picks'!$A$1:$D$2000,4,FALSE),"0")</f>
        <v>144</v>
      </c>
      <c r="CQ36" s="59" t="str">
        <f>IFERROR(VLOOKUP(CQ34,'Monthly Line Picks'!$A$1:$D$2000,4,FALSE),"0")</f>
        <v>0</v>
      </c>
      <c r="CR36" s="59" t="str">
        <f>IFERROR(VLOOKUP(CR34,'Monthly Line Picks'!$A$1:$D$2000,4,FALSE),"0")</f>
        <v>0</v>
      </c>
      <c r="CS36" s="59" t="str">
        <f>IFERROR(VLOOKUP(CS34,'Monthly Line Picks'!$A$1:$D$2000,4,FALSE),"0")</f>
        <v>0</v>
      </c>
      <c r="CT36" s="59" t="str">
        <f>IFERROR(VLOOKUP(CT34,'Monthly Line Picks'!$A$1:$D$2000,4,FALSE),"0")</f>
        <v>0</v>
      </c>
      <c r="CU36" s="59">
        <f>IFERROR(VLOOKUP(CU34,'Monthly Line Picks'!$A$1:$D$2000,4,FALSE),"0")</f>
        <v>17</v>
      </c>
      <c r="CV36" s="59">
        <f>IFERROR(VLOOKUP(CV34,'Monthly Line Picks'!$A$1:$D$2000,4,FALSE),"0")</f>
        <v>1</v>
      </c>
      <c r="CW36" s="59" t="str">
        <f>IFERROR(VLOOKUP(CW34,'Monthly Line Picks'!$A$1:$D$2000,4,FALSE),"0")</f>
        <v>0</v>
      </c>
      <c r="CX36" s="59" t="str">
        <f>IFERROR(VLOOKUP(CX34,'Monthly Line Picks'!$A$1:$D$2000,4,FALSE),"0")</f>
        <v>0</v>
      </c>
      <c r="CY36" s="59" t="str">
        <f>IFERROR(VLOOKUP(CY34,'Monthly Line Picks'!$A$1:$D$2000,4,FALSE),"0")</f>
        <v>0</v>
      </c>
      <c r="CZ36" s="59" t="str">
        <f>IFERROR(VLOOKUP(CZ34,'Monthly Line Picks'!$A$1:$D$2000,4,FALSE),"0")</f>
        <v>0</v>
      </c>
      <c r="DA36" s="59" t="str">
        <f>IFERROR(VLOOKUP(DA34,'Monthly Line Picks'!$A$1:$D$2000,4,FALSE),"0")</f>
        <v>0</v>
      </c>
      <c r="DB36" s="59">
        <f>IFERROR(VLOOKUP(DB34,'Monthly Line Picks'!$A$1:$D$2000,4,FALSE),"0")</f>
        <v>384</v>
      </c>
      <c r="DC36" s="59">
        <f>IFERROR(VLOOKUP(DC34,'Monthly Line Picks'!$A$1:$D$2000,4,FALSE),"0")</f>
        <v>43</v>
      </c>
      <c r="DD36" s="59" t="str">
        <f>IFERROR(VLOOKUP(DD34,'Monthly Line Picks'!$A$1:$D$2000,4,FALSE),"0")</f>
        <v>0</v>
      </c>
      <c r="DE36" s="59">
        <f>IFERROR(VLOOKUP(DE34,'Monthly Line Picks'!$A$1:$D$2000,4,FALSE),"0")</f>
        <v>23</v>
      </c>
      <c r="DF36" s="59">
        <f>IFERROR(VLOOKUP(DF34,'Monthly Line Picks'!$A$1:$D$2000,4,FALSE),"0")</f>
        <v>10</v>
      </c>
      <c r="DG36" s="59" t="str">
        <f>IFERROR(VLOOKUP(DG34,'Monthly Line Picks'!$A$1:$D$2000,4,FALSE),"0")</f>
        <v>0</v>
      </c>
      <c r="DH36" s="59">
        <f>IFERROR(VLOOKUP(DH34,'Monthly Line Picks'!$A$1:$D$2000,4,FALSE),"0")</f>
        <v>34</v>
      </c>
      <c r="DI36" s="59" t="str">
        <f>IFERROR(VLOOKUP(DI34,'Monthly Line Picks'!$A$1:$D$2000,4,FALSE),"0")</f>
        <v>0</v>
      </c>
      <c r="DJ36" s="59">
        <f>IFERROR(VLOOKUP(DJ34,'Monthly Line Picks'!$A$1:$D$2000,4,FALSE),"0")</f>
        <v>83</v>
      </c>
      <c r="DK36" s="59">
        <f>IFERROR(VLOOKUP(DK34,'Monthly Line Picks'!$A$1:$D$2000,4,FALSE),"0")</f>
        <v>11</v>
      </c>
      <c r="DL36" s="59" t="str">
        <f>IFERROR(VLOOKUP(DL34,'Monthly Line Picks'!$A$1:$D$2000,4,FALSE),"0")</f>
        <v>0</v>
      </c>
      <c r="DM36" s="59">
        <f>IFERROR(VLOOKUP(DM34,'Monthly Line Picks'!$A$1:$D$2000,4,FALSE),"0")</f>
        <v>36</v>
      </c>
      <c r="DN36" s="59" t="str">
        <f>IFERROR(VLOOKUP(DN34,'Monthly Line Picks'!$A$1:$D$2000,4,FALSE),"0")</f>
        <v>0</v>
      </c>
      <c r="DO36" s="59">
        <f>IFERROR(VLOOKUP(DO34,'Monthly Line Picks'!$A$1:$D$2000,4,FALSE),"0")</f>
        <v>1</v>
      </c>
      <c r="DP36" s="59" t="str">
        <f>IFERROR(VLOOKUP(DP34,'Monthly Line Picks'!$A$1:$D$2000,4,FALSE),"0")</f>
        <v>0</v>
      </c>
      <c r="DQ36" s="59">
        <f>IFERROR(VLOOKUP(DQ34,'Monthly Line Picks'!$A$1:$D$2000,4,FALSE),"0")</f>
        <v>36</v>
      </c>
      <c r="DR36" s="183"/>
      <c r="DS36" s="46" t="str">
        <f>IFERROR(VLOOKUP(DS34,'Monthly Line Picks'!$A$1:$D$1458,4,FALSE),"0")</f>
        <v>0</v>
      </c>
    </row>
    <row r="37" spans="6:127" ht="15.95" thickBot="1">
      <c r="J37" s="56" t="s">
        <v>2175</v>
      </c>
      <c r="K37" s="37">
        <f>IFERROR(VLOOKUP(J37,'Module Items'!$A$1:$B$2587,2,FALSE),"")</f>
        <v>12007</v>
      </c>
      <c r="L37" s="44" t="str">
        <f>IFERROR(VLOOKUP(J37,'Monthly Line Picks'!$A$1:$D$2000,4,FALSE),"0")</f>
        <v>0</v>
      </c>
      <c r="M37" s="47" t="s">
        <v>2176</v>
      </c>
      <c r="N37" s="37">
        <f>IFERROR(VLOOKUP(M37,'Module Items'!$A$1:$B$2587,2,FALSE),"")</f>
        <v>23533</v>
      </c>
      <c r="O37" s="44">
        <f>IFERROR(VLOOKUP(M37,'Monthly Line Picks'!$A$1:$D$2000,4,FALSE),"0")</f>
        <v>17</v>
      </c>
      <c r="P37" s="47" t="s">
        <v>2177</v>
      </c>
      <c r="Q37" s="37">
        <f>IFERROR(VLOOKUP(P37,'Module Items'!$A$1:$B$2587,2,FALSE),"")</f>
        <v>4412</v>
      </c>
      <c r="R37" s="44">
        <f>IFERROR(VLOOKUP(P37,'Monthly Line Picks'!$A$1:$D$2000,4,FALSE),"0")</f>
        <v>6</v>
      </c>
      <c r="S37" s="47" t="s">
        <v>2178</v>
      </c>
      <c r="T37" s="37">
        <f>IFERROR(VLOOKUP(S37,'Module Items'!$A$1:$B$2587,2,FALSE),"")</f>
        <v>120174</v>
      </c>
      <c r="U37" s="44">
        <f>IFERROR(VLOOKUP(S37,'Monthly Line Picks'!$A$1:$D$2000,4,FALSE),"0")</f>
        <v>49</v>
      </c>
      <c r="V37" s="47" t="s">
        <v>2179</v>
      </c>
      <c r="W37" s="37">
        <f>IFERROR(VLOOKUP(V37,'Module Items'!$A$1:$B$2587,2,FALSE),"")</f>
        <v>95278</v>
      </c>
      <c r="X37" s="44">
        <f>IFERROR(VLOOKUP(V37,'Monthly Line Picks'!$A$1:$D$2000,4,FALSE),"0")</f>
        <v>5</v>
      </c>
      <c r="Y37" s="57" t="s">
        <v>2180</v>
      </c>
      <c r="Z37" s="37">
        <f>IFERROR(VLOOKUP(Y37,'Module Items'!$A$1:$B$2587,2,FALSE),"")</f>
        <v>177024</v>
      </c>
      <c r="AA37" s="44">
        <f>IFERROR(VLOOKUP(Y37,'Monthly Line Picks'!$A$1:$D$2000,4,FALSE),"0")</f>
        <v>37</v>
      </c>
      <c r="AB37" s="37" t="s">
        <v>2181</v>
      </c>
      <c r="AC37" s="13" t="s">
        <v>2182</v>
      </c>
      <c r="AD37" s="13" t="s">
        <v>2183</v>
      </c>
      <c r="AE37" s="13" t="s">
        <v>2184</v>
      </c>
      <c r="AF37" s="228"/>
      <c r="AG37" s="108" t="s">
        <v>2185</v>
      </c>
      <c r="AH37" s="37" t="s">
        <v>2186</v>
      </c>
      <c r="AI37" s="13" t="s">
        <v>2187</v>
      </c>
      <c r="AJ37" s="13" t="s">
        <v>2188</v>
      </c>
      <c r="AK37" s="13" t="s">
        <v>2189</v>
      </c>
      <c r="AL37" s="13" t="s">
        <v>2190</v>
      </c>
      <c r="AM37" s="108" t="s">
        <v>2191</v>
      </c>
      <c r="AN37" s="37" t="s">
        <v>2192</v>
      </c>
      <c r="AO37" s="13" t="s">
        <v>2193</v>
      </c>
      <c r="AP37" s="13" t="s">
        <v>2194</v>
      </c>
      <c r="AQ37" s="13" t="s">
        <v>2195</v>
      </c>
      <c r="AR37" s="13" t="s">
        <v>2196</v>
      </c>
      <c r="AS37" s="108" t="s">
        <v>2197</v>
      </c>
      <c r="AT37" s="37" t="s">
        <v>2198</v>
      </c>
      <c r="AU37" s="13" t="s">
        <v>2199</v>
      </c>
      <c r="AV37" s="13" t="s">
        <v>2200</v>
      </c>
      <c r="AW37" s="13" t="s">
        <v>2201</v>
      </c>
      <c r="AX37" s="13" t="s">
        <v>2202</v>
      </c>
      <c r="AY37" s="11" t="s">
        <v>2203</v>
      </c>
      <c r="AZ37" s="37" t="s">
        <v>2204</v>
      </c>
      <c r="BA37" s="13" t="s">
        <v>2205</v>
      </c>
      <c r="BB37" s="13" t="s">
        <v>2206</v>
      </c>
      <c r="BC37" s="13" t="s">
        <v>2207</v>
      </c>
      <c r="BD37" s="13" t="s">
        <v>2208</v>
      </c>
      <c r="BE37" s="108" t="s">
        <v>2209</v>
      </c>
      <c r="BF37" s="37" t="s">
        <v>2210</v>
      </c>
      <c r="BG37" s="13" t="s">
        <v>2211</v>
      </c>
      <c r="BH37" s="13" t="s">
        <v>2212</v>
      </c>
      <c r="BI37" s="13" t="s">
        <v>2213</v>
      </c>
      <c r="BJ37" s="13" t="s">
        <v>2214</v>
      </c>
      <c r="BK37" s="108" t="s">
        <v>2215</v>
      </c>
      <c r="BL37" s="15" t="s">
        <v>2216</v>
      </c>
      <c r="BM37" s="37">
        <f>IFERROR(VLOOKUP(BL37,'Module Items'!$A$1:$B$2587,2,FALSE),"")</f>
        <v>63520</v>
      </c>
      <c r="BN37" s="44">
        <f>IFERROR(VLOOKUP(BL37,'Monthly Line Picks'!$A$1:$D$2000,4,FALSE),"0")</f>
        <v>8</v>
      </c>
      <c r="BO37" s="47" t="s">
        <v>2217</v>
      </c>
      <c r="BP37" s="37">
        <f>IFERROR(VLOOKUP(BO37,'Module Items'!$A$1:$B$2587,2,FALSE),"")</f>
        <v>268</v>
      </c>
      <c r="BQ37" s="44">
        <f>IFERROR(VLOOKUP(BO37,'Monthly Line Picks'!$A$1:$D$2000,4,FALSE),"0")</f>
        <v>7</v>
      </c>
      <c r="BR37" s="47" t="s">
        <v>2218</v>
      </c>
      <c r="BS37" s="37" t="str">
        <f>IFERROR(VLOOKUP(BR37,'Module Items'!$A$1:$B$2587,2,FALSE),"")</f>
        <v>OPEN</v>
      </c>
      <c r="BT37" s="44" t="str">
        <f>IFERROR(VLOOKUP(BR37,'Monthly Line Picks'!$A$1:$D$2000,4,FALSE),"0")</f>
        <v>0</v>
      </c>
      <c r="BU37" s="47" t="s">
        <v>2219</v>
      </c>
      <c r="BV37" s="37">
        <f>IFERROR(VLOOKUP(BU37,'Module Items'!$A$1:$B$2587,2,FALSE),"")</f>
        <v>61494</v>
      </c>
      <c r="BW37" s="44">
        <f>IFERROR(VLOOKUP(BU37,'Monthly Line Picks'!$A$1:$D$2000,4,FALSE),"0")</f>
        <v>16</v>
      </c>
      <c r="BX37" s="47" t="s">
        <v>2220</v>
      </c>
      <c r="BY37" s="37">
        <f>IFERROR(VLOOKUP(BX37,'Module Items'!$A$1:$B$2587,2,FALSE),"")</f>
        <v>33601</v>
      </c>
      <c r="BZ37" s="44">
        <f>IFERROR(VLOOKUP(BX37,'Monthly Line Picks'!$A$1:$D$2000,4,FALSE),"0")</f>
        <v>6</v>
      </c>
      <c r="CA37" s="47" t="s">
        <v>2221</v>
      </c>
      <c r="CB37" s="37">
        <f>IFERROR(VLOOKUP(CA37,'Module Items'!$A$1:$B$2587,2,FALSE),"")</f>
        <v>156347</v>
      </c>
      <c r="CC37" s="44">
        <f>IFERROR(VLOOKUP(CA37,'Monthly Line Picks'!$A$1:$D$2000,4,FALSE),"0")</f>
        <v>9</v>
      </c>
      <c r="CD37" s="182"/>
      <c r="CE37" s="182"/>
      <c r="CF37" s="182"/>
      <c r="CG37" s="37" t="s">
        <v>2222</v>
      </c>
      <c r="CH37" s="13" t="s">
        <v>2223</v>
      </c>
      <c r="CI37" s="108" t="s">
        <v>2224</v>
      </c>
      <c r="CJ37" s="37" t="s">
        <v>2225</v>
      </c>
      <c r="CK37" s="13" t="s">
        <v>2226</v>
      </c>
      <c r="CL37" s="13" t="s">
        <v>2227</v>
      </c>
      <c r="CM37" s="13" t="s">
        <v>2228</v>
      </c>
      <c r="CN37" s="13" t="s">
        <v>2229</v>
      </c>
      <c r="CO37" s="108" t="s">
        <v>2230</v>
      </c>
      <c r="CP37" s="37" t="s">
        <v>2231</v>
      </c>
      <c r="CQ37" s="13" t="s">
        <v>2232</v>
      </c>
      <c r="CR37" s="13" t="s">
        <v>2233</v>
      </c>
      <c r="CS37" s="13" t="s">
        <v>2234</v>
      </c>
      <c r="CT37" s="13" t="s">
        <v>2235</v>
      </c>
      <c r="CU37" s="108" t="s">
        <v>2236</v>
      </c>
      <c r="CV37" s="37" t="s">
        <v>2237</v>
      </c>
      <c r="CW37" s="13" t="s">
        <v>2238</v>
      </c>
      <c r="CX37" s="13" t="s">
        <v>2239</v>
      </c>
      <c r="CY37" s="13" t="s">
        <v>2240</v>
      </c>
      <c r="CZ37" s="13" t="s">
        <v>2241</v>
      </c>
      <c r="DA37" s="108" t="s">
        <v>2242</v>
      </c>
      <c r="DB37" s="37" t="s">
        <v>2243</v>
      </c>
      <c r="DC37" s="13" t="s">
        <v>2244</v>
      </c>
      <c r="DD37" s="13" t="s">
        <v>2245</v>
      </c>
      <c r="DE37" s="13" t="s">
        <v>2246</v>
      </c>
      <c r="DF37" s="13" t="s">
        <v>2247</v>
      </c>
      <c r="DG37" s="108" t="s">
        <v>2248</v>
      </c>
      <c r="DH37" s="37" t="s">
        <v>2249</v>
      </c>
      <c r="DI37" s="13" t="s">
        <v>2250</v>
      </c>
      <c r="DJ37" s="13" t="s">
        <v>2251</v>
      </c>
      <c r="DK37" s="13" t="s">
        <v>2252</v>
      </c>
      <c r="DL37" s="108" t="s">
        <v>2253</v>
      </c>
      <c r="DM37" s="37" t="s">
        <v>2254</v>
      </c>
      <c r="DN37" s="13" t="s">
        <v>2255</v>
      </c>
      <c r="DO37" s="13" t="s">
        <v>2256</v>
      </c>
      <c r="DP37" s="13" t="s">
        <v>2257</v>
      </c>
      <c r="DQ37" s="108" t="s">
        <v>2258</v>
      </c>
      <c r="DR37" s="183"/>
      <c r="DS37" s="28" t="s">
        <v>2259</v>
      </c>
    </row>
    <row r="38" spans="6:127" ht="15" customHeight="1" thickBot="1">
      <c r="J38" s="56" t="s">
        <v>2260</v>
      </c>
      <c r="K38" s="37">
        <f>IFERROR(VLOOKUP(J38,'Module Items'!$A$1:$B$2587,2,FALSE),"")</f>
        <v>116955</v>
      </c>
      <c r="L38" s="44">
        <f>IFERROR(VLOOKUP(J38,'Monthly Line Picks'!$A$1:$D$2000,4,FALSE),"0")</f>
        <v>1</v>
      </c>
      <c r="M38" s="47" t="s">
        <v>2261</v>
      </c>
      <c r="N38" s="37">
        <f>IFERROR(VLOOKUP(M38,'Module Items'!$A$1:$B$2587,2,FALSE),"")</f>
        <v>177137</v>
      </c>
      <c r="O38" s="44" t="str">
        <f>IFERROR(VLOOKUP(M38,'Monthly Line Picks'!$A$1:$D$2000,4,FALSE),"0")</f>
        <v>0</v>
      </c>
      <c r="P38" s="189" t="s">
        <v>305</v>
      </c>
      <c r="Q38" s="190"/>
      <c r="R38" s="190"/>
      <c r="S38" s="190"/>
      <c r="T38" s="190"/>
      <c r="U38" s="191"/>
      <c r="V38" s="47" t="s">
        <v>2262</v>
      </c>
      <c r="W38" s="37" t="str">
        <f>IFERROR(VLOOKUP(V38,'Module Items'!$A$1:$B$2587,2,FALSE),"")</f>
        <v/>
      </c>
      <c r="X38" s="44" t="str">
        <f>IFERROR(VLOOKUP(V38,'Monthly Line Picks'!$A$1:$D$2000,4,FALSE),"0")</f>
        <v>0</v>
      </c>
      <c r="Y38" s="57" t="s">
        <v>2263</v>
      </c>
      <c r="Z38" s="37">
        <f>IFERROR(VLOOKUP(Y38,'Module Items'!$A$1:$B$2587,2,FALSE),"")</f>
        <v>80750</v>
      </c>
      <c r="AA38" s="44">
        <f>IFERROR(VLOOKUP(Y38,'Monthly Line Picks'!$A$1:$D$2000,4,FALSE),"0")</f>
        <v>21</v>
      </c>
      <c r="AB38" s="37">
        <f>IFERROR(VLOOKUP(AB37,'Module Items'!$A$1:$B$2587,2,FALSE),"")</f>
        <v>108747</v>
      </c>
      <c r="AC38" s="13">
        <f>IFERROR(VLOOKUP(AC37,'Module Items'!$A$1:$B$2587,2,FALSE),"")</f>
        <v>100751</v>
      </c>
      <c r="AD38" s="13">
        <f>IFERROR(VLOOKUP(AD37,'Module Items'!$A$1:$B$2587,2,FALSE),"")</f>
        <v>108226</v>
      </c>
      <c r="AE38" s="13" t="str">
        <f>IFERROR(VLOOKUP(AE37,'Module Items'!$A$1:$B$2587,2,FALSE),"")</f>
        <v>OPEN</v>
      </c>
      <c r="AF38" s="228"/>
      <c r="AG38" s="108">
        <f>IFERROR(VLOOKUP(AG37,'Module Items'!$A$1:$B$2587,2,FALSE),"")</f>
        <v>118894</v>
      </c>
      <c r="AH38" s="37">
        <f>IFERROR(VLOOKUP(AH37,'Module Items'!$A$1:$B$2587,2,FALSE),"")</f>
        <v>159055</v>
      </c>
      <c r="AI38" s="13">
        <f>IFERROR(VLOOKUP(AI37,'Module Items'!$A$1:$B$2587,2,FALSE),"")</f>
        <v>22502</v>
      </c>
      <c r="AJ38" s="13">
        <f>IFERROR(VLOOKUP(AJ37,'Module Items'!$A$1:$B$2587,2,FALSE),"")</f>
        <v>63423</v>
      </c>
      <c r="AK38" s="13">
        <f>IFERROR(VLOOKUP(AK37,'Module Items'!$A$1:$B$2587,2,FALSE),"")</f>
        <v>15934</v>
      </c>
      <c r="AL38" s="13">
        <f>IFERROR(VLOOKUP(AL37,'Module Items'!$A$1:$B$2587,2,FALSE),"")</f>
        <v>156759</v>
      </c>
      <c r="AM38" s="108">
        <f>IFERROR(VLOOKUP(AM37,'Module Items'!$A$1:$B$2587,2,FALSE),"")</f>
        <v>132999</v>
      </c>
      <c r="AN38" s="37">
        <f>IFERROR(VLOOKUP(AN37,'Module Items'!$A$1:$B$2587,2,FALSE),"")</f>
        <v>62856</v>
      </c>
      <c r="AO38" s="13">
        <f>IFERROR(VLOOKUP(AO37,'Module Items'!$A$1:$B$2587,2,FALSE),"")</f>
        <v>79</v>
      </c>
      <c r="AP38" s="13">
        <f>IFERROR(VLOOKUP(AP37,'Module Items'!$A$1:$B$2587,2,FALSE),"")</f>
        <v>130172</v>
      </c>
      <c r="AQ38" s="13">
        <f>IFERROR(VLOOKUP(AQ37,'Module Items'!$A$1:$B$2587,2,FALSE),"")</f>
        <v>177479</v>
      </c>
      <c r="AR38" s="13">
        <f>IFERROR(VLOOKUP(AR37,'Module Items'!$A$1:$B$2587,2,FALSE),"")</f>
        <v>120015</v>
      </c>
      <c r="AS38" s="108">
        <f>IFERROR(VLOOKUP(AS37,'Module Items'!$A$1:$B$2587,2,FALSE),"")</f>
        <v>139446</v>
      </c>
      <c r="AT38" s="37">
        <f>IFERROR(VLOOKUP(AT37,'Module Items'!$A$1:$B$2587,2,FALSE),"")</f>
        <v>97130</v>
      </c>
      <c r="AU38" s="13">
        <f>IFERROR(VLOOKUP(AU37,'Module Items'!$A$1:$B$2587,2,FALSE),"")</f>
        <v>132599</v>
      </c>
      <c r="AV38" s="13">
        <f>IFERROR(VLOOKUP(AV37,'Module Items'!$A$1:$B$2587,2,FALSE),"")</f>
        <v>100651</v>
      </c>
      <c r="AW38" s="13">
        <f>IFERROR(VLOOKUP(AW37,'Module Items'!$A$1:$B$2587,2,FALSE),"")</f>
        <v>114101</v>
      </c>
      <c r="AX38" s="13">
        <f>IFERROR(VLOOKUP(AX37,'Module Items'!$A$1:$B$2587,2,FALSE),"")</f>
        <v>7151</v>
      </c>
      <c r="AY38" s="11">
        <f>IFERROR(VLOOKUP(AY37,'Module Items'!$A$1:$B$2587,2,FALSE),"")</f>
        <v>89551</v>
      </c>
      <c r="AZ38" s="37">
        <f>IFERROR(VLOOKUP(AZ37,'Module Items'!$A$1:$B$2587,2,FALSE),"")</f>
        <v>49200</v>
      </c>
      <c r="BA38" s="13">
        <f>IFERROR(VLOOKUP(BA37,'Module Items'!$A$1:$B$2587,2,FALSE),"")</f>
        <v>58621</v>
      </c>
      <c r="BB38" s="13">
        <f>IFERROR(VLOOKUP(BB37,'Module Items'!$A$1:$B$2587,2,FALSE),"")</f>
        <v>116844</v>
      </c>
      <c r="BC38" s="13">
        <f>IFERROR(VLOOKUP(BC37,'Module Items'!$A$1:$B$2587,2,FALSE),"")</f>
        <v>82458</v>
      </c>
      <c r="BD38" s="13">
        <f>IFERROR(VLOOKUP(BD37,'Module Items'!$A$1:$B$2587,2,FALSE),"")</f>
        <v>133874</v>
      </c>
      <c r="BE38" s="108">
        <f>IFERROR(VLOOKUP(BE37,'Module Items'!$A$1:$B$2587,2,FALSE),"")</f>
        <v>7348</v>
      </c>
      <c r="BF38" s="37">
        <f>IFERROR(VLOOKUP(BF37,'Module Items'!$A$1:$B$2587,2,FALSE),"")</f>
        <v>172653</v>
      </c>
      <c r="BG38" s="13">
        <f>IFERROR(VLOOKUP(BG37,'Module Items'!$A$1:$B$2587,2,FALSE),"")</f>
        <v>47353</v>
      </c>
      <c r="BH38" s="13">
        <f>IFERROR(VLOOKUP(BH37,'Module Items'!$A$1:$B$2587,2,FALSE),"")</f>
        <v>158218</v>
      </c>
      <c r="BI38" s="13">
        <f>IFERROR(VLOOKUP(BI37,'Module Items'!$A$1:$B$2587,2,FALSE),"")</f>
        <v>124146</v>
      </c>
      <c r="BJ38" s="13">
        <f>IFERROR(VLOOKUP(BJ37,'Module Items'!$A$1:$B$2587,2,FALSE),"")</f>
        <v>116908</v>
      </c>
      <c r="BK38" s="108">
        <f>IFERROR(VLOOKUP(BK37,'Module Items'!$A$1:$B$2587,2,FALSE),"")</f>
        <v>84018</v>
      </c>
      <c r="BL38" s="15" t="s">
        <v>2264</v>
      </c>
      <c r="BM38" s="37">
        <f>IFERROR(VLOOKUP(BL38,'Module Items'!$A$1:$B$2587,2,FALSE),"")</f>
        <v>157617</v>
      </c>
      <c r="BN38" s="44">
        <f>IFERROR(VLOOKUP(BL38,'Monthly Line Picks'!$A$1:$D$2000,4,FALSE),"0")</f>
        <v>13</v>
      </c>
      <c r="BO38" s="47" t="s">
        <v>2265</v>
      </c>
      <c r="BP38" s="37">
        <f>IFERROR(VLOOKUP(BO38,'Module Items'!$A$1:$B$2587,2,FALSE),"")</f>
        <v>20676</v>
      </c>
      <c r="BQ38" s="44">
        <f>IFERROR(VLOOKUP(BO38,'Monthly Line Picks'!$A$1:$D$2000,4,FALSE),"0")</f>
        <v>13</v>
      </c>
      <c r="BR38" s="189" t="s">
        <v>305</v>
      </c>
      <c r="BS38" s="190"/>
      <c r="BT38" s="190"/>
      <c r="BU38" s="190"/>
      <c r="BV38" s="190"/>
      <c r="BW38" s="191"/>
      <c r="BX38" s="47" t="s">
        <v>2266</v>
      </c>
      <c r="BY38" s="37">
        <f>IFERROR(VLOOKUP(BX38,'Module Items'!$A$1:$B$2587,2,FALSE),"")</f>
        <v>73874</v>
      </c>
      <c r="BZ38" s="44">
        <f>IFERROR(VLOOKUP(BX38,'Monthly Line Picks'!$A$1:$D$2000,4,FALSE),"0")</f>
        <v>18</v>
      </c>
      <c r="CA38" s="47" t="s">
        <v>2267</v>
      </c>
      <c r="CB38" s="37">
        <f>IFERROR(VLOOKUP(CA38,'Module Items'!$A$1:$B$2587,2,FALSE),"")</f>
        <v>59364</v>
      </c>
      <c r="CC38" s="44">
        <f>IFERROR(VLOOKUP(CA38,'Monthly Line Picks'!$A$1:$D$2000,4,FALSE),"0")</f>
        <v>8</v>
      </c>
      <c r="CD38" s="182"/>
      <c r="CE38" s="182"/>
      <c r="CF38" s="182"/>
      <c r="CG38" s="37" t="str">
        <f>IFERROR(VLOOKUP(CG37,'Module Items'!$A$1:$B$2587,2,FALSE),"")</f>
        <v>OPEN</v>
      </c>
      <c r="CH38" s="13">
        <f>IFERROR(VLOOKUP(CH37,'Module Items'!$A$1:$B$2587,2,FALSE),"")</f>
        <v>110674</v>
      </c>
      <c r="CI38" s="108">
        <f>IFERROR(VLOOKUP(CI37,'Module Items'!$A$1:$B$2587,2,FALSE),"")</f>
        <v>22681</v>
      </c>
      <c r="CJ38" s="37">
        <f>IFERROR(VLOOKUP(CJ37,'Module Items'!$A$1:$B$2587,2,FALSE),"")</f>
        <v>120</v>
      </c>
      <c r="CK38" s="13" t="str">
        <f>IFERROR(VLOOKUP(CK37,'Module Items'!$A$1:$B$2587,2,FALSE),"")</f>
        <v/>
      </c>
      <c r="CL38" s="13">
        <f>IFERROR(VLOOKUP(CL37,'Module Items'!$A$1:$B$2587,2,FALSE),"")</f>
        <v>101246</v>
      </c>
      <c r="CM38" s="13">
        <f>IFERROR(VLOOKUP(CM37,'Module Items'!$A$1:$B$2587,2,FALSE),"")</f>
        <v>91601</v>
      </c>
      <c r="CN38" s="13">
        <f>IFERROR(VLOOKUP(CN37,'Module Items'!$A$1:$B$2587,2,FALSE),"")</f>
        <v>156830</v>
      </c>
      <c r="CO38" s="108">
        <f>IFERROR(VLOOKUP(CO37,'Module Items'!$A$1:$B$2587,2,FALSE),"")</f>
        <v>110681</v>
      </c>
      <c r="CP38" s="37" t="str">
        <f>IFERROR(VLOOKUP(CP37,'Module Items'!$A$1:$B$2587,2,FALSE),"")</f>
        <v>OPEN</v>
      </c>
      <c r="CQ38" s="13">
        <f>IFERROR(VLOOKUP(CQ37,'Module Items'!$A$1:$B$2587,2,FALSE),"")</f>
        <v>132822</v>
      </c>
      <c r="CR38" s="13">
        <f>IFERROR(VLOOKUP(CR37,'Module Items'!$A$1:$B$2587,2,FALSE),"")</f>
        <v>1999</v>
      </c>
      <c r="CS38" s="13">
        <f>IFERROR(VLOOKUP(CS37,'Module Items'!$A$1:$B$2587,2,FALSE),"")</f>
        <v>47420</v>
      </c>
      <c r="CT38" s="13">
        <f>IFERROR(VLOOKUP(CT37,'Module Items'!$A$1:$B$2587,2,FALSE),"")</f>
        <v>97116</v>
      </c>
      <c r="CU38" s="108">
        <f>IFERROR(VLOOKUP(CU37,'Module Items'!$A$1:$B$2587,2,FALSE),"")</f>
        <v>138554</v>
      </c>
      <c r="CV38" s="37">
        <f>IFERROR(VLOOKUP(CV37,'Module Items'!$A$1:$B$2587,2,FALSE),"")</f>
        <v>105355</v>
      </c>
      <c r="CW38" s="13">
        <f>IFERROR(VLOOKUP(CW37,'Module Items'!$A$1:$B$2587,2,FALSE),"")</f>
        <v>100965</v>
      </c>
      <c r="CX38" s="13" t="str">
        <f>IFERROR(VLOOKUP(CX37,'Module Items'!$A$1:$B$2587,2,FALSE),"")</f>
        <v>OPEN</v>
      </c>
      <c r="CY38" s="13">
        <f>IFERROR(VLOOKUP(CY37,'Module Items'!$A$1:$B$2587,2,FALSE),"")</f>
        <v>135746</v>
      </c>
      <c r="CZ38" s="13">
        <f>IFERROR(VLOOKUP(CZ37,'Module Items'!$A$1:$B$2587,2,FALSE),"")</f>
        <v>132595</v>
      </c>
      <c r="DA38" s="108">
        <f>IFERROR(VLOOKUP(DA37,'Module Items'!$A$1:$B$2587,2,FALSE),"")</f>
        <v>139410</v>
      </c>
      <c r="DB38" s="37">
        <f>IFERROR(VLOOKUP(DB37,'Module Items'!$A$1:$B$2587,2,FALSE),"")</f>
        <v>39735</v>
      </c>
      <c r="DC38" s="13">
        <f>IFERROR(VLOOKUP(DC37,'Module Items'!$A$1:$B$2587,2,FALSE),"")</f>
        <v>100263</v>
      </c>
      <c r="DD38" s="13">
        <f>IFERROR(VLOOKUP(DD37,'Module Items'!$A$1:$B$2587,2,FALSE),"")</f>
        <v>131531</v>
      </c>
      <c r="DE38" s="13">
        <f>IFERROR(VLOOKUP(DE37,'Module Items'!$A$1:$B$2587,2,FALSE),"")</f>
        <v>53271</v>
      </c>
      <c r="DF38" s="13">
        <f>IFERROR(VLOOKUP(DF37,'Module Items'!$A$1:$B$2587,2,FALSE),"")</f>
        <v>57665</v>
      </c>
      <c r="DG38" s="108">
        <f>IFERROR(VLOOKUP(DG37,'Module Items'!$A$1:$B$2587,2,FALSE),"")</f>
        <v>129516</v>
      </c>
      <c r="DH38" s="37">
        <f>IFERROR(VLOOKUP(DH37,'Module Items'!$A$1:$B$2587,2,FALSE),"")</f>
        <v>110025</v>
      </c>
      <c r="DI38" s="13">
        <f>IFERROR(VLOOKUP(DI37,'Module Items'!$A$1:$B$2587,2,FALSE),"")</f>
        <v>9723</v>
      </c>
      <c r="DJ38" s="13">
        <f>IFERROR(VLOOKUP(DJ37,'Module Items'!$A$1:$B$2587,2,FALSE),"")</f>
        <v>96288</v>
      </c>
      <c r="DK38" s="13">
        <f>IFERROR(VLOOKUP(DK37,'Module Items'!$A$1:$B$2587,2,FALSE),"")</f>
        <v>430</v>
      </c>
      <c r="DL38" s="108">
        <f>IFERROR(VLOOKUP(DL37,'Module Items'!$A$1:$B$2587,2,FALSE),"")</f>
        <v>139710</v>
      </c>
      <c r="DM38" s="37">
        <f>IFERROR(VLOOKUP(DM37,'Module Items'!$A$1:$B$2587,2,FALSE),"")</f>
        <v>177091</v>
      </c>
      <c r="DN38" s="13">
        <f>IFERROR(VLOOKUP(DN37,'Module Items'!$A$1:$B$2587,2,FALSE),"")</f>
        <v>106356</v>
      </c>
      <c r="DO38" s="13">
        <f>IFERROR(VLOOKUP(DO37,'Module Items'!$A$1:$B$2587,2,FALSE),"")</f>
        <v>61368</v>
      </c>
      <c r="DP38" s="13">
        <f>IFERROR(VLOOKUP(DP37,'Module Items'!$A$1:$B$2587,2,FALSE),"")</f>
        <v>139717</v>
      </c>
      <c r="DQ38" s="108" t="str">
        <f>IFERROR(VLOOKUP(DQ37,'Module Items'!$A$1:$B$2587,2,FALSE),"")</f>
        <v/>
      </c>
      <c r="DR38" s="183"/>
      <c r="DS38" s="39" t="str">
        <f>IFERROR(VLOOKUP(DS37,'Module Items'!$A$1:$B$2587,2,FALSE),"")</f>
        <v>OPEN</v>
      </c>
    </row>
    <row r="39" spans="6:127" ht="15.95" thickBot="1">
      <c r="J39" s="58" t="s">
        <v>2268</v>
      </c>
      <c r="K39" s="37">
        <f>IFERROR(VLOOKUP(J39,'Module Items'!$A$1:$B$2587,2,FALSE),"")</f>
        <v>159021</v>
      </c>
      <c r="L39" s="44">
        <f>IFERROR(VLOOKUP(J39,'Monthly Line Picks'!$A$1:$D$2000,4,FALSE),"0")</f>
        <v>4</v>
      </c>
      <c r="M39" s="50" t="s">
        <v>2269</v>
      </c>
      <c r="N39" s="37">
        <f>IFERROR(VLOOKUP(M39,'Module Items'!$A$1:$B$2587,2,FALSE),"")</f>
        <v>172888</v>
      </c>
      <c r="O39" s="44">
        <f>IFERROR(VLOOKUP(M39,'Monthly Line Picks'!$A$1:$D$2000,4,FALSE),"0")</f>
        <v>7</v>
      </c>
      <c r="P39" s="192"/>
      <c r="Q39" s="193"/>
      <c r="R39" s="193"/>
      <c r="S39" s="193"/>
      <c r="T39" s="193"/>
      <c r="U39" s="194"/>
      <c r="V39" s="50" t="s">
        <v>2270</v>
      </c>
      <c r="W39" s="37">
        <f>IFERROR(VLOOKUP(V39,'Module Items'!$A$1:$B$2587,2,FALSE),"")</f>
        <v>113999</v>
      </c>
      <c r="X39" s="44">
        <f>IFERROR(VLOOKUP(V39,'Monthly Line Picks'!$A$1:$D$2000,4,FALSE),"0")</f>
        <v>7</v>
      </c>
      <c r="Y39" s="59" t="s">
        <v>2271</v>
      </c>
      <c r="Z39" s="37">
        <f>IFERROR(VLOOKUP(Y39,'Module Items'!$A$1:$B$2587,2,FALSE),"")</f>
        <v>121260</v>
      </c>
      <c r="AA39" s="44">
        <f>IFERROR(VLOOKUP(Y39,'Monthly Line Picks'!$A$1:$D$2000,4,FALSE),"0")</f>
        <v>12</v>
      </c>
      <c r="AB39" s="58">
        <f>IFERROR(VLOOKUP(AB37,'Monthly Line Picks'!$A$1:$D$2101,4,FALSE),"0")</f>
        <v>199</v>
      </c>
      <c r="AC39" s="50">
        <f>IFERROR(VLOOKUP(AC37,'Monthly Line Picks'!$A$1:$D$2101,4,FALSE),"0")</f>
        <v>21</v>
      </c>
      <c r="AD39" s="50">
        <f>IFERROR(VLOOKUP(AD37,'Monthly Line Picks'!$A$1:$D$2101,4,FALSE),"0")</f>
        <v>52</v>
      </c>
      <c r="AE39" s="50">
        <f>IFERROR(VLOOKUP(AE37,'Monthly Line Picks'!$A$1:$D$2101,4,FALSE),"0")</f>
        <v>7</v>
      </c>
      <c r="AF39" s="229"/>
      <c r="AG39" s="59">
        <f>IFERROR(VLOOKUP(AG37,'Monthly Line Picks'!$A$1:$D$2101,4,FALSE),"0")</f>
        <v>87</v>
      </c>
      <c r="AH39" s="58">
        <f>IFERROR(VLOOKUP(AH37,'Monthly Line Picks'!$A$1:$D$2101,4,FALSE),"0")</f>
        <v>58</v>
      </c>
      <c r="AI39" s="50">
        <f>IFERROR(VLOOKUP(AI37,'Monthly Line Picks'!$A$1:$D$2101,4,FALSE),"0")</f>
        <v>44</v>
      </c>
      <c r="AJ39" s="50">
        <f>IFERROR(VLOOKUP(AJ37,'Monthly Line Picks'!$A$1:$D$2101,4,FALSE),"0")</f>
        <v>11</v>
      </c>
      <c r="AK39" s="50">
        <f>IFERROR(VLOOKUP(AK37,'Monthly Line Picks'!$A$1:$D$2101,4,FALSE),"0")</f>
        <v>37</v>
      </c>
      <c r="AL39" s="50">
        <f>IFERROR(VLOOKUP(AL37,'Monthly Line Picks'!$A$1:$D$2101,4,FALSE),"0")</f>
        <v>31</v>
      </c>
      <c r="AM39" s="59">
        <f>IFERROR(VLOOKUP(AM37,'Monthly Line Picks'!$A$1:$D$2101,4,FALSE),"0")</f>
        <v>3</v>
      </c>
      <c r="AN39" s="58">
        <f>IFERROR(VLOOKUP(AN37,'Monthly Line Picks'!$A$1:$D$2101,4,FALSE),"0")</f>
        <v>35</v>
      </c>
      <c r="AO39" s="50">
        <f>IFERROR(VLOOKUP(AO37,'Monthly Line Picks'!$A$1:$D$2101,4,FALSE),"0")</f>
        <v>28</v>
      </c>
      <c r="AP39" s="50">
        <f>IFERROR(VLOOKUP(AP37,'Monthly Line Picks'!$A$1:$D$2101,4,FALSE),"0")</f>
        <v>77</v>
      </c>
      <c r="AQ39" s="50">
        <f>IFERROR(VLOOKUP(AQ37,'Monthly Line Picks'!$A$1:$D$2101,4,FALSE),"0")</f>
        <v>3</v>
      </c>
      <c r="AR39" s="50">
        <f>IFERROR(VLOOKUP(AR37,'Monthly Line Picks'!$A$1:$D$2101,4,FALSE),"0")</f>
        <v>40</v>
      </c>
      <c r="AS39" s="59">
        <f>IFERROR(VLOOKUP(AS37,'Monthly Line Picks'!$A$1:$D$2101,4,FALSE),"0")</f>
        <v>18</v>
      </c>
      <c r="AT39" s="58">
        <f>IFERROR(VLOOKUP(AT37,'Monthly Line Picks'!$A$1:$D$2101,4,FALSE),"0")</f>
        <v>28</v>
      </c>
      <c r="AU39" s="50">
        <f>IFERROR(VLOOKUP(AU37,'Monthly Line Picks'!$A$1:$D$2101,4,FALSE),"0")</f>
        <v>18</v>
      </c>
      <c r="AV39" s="50" t="str">
        <f>IFERROR(VLOOKUP(AV37,'Monthly Line Picks'!$A$1:$D$2101,4,FALSE),"0")</f>
        <v>0</v>
      </c>
      <c r="AW39" s="50">
        <f>IFERROR(VLOOKUP(AW37,'Monthly Line Picks'!$A$1:$D$2101,4,FALSE),"0")</f>
        <v>65</v>
      </c>
      <c r="AX39" s="50">
        <f>IFERROR(VLOOKUP(AX37,'Monthly Line Picks'!$A$1:$D$2101,4,FALSE),"0")</f>
        <v>4</v>
      </c>
      <c r="AY39" s="51">
        <f>IFERROR(VLOOKUP(AY37,'Monthly Line Picks'!$A$1:$D$2101,4,FALSE),"0")</f>
        <v>54</v>
      </c>
      <c r="AZ39" s="58">
        <f>IFERROR(VLOOKUP(AZ37,'Monthly Line Picks'!$A$1:$D$2101,4,FALSE),"0")</f>
        <v>37</v>
      </c>
      <c r="BA39" s="50">
        <f>IFERROR(VLOOKUP(BA37,'Monthly Line Picks'!$A$1:$D$2101,4,FALSE),"0")</f>
        <v>65</v>
      </c>
      <c r="BB39" s="50">
        <f>IFERROR(VLOOKUP(BB37,'Monthly Line Picks'!$A$1:$D$2101,4,FALSE),"0")</f>
        <v>61</v>
      </c>
      <c r="BC39" s="50" t="str">
        <f>IFERROR(VLOOKUP(BC37,'Monthly Line Picks'!$A$1:$D$2101,4,FALSE),"0")</f>
        <v>0</v>
      </c>
      <c r="BD39" s="50">
        <f>IFERROR(VLOOKUP(BD37,'Monthly Line Picks'!$A$1:$D$2101,4,FALSE),"0")</f>
        <v>4</v>
      </c>
      <c r="BE39" s="59">
        <f>IFERROR(VLOOKUP(BE37,'Monthly Line Picks'!$A$1:$D$2101,4,FALSE),"0")</f>
        <v>47</v>
      </c>
      <c r="BF39" s="58">
        <f>IFERROR(VLOOKUP(BF37,'Monthly Line Picks'!$A$1:$D$2101,4,FALSE),"0")</f>
        <v>4</v>
      </c>
      <c r="BG39" s="50">
        <f>IFERROR(VLOOKUP(BG37,'Monthly Line Picks'!$A$1:$D$2101,4,FALSE),"0")</f>
        <v>26</v>
      </c>
      <c r="BH39" s="50">
        <f>IFERROR(VLOOKUP(BH37,'Monthly Line Picks'!$A$1:$D$2101,4,FALSE),"0")</f>
        <v>18</v>
      </c>
      <c r="BI39" s="50">
        <f>IFERROR(VLOOKUP(BI37,'Monthly Line Picks'!$A$1:$D$2101,4,FALSE),"0")</f>
        <v>3</v>
      </c>
      <c r="BJ39" s="50">
        <f>IFERROR(VLOOKUP(BJ37,'Monthly Line Picks'!$A$1:$D$2101,4,FALSE),"0")</f>
        <v>54</v>
      </c>
      <c r="BK39" s="59">
        <f>IFERROR(VLOOKUP(BK37,'Monthly Line Picks'!$A$1:$D$2101,4,FALSE),"0")</f>
        <v>5</v>
      </c>
      <c r="BL39" s="15" t="s">
        <v>2272</v>
      </c>
      <c r="BM39" s="37">
        <f>IFERROR(VLOOKUP(BL39,'Module Items'!$A$1:$B$2587,2,FALSE),"")</f>
        <v>116941</v>
      </c>
      <c r="BN39" s="44">
        <f>IFERROR(VLOOKUP(BL39,'Monthly Line Picks'!$A$1:$D$2000,4,FALSE),"0")</f>
        <v>19</v>
      </c>
      <c r="BO39" s="47" t="s">
        <v>2273</v>
      </c>
      <c r="BP39" s="37">
        <f>IFERROR(VLOOKUP(BO39,'Module Items'!$A$1:$B$2587,2,FALSE),"")</f>
        <v>5425</v>
      </c>
      <c r="BQ39" s="44">
        <f>IFERROR(VLOOKUP(BO39,'Monthly Line Picks'!$A$1:$D$2000,4,FALSE),"0")</f>
        <v>14</v>
      </c>
      <c r="BR39" s="192"/>
      <c r="BS39" s="193"/>
      <c r="BT39" s="193"/>
      <c r="BU39" s="193"/>
      <c r="BV39" s="193"/>
      <c r="BW39" s="194"/>
      <c r="BX39" s="47" t="s">
        <v>2274</v>
      </c>
      <c r="BY39" s="37">
        <f>IFERROR(VLOOKUP(BX39,'Module Items'!$A$1:$B$2587,2,FALSE),"")</f>
        <v>83661</v>
      </c>
      <c r="BZ39" s="44">
        <f>IFERROR(VLOOKUP(BX39,'Monthly Line Picks'!$A$1:$D$2000,4,FALSE),"0")</f>
        <v>18</v>
      </c>
      <c r="CA39" s="47" t="s">
        <v>2275</v>
      </c>
      <c r="CB39" s="37">
        <f>IFERROR(VLOOKUP(CA39,'Module Items'!$A$1:$B$2587,2,FALSE),"")</f>
        <v>35277</v>
      </c>
      <c r="CC39" s="44" t="str">
        <f>IFERROR(VLOOKUP(CA39,'Monthly Line Picks'!$A$1:$D$2000,4,FALSE),"0")</f>
        <v>0</v>
      </c>
      <c r="CD39" s="185"/>
      <c r="CE39" s="185"/>
      <c r="CF39" s="185"/>
      <c r="CG39" s="59" t="str">
        <f>IFERROR(VLOOKUP(CG37,'Monthly Line Picks'!$A$1:$D$2000,4,FALSE),"0")</f>
        <v>0</v>
      </c>
      <c r="CH39" s="59">
        <f>IFERROR(VLOOKUP(CH37,'Monthly Line Picks'!$A$1:$D$2000,4,FALSE),"0")</f>
        <v>35</v>
      </c>
      <c r="CI39" s="59" t="str">
        <f>IFERROR(VLOOKUP(CI37,'Monthly Line Picks'!$A$1:$D$2000,4,FALSE),"0")</f>
        <v>0</v>
      </c>
      <c r="CJ39" s="59">
        <f>IFERROR(VLOOKUP(CJ37,'Monthly Line Picks'!$A$1:$D$2000,4,FALSE),"0")</f>
        <v>108</v>
      </c>
      <c r="CK39" s="59" t="str">
        <f>IFERROR(VLOOKUP(CK37,'Monthly Line Picks'!$A$1:$D$2000,4,FALSE),"0")</f>
        <v>0</v>
      </c>
      <c r="CL39" s="59">
        <f>IFERROR(VLOOKUP(CL37,'Monthly Line Picks'!$A$1:$D$2000,4,FALSE),"0")</f>
        <v>79</v>
      </c>
      <c r="CM39" s="59" t="str">
        <f>IFERROR(VLOOKUP(CM37,'Monthly Line Picks'!$A$1:$D$2000,4,FALSE),"0")</f>
        <v>0</v>
      </c>
      <c r="CN39" s="59">
        <f>IFERROR(VLOOKUP(CN37,'Monthly Line Picks'!$A$1:$D$2000,4,FALSE),"0")</f>
        <v>34</v>
      </c>
      <c r="CO39" s="59">
        <f>IFERROR(VLOOKUP(CO37,'Monthly Line Picks'!$A$1:$D$2000,4,FALSE),"0")</f>
        <v>19</v>
      </c>
      <c r="CP39" s="59" t="str">
        <f>IFERROR(VLOOKUP(CP37,'Monthly Line Picks'!$A$1:$D$2000,4,FALSE),"0")</f>
        <v>0</v>
      </c>
      <c r="CQ39" s="59">
        <f>IFERROR(VLOOKUP(CQ37,'Monthly Line Picks'!$A$1:$D$2000,4,FALSE),"0")</f>
        <v>9</v>
      </c>
      <c r="CR39" s="59">
        <f>IFERROR(VLOOKUP(CR37,'Monthly Line Picks'!$A$1:$D$2000,4,FALSE),"0")</f>
        <v>77</v>
      </c>
      <c r="CS39" s="59">
        <f>IFERROR(VLOOKUP(CS37,'Monthly Line Picks'!$A$1:$D$2000,4,FALSE),"0")</f>
        <v>39</v>
      </c>
      <c r="CT39" s="59" t="str">
        <f>IFERROR(VLOOKUP(CT37,'Monthly Line Picks'!$A$1:$D$2000,4,FALSE),"0")</f>
        <v>0</v>
      </c>
      <c r="CU39" s="59">
        <f>IFERROR(VLOOKUP(CU37,'Monthly Line Picks'!$A$1:$D$2000,4,FALSE),"0")</f>
        <v>68</v>
      </c>
      <c r="CV39" s="59">
        <f>IFERROR(VLOOKUP(CV37,'Monthly Line Picks'!$A$1:$D$2000,4,FALSE),"0")</f>
        <v>47</v>
      </c>
      <c r="CW39" s="59">
        <f>IFERROR(VLOOKUP(CW37,'Monthly Line Picks'!$A$1:$D$2000,4,FALSE),"0")</f>
        <v>123</v>
      </c>
      <c r="CX39" s="59" t="str">
        <f>IFERROR(VLOOKUP(CX37,'Monthly Line Picks'!$A$1:$D$2000,4,FALSE),"0")</f>
        <v>0</v>
      </c>
      <c r="CY39" s="59">
        <f>IFERROR(VLOOKUP(CY37,'Monthly Line Picks'!$A$1:$D$2000,4,FALSE),"0")</f>
        <v>23</v>
      </c>
      <c r="CZ39" s="59">
        <f>IFERROR(VLOOKUP(CZ37,'Monthly Line Picks'!$A$1:$D$2000,4,FALSE),"0")</f>
        <v>42</v>
      </c>
      <c r="DA39" s="59">
        <f>IFERROR(VLOOKUP(DA37,'Monthly Line Picks'!$A$1:$D$2000,4,FALSE),"0")</f>
        <v>7</v>
      </c>
      <c r="DB39" s="59" t="str">
        <f>IFERROR(VLOOKUP(DB37,'Monthly Line Picks'!$A$1:$D$2000,4,FALSE),"0")</f>
        <v>0</v>
      </c>
      <c r="DC39" s="59" t="str">
        <f>IFERROR(VLOOKUP(DC37,'Monthly Line Picks'!$A$1:$D$2000,4,FALSE),"0")</f>
        <v>0</v>
      </c>
      <c r="DD39" s="59" t="str">
        <f>IFERROR(VLOOKUP(DD37,'Monthly Line Picks'!$A$1:$D$2000,4,FALSE),"0")</f>
        <v>0</v>
      </c>
      <c r="DE39" s="59">
        <f>IFERROR(VLOOKUP(DE37,'Monthly Line Picks'!$A$1:$D$2000,4,FALSE),"0")</f>
        <v>24</v>
      </c>
      <c r="DF39" s="59">
        <f>IFERROR(VLOOKUP(DF37,'Monthly Line Picks'!$A$1:$D$2000,4,FALSE),"0")</f>
        <v>17</v>
      </c>
      <c r="DG39" s="59" t="str">
        <f>IFERROR(VLOOKUP(DG37,'Monthly Line Picks'!$A$1:$D$2000,4,FALSE),"0")</f>
        <v>0</v>
      </c>
      <c r="DH39" s="59">
        <f>IFERROR(VLOOKUP(DH37,'Monthly Line Picks'!$A$1:$D$2000,4,FALSE),"0")</f>
        <v>33</v>
      </c>
      <c r="DI39" s="59">
        <f>IFERROR(VLOOKUP(DI37,'Monthly Line Picks'!$A$1:$D$2000,4,FALSE),"0")</f>
        <v>25</v>
      </c>
      <c r="DJ39" s="59">
        <f>IFERROR(VLOOKUP(DJ37,'Monthly Line Picks'!$A$1:$D$2000,4,FALSE),"0")</f>
        <v>41</v>
      </c>
      <c r="DK39" s="59">
        <f>IFERROR(VLOOKUP(DK37,'Monthly Line Picks'!$A$1:$D$2000,4,FALSE),"0")</f>
        <v>35</v>
      </c>
      <c r="DL39" s="59">
        <f>IFERROR(VLOOKUP(DL37,'Monthly Line Picks'!$A$1:$D$2000,4,FALSE),"0")</f>
        <v>8</v>
      </c>
      <c r="DM39" s="59" t="str">
        <f>IFERROR(VLOOKUP(DM37,'Monthly Line Picks'!$A$1:$D$2000,4,FALSE),"0")</f>
        <v>0</v>
      </c>
      <c r="DN39" s="59">
        <f>IFERROR(VLOOKUP(DN37,'Monthly Line Picks'!$A$1:$D$2000,4,FALSE),"0")</f>
        <v>8</v>
      </c>
      <c r="DO39" s="59">
        <f>IFERROR(VLOOKUP(DO37,'Monthly Line Picks'!$A$1:$D$2000,4,FALSE),"0")</f>
        <v>15</v>
      </c>
      <c r="DP39" s="59" t="str">
        <f>IFERROR(VLOOKUP(DP37,'Monthly Line Picks'!$A$1:$D$2000,4,FALSE),"0")</f>
        <v>0</v>
      </c>
      <c r="DQ39" s="59" t="str">
        <f>IFERROR(VLOOKUP(DQ37,'Monthly Line Picks'!$A$1:$D$2000,4,FALSE),"0")</f>
        <v>0</v>
      </c>
      <c r="DR39" s="186"/>
      <c r="DS39" s="46" t="str">
        <f>IFERROR(VLOOKUP(DS37,'Monthly Line Picks'!$A$1:$D$1458,4,FALSE),"0")</f>
        <v>0</v>
      </c>
    </row>
    <row r="40" spans="6:127" ht="15.95" thickBot="1">
      <c r="J40" s="254" t="s">
        <v>971</v>
      </c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  <c r="BK40" s="256"/>
      <c r="BL40" s="256"/>
      <c r="BM40" s="256"/>
      <c r="BN40" s="256"/>
      <c r="BO40" s="257"/>
      <c r="BP40" s="107"/>
      <c r="BQ40" s="107"/>
      <c r="BR40" s="262" t="s">
        <v>972</v>
      </c>
      <c r="BS40" s="263"/>
      <c r="BT40" s="263"/>
      <c r="BU40" s="263"/>
      <c r="BV40" s="263"/>
      <c r="BW40" s="263"/>
      <c r="BX40" s="263"/>
      <c r="BY40" s="263"/>
      <c r="BZ40" s="263"/>
      <c r="CA40" s="263"/>
      <c r="CB40" s="263"/>
      <c r="CC40" s="263"/>
      <c r="CD40" s="263"/>
      <c r="CE40" s="263"/>
      <c r="CF40" s="263"/>
      <c r="CG40" s="264"/>
      <c r="CH40" s="264"/>
      <c r="CI40" s="264"/>
      <c r="CJ40" s="264"/>
      <c r="CK40" s="264"/>
      <c r="CL40" s="264"/>
      <c r="CM40" s="264"/>
      <c r="CN40" s="264"/>
      <c r="CO40" s="264"/>
      <c r="CP40" s="264"/>
      <c r="CQ40" s="264"/>
      <c r="CR40" s="264"/>
      <c r="CS40" s="264"/>
      <c r="CT40" s="264"/>
      <c r="CU40" s="264"/>
      <c r="CV40" s="264"/>
      <c r="CW40" s="264"/>
      <c r="CX40" s="264"/>
      <c r="CY40" s="264"/>
      <c r="CZ40" s="264"/>
      <c r="DA40" s="264"/>
      <c r="DB40" s="264"/>
      <c r="DC40" s="264"/>
      <c r="DD40" s="264"/>
      <c r="DE40" s="264"/>
      <c r="DF40" s="264"/>
      <c r="DG40" s="265"/>
    </row>
    <row r="41" spans="6:127" ht="15.95" thickBot="1"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</row>
    <row r="42" spans="6:127" ht="15.95" thickBot="1">
      <c r="J42" s="258" t="s">
        <v>969</v>
      </c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60"/>
      <c r="AC42" s="260"/>
      <c r="AD42" s="260"/>
      <c r="AE42" s="260"/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260"/>
      <c r="BD42" s="260"/>
      <c r="BE42" s="260"/>
      <c r="BF42" s="260"/>
      <c r="BG42" s="260"/>
      <c r="BH42" s="260"/>
      <c r="BI42" s="260"/>
      <c r="BJ42" s="260"/>
      <c r="BK42" s="260"/>
      <c r="BL42" s="260"/>
      <c r="BM42" s="260"/>
      <c r="BN42" s="260"/>
      <c r="BO42" s="261"/>
      <c r="BP42" s="106"/>
      <c r="BQ42" s="106"/>
      <c r="BR42" s="250" t="s">
        <v>970</v>
      </c>
      <c r="BS42" s="251"/>
      <c r="BT42" s="251"/>
      <c r="BU42" s="251"/>
      <c r="BV42" s="251"/>
      <c r="BW42" s="251"/>
      <c r="BX42" s="251"/>
      <c r="BY42" s="251"/>
      <c r="BZ42" s="251"/>
      <c r="CA42" s="251"/>
      <c r="CB42" s="251"/>
      <c r="CC42" s="251"/>
      <c r="CD42" s="251"/>
      <c r="CE42" s="251"/>
      <c r="CF42" s="251"/>
      <c r="CG42" s="252"/>
      <c r="CH42" s="252"/>
      <c r="CI42" s="252"/>
      <c r="CJ42" s="252"/>
      <c r="CK42" s="252"/>
      <c r="CL42" s="252"/>
      <c r="CM42" s="252"/>
      <c r="CN42" s="252"/>
      <c r="CO42" s="252"/>
      <c r="CP42" s="252"/>
      <c r="CQ42" s="252"/>
      <c r="CR42" s="252"/>
      <c r="CS42" s="252"/>
      <c r="CT42" s="252"/>
      <c r="CU42" s="252"/>
      <c r="CV42" s="252"/>
      <c r="CW42" s="252"/>
      <c r="CX42" s="252"/>
      <c r="CY42" s="252"/>
      <c r="CZ42" s="252"/>
      <c r="DA42" s="252"/>
      <c r="DB42" s="252"/>
      <c r="DC42" s="252"/>
      <c r="DD42" s="252"/>
      <c r="DE42" s="252"/>
      <c r="DF42" s="252"/>
      <c r="DG42" s="253"/>
    </row>
    <row r="43" spans="6:127" ht="15" customHeight="1" thickBot="1">
      <c r="F43" s="242"/>
      <c r="G43" s="213"/>
      <c r="H43" s="195"/>
      <c r="I43" s="241"/>
      <c r="J43" s="44" t="s">
        <v>2276</v>
      </c>
      <c r="K43" s="37">
        <f>IFERROR(VLOOKUP(J43,'Module Items'!$A$1:$B$2587,2,FALSE),"")</f>
        <v>31503</v>
      </c>
      <c r="L43" s="44" t="str">
        <f>IFERROR(VLOOKUP(J43,'Monthly Line Picks'!$A$1:$D$2000,4,FALSE),"0")</f>
        <v>0</v>
      </c>
      <c r="M43" s="42" t="s">
        <v>2277</v>
      </c>
      <c r="N43" s="37">
        <f>IFERROR(VLOOKUP(M43,'Module Items'!$A$1:$B$2587,2,FALSE),"")</f>
        <v>30694</v>
      </c>
      <c r="O43" s="44">
        <f>IFERROR(VLOOKUP(M43,'Monthly Line Picks'!$A$1:$D$2000,4,FALSE),"0")</f>
        <v>20</v>
      </c>
      <c r="P43" s="214" t="s">
        <v>305</v>
      </c>
      <c r="Q43" s="215"/>
      <c r="R43" s="215"/>
      <c r="S43" s="215"/>
      <c r="T43" s="215"/>
      <c r="U43" s="216"/>
      <c r="V43" s="42" t="s">
        <v>2278</v>
      </c>
      <c r="W43" s="37">
        <f>IFERROR(VLOOKUP(V43,'Module Items'!$A$1:$B$2587,2,FALSE),"")</f>
        <v>105010</v>
      </c>
      <c r="X43" s="44">
        <f>IFERROR(VLOOKUP(V43,'Monthly Line Picks'!$A$1:$D$2000,4,FALSE),"0")</f>
        <v>3</v>
      </c>
      <c r="Y43" s="45" t="s">
        <v>2279</v>
      </c>
      <c r="Z43" s="37">
        <f>IFERROR(VLOOKUP(Y43,'Module Items'!$A$1:$B$2587,2,FALSE),"")</f>
        <v>176169</v>
      </c>
      <c r="AA43" s="44">
        <f>IFERROR(VLOOKUP(Y43,'Monthly Line Picks'!$A$1:$D$2000,4,FALSE),"0")</f>
        <v>38</v>
      </c>
      <c r="AB43" s="44">
        <f>IFERROR(VLOOKUP(AB45,'Monthly Line Picks'!$A$1:$D$2101,4,FALSE),"0")</f>
        <v>6</v>
      </c>
      <c r="AC43" s="42" t="str">
        <f>IFERROR(VLOOKUP(AC45,'Monthly Line Picks'!$A$1:$D$2101,4,FALSE),"0")</f>
        <v>0</v>
      </c>
      <c r="AD43" s="42">
        <f>IFERROR(VLOOKUP(AD45,'Monthly Line Picks'!$A$1:$D$2101,4,FALSE),"0")</f>
        <v>9</v>
      </c>
      <c r="AE43" s="42">
        <f>IFERROR(VLOOKUP(AE45,'Monthly Line Picks'!$A$1:$D$2101,4,FALSE),"0")</f>
        <v>29</v>
      </c>
      <c r="AF43" s="42" t="str">
        <f>IFERROR(VLOOKUP(AF45,'Monthly Line Picks'!$A$1:$D$2101,4,FALSE),"0")</f>
        <v>0</v>
      </c>
      <c r="AG43" s="45">
        <f>IFERROR(VLOOKUP(AG45,'Monthly Line Picks'!$A$1:$D$2101,4,FALSE),"0")</f>
        <v>94</v>
      </c>
      <c r="AH43" s="44">
        <f>IFERROR(VLOOKUP(AH45,'Monthly Line Picks'!$A$1:$D$2101,4,FALSE),"0")</f>
        <v>159</v>
      </c>
      <c r="AI43" s="42">
        <f>IFERROR(VLOOKUP(AI45,'Monthly Line Picks'!$A$1:$D$2101,4,FALSE),"0")</f>
        <v>105</v>
      </c>
      <c r="AJ43" s="42">
        <f>IFERROR(VLOOKUP(AJ45,'Monthly Line Picks'!$A$1:$D$2101,4,FALSE),"0")</f>
        <v>100</v>
      </c>
      <c r="AK43" s="42" t="str">
        <f>IFERROR(VLOOKUP(AK45,'Monthly Line Picks'!$A$1:$D$2101,4,FALSE),"0")</f>
        <v>0</v>
      </c>
      <c r="AL43" s="42" t="str">
        <f>IFERROR(VLOOKUP(AL45,'Monthly Line Picks'!$A$1:$D$2101,4,FALSE),"0")</f>
        <v>0</v>
      </c>
      <c r="AM43" s="45" t="str">
        <f>IFERROR(VLOOKUP(AM45,'Monthly Line Picks'!$A$1:$D$2101,4,FALSE),"0")</f>
        <v>0</v>
      </c>
      <c r="AN43" s="44">
        <f>IFERROR(VLOOKUP(AN45,'Monthly Line Picks'!$A$1:$D$2101,4,FALSE),"0")</f>
        <v>116</v>
      </c>
      <c r="AO43" s="42">
        <f>IFERROR(VLOOKUP(AO45,'Monthly Line Picks'!$A$1:$D$2101,4,FALSE),"0")</f>
        <v>87</v>
      </c>
      <c r="AP43" s="42">
        <f>IFERROR(VLOOKUP(AP45,'Monthly Line Picks'!$A$1:$D$2101,4,FALSE),"0")</f>
        <v>5</v>
      </c>
      <c r="AQ43" s="42">
        <f>IFERROR(VLOOKUP(AQ45,'Monthly Line Picks'!$A$1:$D$2101,4,FALSE),"0")</f>
        <v>38</v>
      </c>
      <c r="AR43" s="42" t="str">
        <f>IFERROR(VLOOKUP(AR45,'Monthly Line Picks'!$A$1:$D$2101,4,FALSE),"0")</f>
        <v>0</v>
      </c>
      <c r="AS43" s="45">
        <f>IFERROR(VLOOKUP(AS45,'Monthly Line Picks'!$A$1:$D$2101,4,FALSE),"0")</f>
        <v>67</v>
      </c>
      <c r="AT43" s="44">
        <f>IFERROR(VLOOKUP(AT45,'Monthly Line Picks'!$A$1:$D$2101,4,FALSE),"0")</f>
        <v>34</v>
      </c>
      <c r="AU43" s="44">
        <f>IFERROR(VLOOKUP(AU45,'Monthly Line Picks'!$A$1:$D$2000,4,FALSE),"0")</f>
        <v>6</v>
      </c>
      <c r="AV43" s="44" t="str">
        <f>IFERROR(VLOOKUP(AV45,'Monthly Line Picks'!$A$1:$D$2000,4,FALSE),"0")</f>
        <v>0</v>
      </c>
      <c r="AW43" s="44" t="str">
        <f>IFERROR(VLOOKUP(AW45,'Monthly Line Picks'!$A$1:$D$2000,4,FALSE),"0")</f>
        <v>0</v>
      </c>
      <c r="AX43" s="44">
        <f>IFERROR(VLOOKUP(AX45,'Monthly Line Picks'!$A$1:$D$2000,4,FALSE),"0")</f>
        <v>49</v>
      </c>
      <c r="AY43" s="44">
        <f>IFERROR(VLOOKUP(AY45,'Monthly Line Picks'!$A$1:$D$2000,4,FALSE),"0")</f>
        <v>15</v>
      </c>
      <c r="AZ43" s="44">
        <f>IFERROR(VLOOKUP(AZ45,'Monthly Line Picks'!$A$1:$D$2000,4,FALSE),"0")</f>
        <v>41</v>
      </c>
      <c r="BA43" s="44">
        <f>IFERROR(VLOOKUP(BA45,'Monthly Line Picks'!$A$1:$D$2000,4,FALSE),"0")</f>
        <v>26</v>
      </c>
      <c r="BB43" s="44">
        <f>IFERROR(VLOOKUP(BB45,'Monthly Line Picks'!$A$1:$D$2000,4,FALSE),"0")</f>
        <v>53</v>
      </c>
      <c r="BC43" s="44">
        <f>IFERROR(VLOOKUP(BC45,'Monthly Line Picks'!$A$1:$D$2000,4,FALSE),"0")</f>
        <v>13</v>
      </c>
      <c r="BD43" s="44">
        <f>IFERROR(VLOOKUP(BD45,'Monthly Line Picks'!$A$1:$D$2000,4,FALSE),"0")</f>
        <v>17</v>
      </c>
      <c r="BE43" s="44" t="str">
        <f>IFERROR(VLOOKUP(BE45,'Monthly Line Picks'!$A$1:$D$2000,4,FALSE),"0")</f>
        <v>0</v>
      </c>
      <c r="BF43" s="44" t="str">
        <f>IFERROR(VLOOKUP(BF45,'Monthly Line Picks'!$A$1:$D$2000,4,FALSE),"0")</f>
        <v>0</v>
      </c>
      <c r="BG43" s="44" t="str">
        <f>IFERROR(VLOOKUP(BG45,'Monthly Line Picks'!$A$1:$D$2000,4,FALSE),"0")</f>
        <v>0</v>
      </c>
      <c r="BH43" s="44">
        <f>IFERROR(VLOOKUP(BH45,'Monthly Line Picks'!$A$1:$D$2000,4,FALSE),"0")</f>
        <v>9</v>
      </c>
      <c r="BI43" s="44" t="str">
        <f>IFERROR(VLOOKUP(BI45,'Monthly Line Picks'!$A$1:$D$2000,4,FALSE),"0")</f>
        <v>0</v>
      </c>
      <c r="BJ43" s="44">
        <f>IFERROR(VLOOKUP(BJ45,'Monthly Line Picks'!$A$1:$D$2000,4,FALSE),"0")</f>
        <v>12</v>
      </c>
      <c r="BK43" s="44">
        <f>IFERROR(VLOOKUP(BK45,'Monthly Line Picks'!$A$1:$D$2000,4,FALSE),"0")</f>
        <v>4</v>
      </c>
      <c r="BL43" s="15" t="s">
        <v>2280</v>
      </c>
      <c r="BM43" s="37">
        <f>IFERROR(VLOOKUP(BL43,'Module Items'!$A$1:$B$2587,2,FALSE),"")</f>
        <v>54336</v>
      </c>
      <c r="BN43" s="44">
        <f>IFERROR(VLOOKUP(BL43,'Monthly Line Picks'!$A$1:$D$2000,4,FALSE),"0")</f>
        <v>5</v>
      </c>
      <c r="BO43" s="47" t="s">
        <v>2281</v>
      </c>
      <c r="BP43" s="37">
        <f>IFERROR(VLOOKUP(BO43,'Module Items'!$A$1:$B$2587,2,FALSE),"")</f>
        <v>144223</v>
      </c>
      <c r="BQ43" s="44">
        <f>IFERROR(VLOOKUP(BO43,'Monthly Line Picks'!$A$1:$D$2000,4,FALSE),"0")</f>
        <v>2</v>
      </c>
      <c r="BR43" s="214" t="s">
        <v>305</v>
      </c>
      <c r="BS43" s="215"/>
      <c r="BT43" s="215"/>
      <c r="BU43" s="215"/>
      <c r="BV43" s="215"/>
      <c r="BW43" s="216"/>
      <c r="BX43" s="47" t="s">
        <v>2282</v>
      </c>
      <c r="BY43" s="37">
        <f>IFERROR(VLOOKUP(BX43,'Module Items'!$A$1:$B$2587,2,FALSE),"")</f>
        <v>89410</v>
      </c>
      <c r="BZ43" s="44" t="str">
        <f>IFERROR(VLOOKUP(BX43,'Monthly Line Picks'!$A$1:$D$2000,4,FALSE),"0")</f>
        <v>0</v>
      </c>
      <c r="CA43" s="47" t="s">
        <v>2283</v>
      </c>
      <c r="CB43" s="37">
        <f>IFERROR(VLOOKUP(CA43,'Module Items'!$A$1:$B$2587,2,FALSE),"")</f>
        <v>101346</v>
      </c>
      <c r="CC43" s="44" t="str">
        <f>IFERROR(VLOOKUP(CA43,'Monthly Line Picks'!$A$1:$D$2000,4,FALSE),"0")</f>
        <v>0</v>
      </c>
      <c r="CD43" s="273"/>
      <c r="CE43" s="274"/>
      <c r="CF43" s="274"/>
      <c r="CG43" s="44">
        <f>IFERROR(VLOOKUP(CG45,'Monthly Line Picks'!$A$1:$D$1458,4,FALSE),"0")</f>
        <v>102</v>
      </c>
      <c r="CH43" s="42">
        <f>IFERROR(VLOOKUP(CH45,'Monthly Line Picks'!$A$1:$D$1458,4,FALSE),"0")</f>
        <v>144</v>
      </c>
      <c r="CI43" s="45">
        <f>IFERROR(VLOOKUP(CI45,'Monthly Line Picks'!$A$1:$D$1458,4,FALSE),"0")</f>
        <v>73</v>
      </c>
      <c r="CJ43" s="44">
        <f>IFERROR(VLOOKUP(CJ45,'Monthly Line Picks'!$A$1:$D$1458,4,FALSE),"0")</f>
        <v>200</v>
      </c>
      <c r="CK43" s="42">
        <f>IFERROR(VLOOKUP(CK45,'Monthly Line Picks'!$A$1:$D$1458,4,FALSE),"0")</f>
        <v>62</v>
      </c>
      <c r="CL43" s="42">
        <f>IFERROR(VLOOKUP(CL45,'Monthly Line Picks'!$A$1:$D$1458,4,FALSE),"0")</f>
        <v>72</v>
      </c>
      <c r="CM43" s="42" t="str">
        <f>IFERROR(VLOOKUP(CM45,'Monthly Line Picks'!$A$1:$D$1458,4,FALSE),"0")</f>
        <v>0</v>
      </c>
      <c r="CN43" s="42">
        <f>IFERROR(VLOOKUP(CN45,'Monthly Line Picks'!$A$1:$D$1458,4,FALSE),"0")</f>
        <v>179</v>
      </c>
      <c r="CO43" s="45">
        <f>IFERROR(VLOOKUP(CO45,'Monthly Line Picks'!$A$1:$D$1458,4,FALSE),"0")</f>
        <v>61</v>
      </c>
      <c r="CP43" s="44">
        <f>IFERROR(VLOOKUP(CP45,'Monthly Line Picks'!$A$1:$D$2000,4,FALSE),"0")</f>
        <v>119</v>
      </c>
      <c r="CQ43" s="44" t="str">
        <f>IFERROR(VLOOKUP(CQ45,'Monthly Line Picks'!$A$1:$D$2000,4,FALSE),"0")</f>
        <v>0</v>
      </c>
      <c r="CR43" s="44" t="str">
        <f>IFERROR(VLOOKUP(CR45,'Monthly Line Picks'!$A$1:$D$2000,4,FALSE),"0")</f>
        <v>0</v>
      </c>
      <c r="CS43" s="44" t="str">
        <f>IFERROR(VLOOKUP(CS45,'Monthly Line Picks'!$A$1:$D$2000,4,FALSE),"0")</f>
        <v>0</v>
      </c>
      <c r="CT43" s="44" t="str">
        <f>IFERROR(VLOOKUP(CT45,'Monthly Line Picks'!$A$1:$D$2000,4,FALSE),"0")</f>
        <v>0</v>
      </c>
      <c r="CU43" s="44" t="str">
        <f>IFERROR(VLOOKUP(CU45,'Monthly Line Picks'!$A$1:$D$2000,4,FALSE),"0")</f>
        <v>0</v>
      </c>
      <c r="CV43" s="44">
        <f>IFERROR(VLOOKUP(CV45,'Monthly Line Picks'!$A$1:$D$2000,4,FALSE),"0")</f>
        <v>5</v>
      </c>
      <c r="CW43" s="44" t="str">
        <f>IFERROR(VLOOKUP(CW45,'Monthly Line Picks'!$A$1:$D$2000,4,FALSE),"0")</f>
        <v>0</v>
      </c>
      <c r="CX43" s="44">
        <f>IFERROR(VLOOKUP(CX45,'Monthly Line Picks'!$A$1:$D$2000,4,FALSE),"0")</f>
        <v>190</v>
      </c>
      <c r="CY43" s="44" t="str">
        <f>IFERROR(VLOOKUP(CY45,'Monthly Line Picks'!$A$1:$D$2000,4,FALSE),"0")</f>
        <v>0</v>
      </c>
      <c r="CZ43" s="44" t="str">
        <f>IFERROR(VLOOKUP(CZ45,'Monthly Line Picks'!$A$1:$D$2000,4,FALSE),"0")</f>
        <v>0</v>
      </c>
      <c r="DA43" s="44" t="str">
        <f>IFERROR(VLOOKUP(DA45,'Monthly Line Picks'!$A$1:$D$2000,4,FALSE),"0")</f>
        <v>0</v>
      </c>
      <c r="DB43" s="44">
        <f>IFERROR(VLOOKUP(DB45,'Monthly Line Picks'!$A$1:$D$2000,4,FALSE),"0")</f>
        <v>45</v>
      </c>
      <c r="DC43" s="44" t="str">
        <f>IFERROR(VLOOKUP(DC45,'Monthly Line Picks'!$A$1:$D$2000,4,FALSE),"0")</f>
        <v>0</v>
      </c>
      <c r="DD43" s="42" t="str">
        <f>IFERROR(VLOOKUP(DD45,'Monthly Line Picks'!$A$1:$D$1458,4,FALSE),"0")</f>
        <v>0</v>
      </c>
      <c r="DE43" s="42">
        <f>IFERROR(VLOOKUP(DE45,'Monthly Line Picks'!$A$1:$D$1458,4,FALSE),"0")</f>
        <v>20</v>
      </c>
      <c r="DF43" s="42" t="str">
        <f>IFERROR(VLOOKUP(DF45,'Monthly Line Picks'!$A$1:$D$1458,4,FALSE),"0")</f>
        <v>0</v>
      </c>
      <c r="DG43" s="45">
        <f>IFERROR(VLOOKUP(DG45,'Monthly Line Picks'!$A$1:$D$1458,4,FALSE),"0")</f>
        <v>115</v>
      </c>
      <c r="DH43" s="44">
        <f>IFERROR(VLOOKUP(DH45,'Monthly Line Picks'!$A$1:$D$1458,4,FALSE),"0")</f>
        <v>11</v>
      </c>
      <c r="DI43" s="42">
        <f>IFERROR(VLOOKUP(DI45,'Monthly Line Picks'!$A$1:$D$1458,4,FALSE),"0")</f>
        <v>30</v>
      </c>
      <c r="DJ43" s="42">
        <f>IFERROR(VLOOKUP(DJ45,'Monthly Line Picks'!$A$1:$D$1458,4,FALSE),"0")</f>
        <v>51</v>
      </c>
      <c r="DK43" s="42">
        <f>IFERROR(VLOOKUP(DK45,'Monthly Line Picks'!$A$1:$D$1458,4,FALSE),"0")</f>
        <v>331</v>
      </c>
      <c r="DL43" s="42" t="str">
        <f>IFERROR(VLOOKUP(DL45,'Monthly Line Picks'!$A$1:$D$1458,4,FALSE),"0")</f>
        <v>0</v>
      </c>
      <c r="DM43" s="45">
        <f>IFERROR(VLOOKUP(DM45,'Monthly Line Picks'!$A$1:$D$1458,4,FALSE),"0")</f>
        <v>20</v>
      </c>
      <c r="DN43" s="44" t="str">
        <f>IFERROR(VLOOKUP(DN45,'Monthly Line Picks'!$A$1:$D$1458,4,FALSE),"0")</f>
        <v>0</v>
      </c>
      <c r="DO43" s="42">
        <f>IFERROR(VLOOKUP(DO45,'Monthly Line Picks'!$A$1:$D$1458,4,FALSE),"0")</f>
        <v>5</v>
      </c>
      <c r="DP43" s="42">
        <f>IFERROR(VLOOKUP(DP45,'Monthly Line Picks'!$A$1:$D$1458,4,FALSE),"0")</f>
        <v>187</v>
      </c>
      <c r="DQ43" s="42">
        <f>IFERROR(VLOOKUP(DQ45,'Monthly Line Picks'!$A$1:$D$1458,4,FALSE),"0")</f>
        <v>62</v>
      </c>
      <c r="DR43" s="42" t="str">
        <f>IFERROR(VLOOKUP(DR45,'Monthly Line Picks'!$A$1:$D$1458,4,FALSE),"0")</f>
        <v>0</v>
      </c>
      <c r="DS43" s="45">
        <f>IFERROR(VLOOKUP(DS45,'Monthly Line Picks'!$A$1:$D$1458,4,FALSE),"0")</f>
        <v>21</v>
      </c>
      <c r="DT43" s="212"/>
      <c r="DU43" s="213"/>
      <c r="DV43" s="195"/>
      <c r="DW43" s="241"/>
    </row>
    <row r="44" spans="6:127" ht="15.95" thickBot="1">
      <c r="F44" s="202"/>
      <c r="G44" s="196"/>
      <c r="H44" s="195"/>
      <c r="I44" s="241"/>
      <c r="J44" s="56" t="s">
        <v>2284</v>
      </c>
      <c r="K44" s="37">
        <f>IFERROR(VLOOKUP(J44,'Module Items'!$A$1:$B$2587,2,FALSE),"")</f>
        <v>22138</v>
      </c>
      <c r="L44" s="44">
        <f>IFERROR(VLOOKUP(J44,'Monthly Line Picks'!$A$1:$D$2000,4,FALSE),"0")</f>
        <v>4</v>
      </c>
      <c r="M44" s="47" t="s">
        <v>2285</v>
      </c>
      <c r="N44" s="37" t="str">
        <f>IFERROR(VLOOKUP(M44,'Module Items'!$A$1:$B$2587,2,FALSE),"")</f>
        <v>OPEN</v>
      </c>
      <c r="O44" s="44" t="str">
        <f>IFERROR(VLOOKUP(M44,'Monthly Line Picks'!$A$1:$D$2000,4,FALSE),"0")</f>
        <v>0</v>
      </c>
      <c r="P44" s="243"/>
      <c r="Q44" s="244"/>
      <c r="R44" s="244"/>
      <c r="S44" s="244"/>
      <c r="T44" s="244"/>
      <c r="U44" s="245"/>
      <c r="V44" s="47" t="s">
        <v>2286</v>
      </c>
      <c r="W44" s="37">
        <f>IFERROR(VLOOKUP(V44,'Module Items'!$A$1:$B$2587,2,FALSE),"")</f>
        <v>95450</v>
      </c>
      <c r="X44" s="44">
        <f>IFERROR(VLOOKUP(V44,'Monthly Line Picks'!$A$1:$D$2000,4,FALSE),"0")</f>
        <v>8</v>
      </c>
      <c r="Y44" s="57" t="s">
        <v>2287</v>
      </c>
      <c r="Z44" s="37">
        <f>IFERROR(VLOOKUP(Y44,'Module Items'!$A$1:$B$2587,2,FALSE),"")</f>
        <v>214</v>
      </c>
      <c r="AA44" s="44">
        <f>IFERROR(VLOOKUP(Y44,'Monthly Line Picks'!$A$1:$D$2000,4,FALSE),"0")</f>
        <v>22</v>
      </c>
      <c r="AB44" s="37" t="str">
        <f>IFERROR(VLOOKUP(AB45,'Module Items'!$A$1:$B$2587,2,FALSE),"")</f>
        <v>OPEN</v>
      </c>
      <c r="AC44" s="13" t="str">
        <f>IFERROR(VLOOKUP(AC45,'Module Items'!$A$1:$B$2587,2,FALSE),"")</f>
        <v>OPEN</v>
      </c>
      <c r="AD44" s="13">
        <f>IFERROR(VLOOKUP(AD45,'Module Items'!$A$1:$B$2587,2,FALSE),"")</f>
        <v>110682</v>
      </c>
      <c r="AE44" s="13">
        <f>IFERROR(VLOOKUP(AE45,'Module Items'!$A$1:$B$2587,2,FALSE),"")</f>
        <v>9555</v>
      </c>
      <c r="AF44" s="13" t="str">
        <f>IFERROR(VLOOKUP(AF45,'Module Items'!$A$1:$B$2587,2,FALSE),"")</f>
        <v/>
      </c>
      <c r="AG44" s="108">
        <f>IFERROR(VLOOKUP(AG45,'Module Items'!$A$1:$B$2587,2,FALSE),"")</f>
        <v>439</v>
      </c>
      <c r="AH44" s="37">
        <f>IFERROR(VLOOKUP(AH45,'Module Items'!$A$1:$B$2587,2,FALSE),"")</f>
        <v>71771</v>
      </c>
      <c r="AI44" s="13">
        <f>IFERROR(VLOOKUP(AI45,'Module Items'!$A$1:$B$2587,2,FALSE),"")</f>
        <v>42861</v>
      </c>
      <c r="AJ44" s="13">
        <f>IFERROR(VLOOKUP(AJ45,'Module Items'!$A$1:$B$2587,2,FALSE),"")</f>
        <v>31457</v>
      </c>
      <c r="AK44" s="13" t="str">
        <f>IFERROR(VLOOKUP(AK45,'Module Items'!$A$1:$B$2587,2,FALSE),"")</f>
        <v>OPEN</v>
      </c>
      <c r="AL44" s="13" t="str">
        <f>IFERROR(VLOOKUP(AL45,'Module Items'!$A$1:$B$2587,2,FALSE),"")</f>
        <v>OPEN</v>
      </c>
      <c r="AM44" s="108" t="str">
        <f>IFERROR(VLOOKUP(AM45,'Module Items'!$A$1:$B$2587,2,FALSE),"")</f>
        <v>OPEN</v>
      </c>
      <c r="AN44" s="37">
        <f>IFERROR(VLOOKUP(AN45,'Module Items'!$A$1:$B$2587,2,FALSE),"")</f>
        <v>157880</v>
      </c>
      <c r="AO44" s="13">
        <f>IFERROR(VLOOKUP(AO45,'Module Items'!$A$1:$B$2587,2,FALSE),"")</f>
        <v>124942</v>
      </c>
      <c r="AP44" s="13">
        <f>IFERROR(VLOOKUP(AP45,'Module Items'!$A$1:$B$2587,2,FALSE),"")</f>
        <v>105079</v>
      </c>
      <c r="AQ44" s="13">
        <f>IFERROR(VLOOKUP(AQ45,'Module Items'!$A$1:$B$2587,2,FALSE),"")</f>
        <v>110675</v>
      </c>
      <c r="AR44" s="13">
        <f>IFERROR(VLOOKUP(AR45,'Module Items'!$A$1:$B$2587,2,FALSE),"")</f>
        <v>110484</v>
      </c>
      <c r="AS44" s="108">
        <f>IFERROR(VLOOKUP(AS45,'Module Items'!$A$1:$B$2587,2,FALSE),"")</f>
        <v>100769</v>
      </c>
      <c r="AT44" s="37">
        <f>IFERROR(VLOOKUP(AT45,'Module Items'!$A$1:$B$2587,2,FALSE),"")</f>
        <v>32014</v>
      </c>
      <c r="AU44" s="13" t="str">
        <f>IFERROR(VLOOKUP(AU45,'Module Items'!$A$1:$B$2587,2,FALSE),"")</f>
        <v/>
      </c>
      <c r="AV44" s="13" t="str">
        <f>IFERROR(VLOOKUP(AV45,'Module Items'!$A$1:$B$2587,2,FALSE),"")</f>
        <v/>
      </c>
      <c r="AW44" s="13" t="str">
        <f>IFERROR(VLOOKUP(AW45,'Module Items'!$A$1:$B$2587,2,FALSE),"")</f>
        <v>OPEN</v>
      </c>
      <c r="AX44" s="13">
        <f>IFERROR(VLOOKUP(AX45,'Module Items'!$A$1:$B$2587,2,FALSE),"")</f>
        <v>59392</v>
      </c>
      <c r="AY44" s="11">
        <f>IFERROR(VLOOKUP(AY45,'Module Items'!$A$1:$B$2587,2,FALSE),"")</f>
        <v>136457</v>
      </c>
      <c r="AZ44" s="37">
        <f>IFERROR(VLOOKUP(AZ45,'Module Items'!$A$1:$B$2587,2,FALSE),"")</f>
        <v>15450</v>
      </c>
      <c r="BA44" s="13">
        <f>IFERROR(VLOOKUP(BA45,'Module Items'!$A$1:$B$2587,2,FALSE),"")</f>
        <v>112656</v>
      </c>
      <c r="BB44" s="13">
        <f>IFERROR(VLOOKUP(BB45,'Module Items'!$A$1:$B$2587,2,FALSE),"")</f>
        <v>1454</v>
      </c>
      <c r="BC44" s="13">
        <f>IFERROR(VLOOKUP(BC45,'Module Items'!$A$1:$B$2587,2,FALSE),"")</f>
        <v>127112</v>
      </c>
      <c r="BD44" s="13">
        <f>IFERROR(VLOOKUP(BD45,'Module Items'!$A$1:$B$2587,2,FALSE),"")</f>
        <v>62297</v>
      </c>
      <c r="BE44" s="108">
        <f>IFERROR(VLOOKUP(BE45,'Module Items'!$A$1:$B$2587,2,FALSE),"")</f>
        <v>77</v>
      </c>
      <c r="BF44" s="37" t="str">
        <f>IFERROR(VLOOKUP(BF45,'Module Items'!$A$1:$B$2587,2,FALSE),"")</f>
        <v/>
      </c>
      <c r="BG44" s="13">
        <f>IFERROR(VLOOKUP(BG45,'Module Items'!$A$1:$B$2587,2,FALSE),"")</f>
        <v>158075</v>
      </c>
      <c r="BH44" s="13">
        <f>IFERROR(VLOOKUP(BH45,'Module Items'!$A$1:$B$2587,2,FALSE),"")</f>
        <v>177695</v>
      </c>
      <c r="BI44" s="13">
        <f>IFERROR(VLOOKUP(BI45,'Module Items'!$A$1:$B$2587,2,FALSE),"")</f>
        <v>159278</v>
      </c>
      <c r="BJ44" s="13">
        <f>IFERROR(VLOOKUP(BJ45,'Module Items'!$A$1:$B$2587,2,FALSE),"")</f>
        <v>138667</v>
      </c>
      <c r="BK44" s="108" t="str">
        <f>IFERROR(VLOOKUP(BK45,'Module Items'!$A$1:$B$2587,2,FALSE),"")</f>
        <v>OPEN</v>
      </c>
      <c r="BL44" s="15" t="s">
        <v>2288</v>
      </c>
      <c r="BM44" s="37">
        <f>IFERROR(VLOOKUP(BL44,'Module Items'!$A$1:$B$2587,2,FALSE),"")</f>
        <v>131890</v>
      </c>
      <c r="BN44" s="44">
        <f>IFERROR(VLOOKUP(BL44,'Monthly Line Picks'!$A$1:$D$2000,4,FALSE),"0")</f>
        <v>1</v>
      </c>
      <c r="BO44" s="47" t="s">
        <v>2289</v>
      </c>
      <c r="BP44" s="37">
        <f>IFERROR(VLOOKUP(BO44,'Module Items'!$A$1:$B$2587,2,FALSE),"")</f>
        <v>31426</v>
      </c>
      <c r="BQ44" s="44">
        <f>IFERROR(VLOOKUP(BO44,'Monthly Line Picks'!$A$1:$D$2000,4,FALSE),"0")</f>
        <v>17</v>
      </c>
      <c r="BR44" s="243"/>
      <c r="BS44" s="244"/>
      <c r="BT44" s="244"/>
      <c r="BU44" s="244"/>
      <c r="BV44" s="244"/>
      <c r="BW44" s="245"/>
      <c r="BX44" s="47" t="s">
        <v>2290</v>
      </c>
      <c r="BY44" s="37">
        <f>IFERROR(VLOOKUP(BX44,'Module Items'!$A$1:$B$2587,2,FALSE),"")</f>
        <v>28492</v>
      </c>
      <c r="BZ44" s="44">
        <f>IFERROR(VLOOKUP(BX44,'Monthly Line Picks'!$A$1:$D$2000,4,FALSE),"0")</f>
        <v>3</v>
      </c>
      <c r="CA44" s="47" t="s">
        <v>2291</v>
      </c>
      <c r="CB44" s="37">
        <f>IFERROR(VLOOKUP(CA44,'Module Items'!$A$1:$B$2587,2,FALSE),"")</f>
        <v>110251</v>
      </c>
      <c r="CC44" s="44">
        <f>IFERROR(VLOOKUP(CA44,'Monthly Line Picks'!$A$1:$D$2000,4,FALSE),"0")</f>
        <v>21</v>
      </c>
      <c r="CD44" s="275"/>
      <c r="CE44" s="276"/>
      <c r="CF44" s="276"/>
      <c r="CG44" s="37">
        <f>IFERROR(VLOOKUP(CG45,'Module Items'!$A$1:$B$2587,2,FALSE),"")</f>
        <v>50165</v>
      </c>
      <c r="CH44" s="13">
        <f>IFERROR(VLOOKUP(CH45,'Module Items'!$A$1:$B$2587,2,FALSE),"")</f>
        <v>120002</v>
      </c>
      <c r="CI44" s="108">
        <f>IFERROR(VLOOKUP(CI45,'Module Items'!$A$1:$B$2587,2,FALSE),"")</f>
        <v>63745</v>
      </c>
      <c r="CJ44" s="37">
        <f>IFERROR(VLOOKUP(CJ45,'Module Items'!$A$1:$B$2587,2,FALSE),"")</f>
        <v>112564</v>
      </c>
      <c r="CK44" s="13">
        <f>IFERROR(VLOOKUP(CK45,'Module Items'!$A$1:$B$2587,2,FALSE),"")</f>
        <v>110566</v>
      </c>
      <c r="CL44" s="13">
        <f>IFERROR(VLOOKUP(CL45,'Module Items'!$A$1:$B$2587,2,FALSE),"")</f>
        <v>107027</v>
      </c>
      <c r="CM44" s="13" t="str">
        <f>IFERROR(VLOOKUP(CM45,'Module Items'!$A$1:$B$2587,2,FALSE),"")</f>
        <v/>
      </c>
      <c r="CN44" s="13">
        <f>IFERROR(VLOOKUP(CN45,'Module Items'!$A$1:$B$2587,2,FALSE),"")</f>
        <v>111146</v>
      </c>
      <c r="CO44" s="108">
        <f>IFERROR(VLOOKUP(CO45,'Module Items'!$A$1:$B$2587,2,FALSE),"")</f>
        <v>13919</v>
      </c>
      <c r="CP44" s="37">
        <f>IFERROR(VLOOKUP(CP45,'Module Items'!$A$1:$B$2587,2,FALSE),"")</f>
        <v>155718</v>
      </c>
      <c r="CQ44" s="13" t="str">
        <f>IFERROR(VLOOKUP(CQ45,'Module Items'!$A$1:$B$2587,2,FALSE),"")</f>
        <v/>
      </c>
      <c r="CR44" s="13" t="str">
        <f>IFERROR(VLOOKUP(CR45,'Module Items'!$A$1:$B$2587,2,FALSE),"")</f>
        <v/>
      </c>
      <c r="CS44" s="13" t="str">
        <f>IFERROR(VLOOKUP(CS45,'Module Items'!$A$1:$B$2587,2,FALSE),"")</f>
        <v/>
      </c>
      <c r="CT44" s="13" t="str">
        <f>IFERROR(VLOOKUP(CT45,'Module Items'!$A$1:$B$2587,2,FALSE),"")</f>
        <v/>
      </c>
      <c r="CU44" s="108" t="str">
        <f>IFERROR(VLOOKUP(CU45,'Module Items'!$A$1:$B$2587,2,FALSE),"")</f>
        <v/>
      </c>
      <c r="CV44" s="37">
        <f>IFERROR(VLOOKUP(CV45,'Module Items'!$A$1:$B$2587,2,FALSE),"")</f>
        <v>31494</v>
      </c>
      <c r="CW44" s="13" t="str">
        <f>IFERROR(VLOOKUP(CW45,'Module Items'!$A$1:$B$2587,2,FALSE),"")</f>
        <v/>
      </c>
      <c r="CX44" s="13">
        <f>IFERROR(VLOOKUP(CX45,'Module Items'!$A$1:$B$2587,2,FALSE),"")</f>
        <v>561</v>
      </c>
      <c r="CY44" s="13" t="str">
        <f>IFERROR(VLOOKUP(CY45,'Module Items'!$A$1:$B$2587,2,FALSE),"")</f>
        <v/>
      </c>
      <c r="CZ44" s="13" t="str">
        <f>IFERROR(VLOOKUP(CZ45,'Module Items'!$A$1:$B$2587,2,FALSE),"")</f>
        <v/>
      </c>
      <c r="DA44" s="108" t="str">
        <f>IFERROR(VLOOKUP(DA45,'Module Items'!$A$1:$B$2587,2,FALSE),"")</f>
        <v/>
      </c>
      <c r="DB44" s="37">
        <f>IFERROR(VLOOKUP(DB45,'Module Items'!$A$1:$B$2587,2,FALSE),"")</f>
        <v>1964</v>
      </c>
      <c r="DC44" s="13" t="str">
        <f>IFERROR(VLOOKUP(DC45,'Module Items'!$A$1:$B$2587,2,FALSE),"")</f>
        <v>OPEN</v>
      </c>
      <c r="DD44" s="13">
        <f>IFERROR(VLOOKUP(DD45,'Module Items'!$A$1:$B$2587,2,FALSE),"")</f>
        <v>628</v>
      </c>
      <c r="DE44" s="13">
        <f>IFERROR(VLOOKUP(DE45,'Module Items'!$A$1:$B$2587,2,FALSE),"")</f>
        <v>1724</v>
      </c>
      <c r="DF44" s="13" t="str">
        <f>IFERROR(VLOOKUP(DF45,'Module Items'!$A$1:$B$2587,2,FALSE),"")</f>
        <v>OPEN</v>
      </c>
      <c r="DG44" s="108">
        <f>IFERROR(VLOOKUP(DG45,'Module Items'!$A$1:$B$2587,2,FALSE),"")</f>
        <v>156911</v>
      </c>
      <c r="DH44" s="37">
        <f>IFERROR(VLOOKUP(DH45,'Module Items'!$A$1:$B$2587,2,FALSE),"")</f>
        <v>86625</v>
      </c>
      <c r="DI44" s="13">
        <f>IFERROR(VLOOKUP(DI45,'Module Items'!$A$1:$B$2587,2,FALSE),"")</f>
        <v>20110</v>
      </c>
      <c r="DJ44" s="13">
        <f>IFERROR(VLOOKUP(DJ45,'Module Items'!$A$1:$B$2587,2,FALSE),"")</f>
        <v>700</v>
      </c>
      <c r="DK44" s="13">
        <f>IFERROR(VLOOKUP(DK45,'Module Items'!$A$1:$B$2587,2,FALSE),"")</f>
        <v>129854</v>
      </c>
      <c r="DL44" s="13">
        <f>IFERROR(VLOOKUP(DL45,'Module Items'!$A$1:$B$2587,2,FALSE),"")</f>
        <v>156192</v>
      </c>
      <c r="DM44" s="108">
        <f>IFERROR(VLOOKUP(DM45,'Module Items'!$A$1:$B$2587,2,FALSE),"")</f>
        <v>87</v>
      </c>
      <c r="DN44" s="37">
        <f>IFERROR(VLOOKUP(DN45,'Module Items'!$A$1:$B$2587,2,FALSE),"")</f>
        <v>12360</v>
      </c>
      <c r="DO44" s="13">
        <f>IFERROR(VLOOKUP(DO45,'Module Items'!$A$1:$B$2587,2,FALSE),"")</f>
        <v>101027</v>
      </c>
      <c r="DP44" s="13">
        <f>IFERROR(VLOOKUP(DP45,'Module Items'!$A$1:$B$2587,2,FALSE),"")</f>
        <v>81252</v>
      </c>
      <c r="DQ44" s="13">
        <f>IFERROR(VLOOKUP(DQ45,'Module Items'!$A$1:$B$2587,2,FALSE),"")</f>
        <v>133696</v>
      </c>
      <c r="DR44" s="13" t="str">
        <f>IFERROR(VLOOKUP(DR45,'Module Items'!$A$1:$B$2587,2,FALSE),"")</f>
        <v/>
      </c>
      <c r="DS44" s="108">
        <f>IFERROR(VLOOKUP(DS45,'Module Items'!$A$1:$B$2587,2,FALSE),"")</f>
        <v>429</v>
      </c>
      <c r="DT44" s="196"/>
      <c r="DU44" s="196"/>
      <c r="DV44" s="195"/>
      <c r="DW44" s="241"/>
    </row>
    <row r="45" spans="6:127" ht="15.95" thickBot="1">
      <c r="F45" s="202"/>
      <c r="G45" s="196"/>
      <c r="H45" s="195"/>
      <c r="I45" s="241"/>
      <c r="J45" s="56" t="s">
        <v>2292</v>
      </c>
      <c r="K45" s="37">
        <f>IFERROR(VLOOKUP(J45,'Module Items'!$A$1:$B$2587,2,FALSE),"")</f>
        <v>97052</v>
      </c>
      <c r="L45" s="44">
        <f>IFERROR(VLOOKUP(J45,'Monthly Line Picks'!$A$1:$D$2000,4,FALSE),"0")</f>
        <v>7</v>
      </c>
      <c r="M45" s="47" t="s">
        <v>2293</v>
      </c>
      <c r="N45" s="37">
        <f>IFERROR(VLOOKUP(M45,'Module Items'!$A$1:$B$2587,2,FALSE),"")</f>
        <v>104</v>
      </c>
      <c r="O45" s="44">
        <f>IFERROR(VLOOKUP(M45,'Monthly Line Picks'!$A$1:$D$2000,4,FALSE),"0")</f>
        <v>3</v>
      </c>
      <c r="P45" s="47" t="s">
        <v>2294</v>
      </c>
      <c r="Q45" s="37">
        <f>IFERROR(VLOOKUP(P45,'Module Items'!$A$1:$B$2587,2,FALSE),"")</f>
        <v>35156</v>
      </c>
      <c r="R45" s="44">
        <f>IFERROR(VLOOKUP(P45,'Monthly Line Picks'!$A$1:$D$2000,4,FALSE),"0")</f>
        <v>15</v>
      </c>
      <c r="S45" s="47" t="s">
        <v>2295</v>
      </c>
      <c r="T45" s="37">
        <f>IFERROR(VLOOKUP(S45,'Module Items'!$A$1:$B$2587,2,FALSE),"")</f>
        <v>59363</v>
      </c>
      <c r="U45" s="44">
        <f>IFERROR(VLOOKUP(S45,'Monthly Line Picks'!$A$1:$D$2000,4,FALSE),"0")</f>
        <v>13</v>
      </c>
      <c r="V45" s="47" t="s">
        <v>2296</v>
      </c>
      <c r="W45" s="37">
        <f>IFERROR(VLOOKUP(V45,'Module Items'!$A$1:$B$2587,2,FALSE),"")</f>
        <v>176776</v>
      </c>
      <c r="X45" s="44" t="str">
        <f>IFERROR(VLOOKUP(V45,'Monthly Line Picks'!$A$1:$D$2000,4,FALSE),"0")</f>
        <v>0</v>
      </c>
      <c r="Y45" s="57" t="s">
        <v>2297</v>
      </c>
      <c r="Z45" s="37">
        <f>IFERROR(VLOOKUP(Y45,'Module Items'!$A$1:$B$2587,2,FALSE),"")</f>
        <v>138950</v>
      </c>
      <c r="AA45" s="44">
        <f>IFERROR(VLOOKUP(Y45,'Monthly Line Picks'!$A$1:$D$2000,4,FALSE),"0")</f>
        <v>11</v>
      </c>
      <c r="AB45" s="37" t="s">
        <v>2298</v>
      </c>
      <c r="AC45" s="13" t="s">
        <v>2299</v>
      </c>
      <c r="AD45" s="13" t="s">
        <v>2300</v>
      </c>
      <c r="AE45" s="13" t="s">
        <v>2301</v>
      </c>
      <c r="AF45" s="13" t="s">
        <v>2302</v>
      </c>
      <c r="AG45" s="108" t="s">
        <v>2303</v>
      </c>
      <c r="AH45" s="37" t="s">
        <v>2304</v>
      </c>
      <c r="AI45" s="13" t="s">
        <v>2305</v>
      </c>
      <c r="AJ45" s="13" t="s">
        <v>2306</v>
      </c>
      <c r="AK45" s="13" t="s">
        <v>2307</v>
      </c>
      <c r="AL45" s="13" t="s">
        <v>2308</v>
      </c>
      <c r="AM45" s="108" t="s">
        <v>2309</v>
      </c>
      <c r="AN45" s="37" t="s">
        <v>2310</v>
      </c>
      <c r="AO45" s="13" t="s">
        <v>2311</v>
      </c>
      <c r="AP45" s="13" t="s">
        <v>2312</v>
      </c>
      <c r="AQ45" s="13" t="s">
        <v>2313</v>
      </c>
      <c r="AR45" s="13" t="s">
        <v>2314</v>
      </c>
      <c r="AS45" s="108" t="s">
        <v>2315</v>
      </c>
      <c r="AT45" s="37" t="s">
        <v>2316</v>
      </c>
      <c r="AU45" s="13" t="s">
        <v>2317</v>
      </c>
      <c r="AV45" s="13" t="s">
        <v>2318</v>
      </c>
      <c r="AW45" s="13" t="s">
        <v>2319</v>
      </c>
      <c r="AX45" s="13" t="s">
        <v>2320</v>
      </c>
      <c r="AY45" s="11" t="s">
        <v>2321</v>
      </c>
      <c r="AZ45" s="37" t="s">
        <v>2322</v>
      </c>
      <c r="BA45" s="13" t="s">
        <v>2323</v>
      </c>
      <c r="BB45" s="13" t="s">
        <v>2324</v>
      </c>
      <c r="BC45" s="13" t="s">
        <v>2325</v>
      </c>
      <c r="BD45" s="13" t="s">
        <v>2326</v>
      </c>
      <c r="BE45" s="108" t="s">
        <v>2327</v>
      </c>
      <c r="BF45" s="37" t="s">
        <v>2328</v>
      </c>
      <c r="BG45" s="13" t="s">
        <v>2329</v>
      </c>
      <c r="BH45" s="13" t="s">
        <v>2330</v>
      </c>
      <c r="BI45" s="13" t="s">
        <v>2331</v>
      </c>
      <c r="BJ45" s="13" t="s">
        <v>2332</v>
      </c>
      <c r="BK45" s="108" t="s">
        <v>2333</v>
      </c>
      <c r="BL45" s="15" t="s">
        <v>2334</v>
      </c>
      <c r="BM45" s="37">
        <f>IFERROR(VLOOKUP(BL45,'Module Items'!$A$1:$B$2587,2,FALSE),"")</f>
        <v>1778</v>
      </c>
      <c r="BN45" s="44">
        <f>IFERROR(VLOOKUP(BL45,'Monthly Line Picks'!$A$1:$D$2000,4,FALSE),"0")</f>
        <v>1</v>
      </c>
      <c r="BO45" s="47" t="s">
        <v>2335</v>
      </c>
      <c r="BP45" s="37">
        <f>IFERROR(VLOOKUP(BO45,'Module Items'!$A$1:$B$2587,2,FALSE),"")</f>
        <v>118905</v>
      </c>
      <c r="BQ45" s="44">
        <f>IFERROR(VLOOKUP(BO45,'Monthly Line Picks'!$A$1:$D$2000,4,FALSE),"0")</f>
        <v>23</v>
      </c>
      <c r="BR45" s="47" t="s">
        <v>2336</v>
      </c>
      <c r="BS45" s="37">
        <f>IFERROR(VLOOKUP(BR45,'Module Items'!$A$1:$B$2587,2,FALSE),"")</f>
        <v>78468</v>
      </c>
      <c r="BT45" s="44">
        <f>IFERROR(VLOOKUP(BR45,'Monthly Line Picks'!$A$1:$D$2000,4,FALSE),"0")</f>
        <v>8</v>
      </c>
      <c r="BU45" s="47" t="s">
        <v>2337</v>
      </c>
      <c r="BV45" s="37">
        <f>IFERROR(VLOOKUP(BU45,'Module Items'!$A$1:$B$2587,2,FALSE),"")</f>
        <v>121419</v>
      </c>
      <c r="BW45" s="44">
        <f>IFERROR(VLOOKUP(BU45,'Monthly Line Picks'!$A$1:$D$2000,4,FALSE),"0")</f>
        <v>4</v>
      </c>
      <c r="BX45" s="47" t="s">
        <v>2338</v>
      </c>
      <c r="BY45" s="37">
        <f>IFERROR(VLOOKUP(BX45,'Module Items'!$A$1:$B$2587,2,FALSE),"")</f>
        <v>19550</v>
      </c>
      <c r="BZ45" s="44">
        <f>IFERROR(VLOOKUP(BX45,'Monthly Line Picks'!$A$1:$D$2000,4,FALSE),"0")</f>
        <v>5</v>
      </c>
      <c r="CA45" s="47" t="s">
        <v>2339</v>
      </c>
      <c r="CB45" s="37">
        <f>IFERROR(VLOOKUP(CA45,'Module Items'!$A$1:$B$2587,2,FALSE),"")</f>
        <v>74068</v>
      </c>
      <c r="CC45" s="44">
        <f>IFERROR(VLOOKUP(CA45,'Monthly Line Picks'!$A$1:$D$2000,4,FALSE),"0")</f>
        <v>14</v>
      </c>
      <c r="CD45" s="275"/>
      <c r="CE45" s="276"/>
      <c r="CF45" s="276"/>
      <c r="CG45" s="37" t="s">
        <v>2340</v>
      </c>
      <c r="CH45" s="13" t="s">
        <v>2341</v>
      </c>
      <c r="CI45" s="108" t="s">
        <v>2342</v>
      </c>
      <c r="CJ45" s="37" t="s">
        <v>2343</v>
      </c>
      <c r="CK45" s="13" t="s">
        <v>2344</v>
      </c>
      <c r="CL45" s="13" t="s">
        <v>2345</v>
      </c>
      <c r="CM45" s="13" t="s">
        <v>2346</v>
      </c>
      <c r="CN45" s="13" t="s">
        <v>2347</v>
      </c>
      <c r="CO45" s="108" t="s">
        <v>2348</v>
      </c>
      <c r="CP45" s="37" t="s">
        <v>2349</v>
      </c>
      <c r="CQ45" s="13" t="s">
        <v>2350</v>
      </c>
      <c r="CR45" s="13" t="s">
        <v>2351</v>
      </c>
      <c r="CS45" s="13" t="s">
        <v>2352</v>
      </c>
      <c r="CT45" s="13" t="s">
        <v>2353</v>
      </c>
      <c r="CU45" s="108" t="s">
        <v>2354</v>
      </c>
      <c r="CV45" s="37" t="s">
        <v>2355</v>
      </c>
      <c r="CW45" s="13" t="s">
        <v>2356</v>
      </c>
      <c r="CX45" s="13" t="s">
        <v>2357</v>
      </c>
      <c r="CY45" s="13" t="s">
        <v>2358</v>
      </c>
      <c r="CZ45" s="13" t="s">
        <v>2359</v>
      </c>
      <c r="DA45" s="108" t="s">
        <v>2360</v>
      </c>
      <c r="DB45" s="37" t="s">
        <v>2361</v>
      </c>
      <c r="DC45" s="13" t="s">
        <v>2362</v>
      </c>
      <c r="DD45" s="13" t="s">
        <v>2363</v>
      </c>
      <c r="DE45" s="13" t="s">
        <v>2364</v>
      </c>
      <c r="DF45" s="13" t="s">
        <v>2365</v>
      </c>
      <c r="DG45" s="108" t="s">
        <v>2366</v>
      </c>
      <c r="DH45" s="37" t="s">
        <v>2367</v>
      </c>
      <c r="DI45" s="13" t="s">
        <v>2368</v>
      </c>
      <c r="DJ45" s="13" t="s">
        <v>2369</v>
      </c>
      <c r="DK45" s="13" t="s">
        <v>2370</v>
      </c>
      <c r="DL45" s="13" t="s">
        <v>2371</v>
      </c>
      <c r="DM45" s="108" t="s">
        <v>2372</v>
      </c>
      <c r="DN45" s="37" t="s">
        <v>2373</v>
      </c>
      <c r="DO45" s="13" t="s">
        <v>2374</v>
      </c>
      <c r="DP45" s="13" t="s">
        <v>2375</v>
      </c>
      <c r="DQ45" s="13" t="s">
        <v>2376</v>
      </c>
      <c r="DR45" s="13" t="s">
        <v>2377</v>
      </c>
      <c r="DS45" s="108" t="s">
        <v>2378</v>
      </c>
      <c r="DT45" s="196"/>
      <c r="DU45" s="196"/>
      <c r="DV45" s="195"/>
      <c r="DW45" s="241"/>
    </row>
    <row r="46" spans="6:127" ht="15.95" thickBot="1">
      <c r="F46" s="202"/>
      <c r="G46" s="196"/>
      <c r="H46" s="195"/>
      <c r="I46" s="241"/>
      <c r="J46" s="56" t="s">
        <v>2379</v>
      </c>
      <c r="K46" s="37">
        <f>IFERROR(VLOOKUP(J46,'Module Items'!$A$1:$B$2587,2,FALSE),"")</f>
        <v>535</v>
      </c>
      <c r="L46" s="44">
        <f>IFERROR(VLOOKUP(J46,'Monthly Line Picks'!$A$1:$D$2000,4,FALSE),"0")</f>
        <v>13</v>
      </c>
      <c r="M46" s="47" t="s">
        <v>2380</v>
      </c>
      <c r="N46" s="37">
        <f>IFERROR(VLOOKUP(M46,'Module Items'!$A$1:$B$2587,2,FALSE),"")</f>
        <v>27576</v>
      </c>
      <c r="O46" s="44">
        <f>IFERROR(VLOOKUP(M46,'Monthly Line Picks'!$A$1:$D$2000,4,FALSE),"0")</f>
        <v>8</v>
      </c>
      <c r="P46" s="47" t="s">
        <v>2381</v>
      </c>
      <c r="Q46" s="37">
        <f>IFERROR(VLOOKUP(P46,'Module Items'!$A$1:$B$2587,2,FALSE),"")</f>
        <v>103106</v>
      </c>
      <c r="R46" s="44">
        <f>IFERROR(VLOOKUP(P46,'Monthly Line Picks'!$A$1:$D$2000,4,FALSE),"0")</f>
        <v>12</v>
      </c>
      <c r="S46" s="47" t="s">
        <v>2382</v>
      </c>
      <c r="T46" s="37">
        <f>IFERROR(VLOOKUP(S46,'Module Items'!$A$1:$B$2587,2,FALSE),"")</f>
        <v>6236</v>
      </c>
      <c r="U46" s="44">
        <f>IFERROR(VLOOKUP(S46,'Monthly Line Picks'!$A$1:$D$2000,4,FALSE),"0")</f>
        <v>10</v>
      </c>
      <c r="V46" s="47" t="s">
        <v>2383</v>
      </c>
      <c r="W46" s="37">
        <f>IFERROR(VLOOKUP(V46,'Module Items'!$A$1:$B$2587,2,FALSE),"")</f>
        <v>481</v>
      </c>
      <c r="X46" s="44">
        <f>IFERROR(VLOOKUP(V46,'Monthly Line Picks'!$A$1:$D$2000,4,FALSE),"0")</f>
        <v>2</v>
      </c>
      <c r="Y46" s="57" t="s">
        <v>2384</v>
      </c>
      <c r="Z46" s="37">
        <f>IFERROR(VLOOKUP(Y46,'Module Items'!$A$1:$B$2587,2,FALSE),"")</f>
        <v>25535</v>
      </c>
      <c r="AA46" s="44">
        <f>IFERROR(VLOOKUP(Y46,'Monthly Line Picks'!$A$1:$D$2000,4,FALSE),"0")</f>
        <v>12</v>
      </c>
      <c r="AB46" s="56">
        <f>IFERROR(VLOOKUP(AB48,'Monthly Line Picks'!$A$1:$D$2101,4,FALSE),"0")</f>
        <v>734</v>
      </c>
      <c r="AC46" s="47" t="str">
        <f>IFERROR(VLOOKUP(AC48,'Monthly Line Picks'!$A$1:$D$2101,4,FALSE),"0")</f>
        <v>0</v>
      </c>
      <c r="AD46" s="47" t="str">
        <f>IFERROR(VLOOKUP(AD48,'Monthly Line Picks'!$A$1:$D$2101,4,FALSE),"0")</f>
        <v>0</v>
      </c>
      <c r="AE46" s="47">
        <f>IFERROR(VLOOKUP(AE48,'Monthly Line Picks'!$A$1:$D$2101,4,FALSE),"0")</f>
        <v>17</v>
      </c>
      <c r="AF46" s="47" t="str">
        <f>IFERROR(VLOOKUP(AF48,'Monthly Line Picks'!$A$1:$D$2101,4,FALSE),"0")</f>
        <v>0</v>
      </c>
      <c r="AG46" s="57">
        <f>IFERROR(VLOOKUP(AG48,'Monthly Line Picks'!$A$1:$D$2101,4,FALSE),"0")</f>
        <v>405</v>
      </c>
      <c r="AH46" s="56">
        <f>IFERROR(VLOOKUP(AH48,'Monthly Line Picks'!$A$1:$D$2101,4,FALSE),"0")</f>
        <v>10</v>
      </c>
      <c r="AI46" s="47">
        <f>IFERROR(VLOOKUP(AI48,'Monthly Line Picks'!$A$1:$D$2101,4,FALSE),"0")</f>
        <v>9</v>
      </c>
      <c r="AJ46" s="47">
        <f>IFERROR(VLOOKUP(AJ48,'Monthly Line Picks'!$A$1:$D$2101,4,FALSE),"0")</f>
        <v>292</v>
      </c>
      <c r="AK46" s="47">
        <f>IFERROR(VLOOKUP(AK48,'Monthly Line Picks'!$A$1:$D$2101,4,FALSE),"0")</f>
        <v>492</v>
      </c>
      <c r="AL46" s="47" t="str">
        <f>IFERROR(VLOOKUP(AL48,'Monthly Line Picks'!$A$1:$D$2101,4,FALSE),"0")</f>
        <v>0</v>
      </c>
      <c r="AM46" s="57">
        <f>IFERROR(VLOOKUP(AM48,'Monthly Line Picks'!$A$1:$D$2101,4,FALSE),"0")</f>
        <v>233</v>
      </c>
      <c r="AN46" s="56">
        <f>IFERROR(VLOOKUP(AN48,'Monthly Line Picks'!$A$1:$D$2101,4,FALSE),"0")</f>
        <v>52</v>
      </c>
      <c r="AO46" s="47" t="str">
        <f>IFERROR(VLOOKUP(AO48,'Monthly Line Picks'!$A$1:$D$2101,4,FALSE),"0")</f>
        <v>0</v>
      </c>
      <c r="AP46" s="47">
        <f>IFERROR(VLOOKUP(AP48,'Monthly Line Picks'!$A$1:$D$2101,4,FALSE),"0")</f>
        <v>203</v>
      </c>
      <c r="AQ46" s="47">
        <f>IFERROR(VLOOKUP(AQ48,'Monthly Line Picks'!$A$1:$D$2101,4,FALSE),"0")</f>
        <v>312</v>
      </c>
      <c r="AR46" s="47" t="str">
        <f>IFERROR(VLOOKUP(AR48,'Monthly Line Picks'!$A$1:$D$2101,4,FALSE),"0")</f>
        <v>0</v>
      </c>
      <c r="AS46" s="57" t="str">
        <f>IFERROR(VLOOKUP(AS48,'Monthly Line Picks'!$A$1:$D$2101,4,FALSE),"0")</f>
        <v>0</v>
      </c>
      <c r="AT46" s="56">
        <f>IFERROR(VLOOKUP(AT48,'Monthly Line Picks'!$A$1:$D$2101,4,FALSE),"0")</f>
        <v>494</v>
      </c>
      <c r="AU46" s="47" t="str">
        <f>IFERROR(VLOOKUP(AU48,'Monthly Line Picks'!$A$1:$D$2101,4,FALSE),"0")</f>
        <v>0</v>
      </c>
      <c r="AV46" s="47">
        <f>IFERROR(VLOOKUP(AV48,'Monthly Line Picks'!$A$1:$D$2101,4,FALSE),"0")</f>
        <v>4</v>
      </c>
      <c r="AW46" s="47" t="str">
        <f>IFERROR(VLOOKUP(AW48,'Monthly Line Picks'!$A$1:$D$2101,4,FALSE),"0")</f>
        <v>0</v>
      </c>
      <c r="AX46" s="47">
        <f>IFERROR(VLOOKUP(AX48,'Monthly Line Picks'!$A$1:$D$2101,4,FALSE),"0")</f>
        <v>16</v>
      </c>
      <c r="AY46" s="63">
        <f>IFERROR(VLOOKUP(AY48,'Monthly Line Picks'!$A$1:$D$2101,4,FALSE),"0")</f>
        <v>31</v>
      </c>
      <c r="AZ46" s="56">
        <f>IFERROR(VLOOKUP(AZ48,'Monthly Line Picks'!$A$1:$D$2101,4,FALSE),"0")</f>
        <v>138</v>
      </c>
      <c r="BA46" s="47">
        <f>IFERROR(VLOOKUP(BA48,'Monthly Line Picks'!$A$1:$D$2101,4,FALSE),"0")</f>
        <v>2</v>
      </c>
      <c r="BB46" s="47">
        <f>IFERROR(VLOOKUP(BB48,'Monthly Line Picks'!$A$1:$D$2101,4,FALSE),"0")</f>
        <v>36</v>
      </c>
      <c r="BC46" s="47">
        <f>IFERROR(VLOOKUP(BC48,'Monthly Line Picks'!$A$1:$D$2101,4,FALSE),"0")</f>
        <v>17</v>
      </c>
      <c r="BD46" s="47">
        <f>IFERROR(VLOOKUP(BD48,'Monthly Line Picks'!$A$1:$D$2101,4,FALSE),"0")</f>
        <v>36</v>
      </c>
      <c r="BE46" s="57">
        <f>IFERROR(VLOOKUP(BE48,'Monthly Line Picks'!$A$1:$D$2101,4,FALSE),"0")</f>
        <v>6</v>
      </c>
      <c r="BF46" s="56">
        <f>IFERROR(VLOOKUP(BF48,'Monthly Line Picks'!$A$1:$D$2101,4,FALSE),"0")</f>
        <v>22</v>
      </c>
      <c r="BG46" s="47" t="str">
        <f>IFERROR(VLOOKUP(BG48,'Monthly Line Picks'!$A$1:$D$2101,4,FALSE),"0")</f>
        <v>0</v>
      </c>
      <c r="BH46" s="47">
        <f>IFERROR(VLOOKUP(BH48,'Monthly Line Picks'!$A$1:$D$2101,4,FALSE),"0")</f>
        <v>4</v>
      </c>
      <c r="BI46" s="47" t="str">
        <f>IFERROR(VLOOKUP(BI48,'Monthly Line Picks'!$A$1:$D$2101,4,FALSE),"0")</f>
        <v>0</v>
      </c>
      <c r="BJ46" s="47" t="str">
        <f>IFERROR(VLOOKUP(BJ48,'Monthly Line Picks'!$A$1:$D$2101,4,FALSE),"0")</f>
        <v>0</v>
      </c>
      <c r="BK46" s="57" t="str">
        <f>IFERROR(VLOOKUP(BK48,'Monthly Line Picks'!$A$1:$D$2101,4,FALSE),"0")</f>
        <v>0</v>
      </c>
      <c r="BL46" s="15" t="s">
        <v>2385</v>
      </c>
      <c r="BM46" s="37">
        <f>IFERROR(VLOOKUP(BL46,'Module Items'!$A$1:$B$2587,2,FALSE),"")</f>
        <v>60066</v>
      </c>
      <c r="BN46" s="44">
        <f>IFERROR(VLOOKUP(BL46,'Monthly Line Picks'!$A$1:$D$2000,4,FALSE),"0")</f>
        <v>2</v>
      </c>
      <c r="BO46" s="47" t="s">
        <v>2386</v>
      </c>
      <c r="BP46" s="37">
        <f>IFERROR(VLOOKUP(BO46,'Module Items'!$A$1:$B$2587,2,FALSE),"")</f>
        <v>12233</v>
      </c>
      <c r="BQ46" s="44">
        <f>IFERROR(VLOOKUP(BO46,'Monthly Line Picks'!$A$1:$D$2000,4,FALSE),"0")</f>
        <v>20</v>
      </c>
      <c r="BR46" s="47" t="s">
        <v>2387</v>
      </c>
      <c r="BS46" s="37">
        <f>IFERROR(VLOOKUP(BR46,'Module Items'!$A$1:$B$2587,2,FALSE),"")</f>
        <v>80739</v>
      </c>
      <c r="BT46" s="44">
        <f>IFERROR(VLOOKUP(BR46,'Monthly Line Picks'!$A$1:$D$2000,4,FALSE),"0")</f>
        <v>2</v>
      </c>
      <c r="BU46" s="47" t="s">
        <v>2388</v>
      </c>
      <c r="BV46" s="37">
        <f>IFERROR(VLOOKUP(BU46,'Module Items'!$A$1:$B$2587,2,FALSE),"")</f>
        <v>96317</v>
      </c>
      <c r="BW46" s="44">
        <f>IFERROR(VLOOKUP(BU46,'Monthly Line Picks'!$A$1:$D$2000,4,FALSE),"0")</f>
        <v>11</v>
      </c>
      <c r="BX46" s="47" t="s">
        <v>2389</v>
      </c>
      <c r="BY46" s="37">
        <f>IFERROR(VLOOKUP(BX46,'Module Items'!$A$1:$B$2587,2,FALSE),"")</f>
        <v>89704</v>
      </c>
      <c r="BZ46" s="44" t="str">
        <f>IFERROR(VLOOKUP(BX46,'Monthly Line Picks'!$A$1:$D$2000,4,FALSE),"0")</f>
        <v>0</v>
      </c>
      <c r="CA46" s="47" t="s">
        <v>2390</v>
      </c>
      <c r="CB46" s="37">
        <f>IFERROR(VLOOKUP(CA46,'Module Items'!$A$1:$B$2587,2,FALSE),"")</f>
        <v>73351</v>
      </c>
      <c r="CC46" s="44">
        <f>IFERROR(VLOOKUP(CA46,'Monthly Line Picks'!$A$1:$D$2000,4,FALSE),"0")</f>
        <v>8</v>
      </c>
      <c r="CD46" s="275"/>
      <c r="CE46" s="276"/>
      <c r="CF46" s="276"/>
      <c r="CG46" s="56">
        <f>IFERROR(VLOOKUP(CG48,'Monthly Line Picks'!$A$1:$D$1458,4,FALSE),"0")</f>
        <v>665</v>
      </c>
      <c r="CH46" s="47">
        <f>IFERROR(VLOOKUP(CH48,'Monthly Line Picks'!$A$1:$D$1458,4,FALSE),"0")</f>
        <v>514</v>
      </c>
      <c r="CI46" s="57" t="str">
        <f>IFERROR(VLOOKUP(CI48,'Monthly Line Picks'!$A$1:$D$1458,4,FALSE),"0")</f>
        <v>0</v>
      </c>
      <c r="CJ46" s="56">
        <f>IFERROR(VLOOKUP(CJ48,'Monthly Line Picks'!$A$1:$D$1458,4,FALSE),"0")</f>
        <v>377</v>
      </c>
      <c r="CK46" s="47" t="str">
        <f>IFERROR(VLOOKUP(CK48,'Monthly Line Picks'!$A$1:$D$1458,4,FALSE),"0")</f>
        <v>0</v>
      </c>
      <c r="CL46" s="47">
        <f>IFERROR(VLOOKUP(CL48,'Monthly Line Picks'!$A$1:$D$1458,4,FALSE),"0")</f>
        <v>346</v>
      </c>
      <c r="CM46" s="47">
        <f>IFERROR(VLOOKUP(CM48,'Monthly Line Picks'!$A$1:$D$1458,4,FALSE),"0")</f>
        <v>25</v>
      </c>
      <c r="CN46" s="47" t="str">
        <f>IFERROR(VLOOKUP(CN48,'Monthly Line Picks'!$A$1:$D$1458,4,FALSE),"0")</f>
        <v>0</v>
      </c>
      <c r="CO46" s="57" t="str">
        <f>IFERROR(VLOOKUP(CO48,'Monthly Line Picks'!$A$1:$D$1458,4,FALSE),"0")</f>
        <v>0</v>
      </c>
      <c r="CP46" s="56">
        <f>IFERROR(VLOOKUP(CP48,'Monthly Line Picks'!$A$1:$D$1458,4,FALSE),"0")</f>
        <v>153</v>
      </c>
      <c r="CQ46" s="47" t="str">
        <f>IFERROR(VLOOKUP(CQ48,'Monthly Line Picks'!$A$1:$D$1458,4,FALSE),"0")</f>
        <v>0</v>
      </c>
      <c r="CR46" s="47" t="str">
        <f>IFERROR(VLOOKUP(CR48,'Monthly Line Picks'!$A$1:$D$1458,4,FALSE),"0")</f>
        <v>0</v>
      </c>
      <c r="CS46" s="47" t="str">
        <f>IFERROR(VLOOKUP(CS48,'Monthly Line Picks'!$A$1:$D$1458,4,FALSE),"0")</f>
        <v>0</v>
      </c>
      <c r="CT46" s="47">
        <f>IFERROR(VLOOKUP(CT48,'Monthly Line Picks'!$A$1:$D$1458,4,FALSE),"0")</f>
        <v>15</v>
      </c>
      <c r="CU46" s="57" t="str">
        <f>IFERROR(VLOOKUP(CU48,'Monthly Line Picks'!$A$1:$D$1458,4,FALSE),"0")</f>
        <v>0</v>
      </c>
      <c r="CV46" s="56" t="str">
        <f>IFERROR(VLOOKUP(CV48,'Monthly Line Picks'!$A$1:$D$1458,4,FALSE),"0")</f>
        <v>0</v>
      </c>
      <c r="CW46" s="47">
        <f>IFERROR(VLOOKUP(CW48,'Monthly Line Picks'!$A$1:$D$1458,4,FALSE),"0")</f>
        <v>106</v>
      </c>
      <c r="CX46" s="47" t="str">
        <f>IFERROR(VLOOKUP(CX48,'Monthly Line Picks'!$A$1:$D$1458,4,FALSE),"0")</f>
        <v>0</v>
      </c>
      <c r="CY46" s="47" t="str">
        <f>IFERROR(VLOOKUP(CY48,'Monthly Line Picks'!$A$1:$D$1458,4,FALSE),"0")</f>
        <v>0</v>
      </c>
      <c r="CZ46" s="47" t="str">
        <f>IFERROR(VLOOKUP(CZ48,'Monthly Line Picks'!$A$1:$D$1458,4,FALSE),"0")</f>
        <v>0</v>
      </c>
      <c r="DA46" s="57" t="str">
        <f>IFERROR(VLOOKUP(DA48,'Monthly Line Picks'!$A$1:$D$1458,4,FALSE),"0")</f>
        <v>0</v>
      </c>
      <c r="DB46" s="56" t="str">
        <f>IFERROR(VLOOKUP(DB48,'Monthly Line Picks'!$A$1:$D$1458,4,FALSE),"0")</f>
        <v>0</v>
      </c>
      <c r="DC46" s="47" t="str">
        <f>IFERROR(VLOOKUP(DC48,'Monthly Line Picks'!$A$1:$D$1458,4,FALSE),"0")</f>
        <v>0</v>
      </c>
      <c r="DD46" s="47">
        <f>IFERROR(VLOOKUP(DD48,'Monthly Line Picks'!$A$1:$D$1458,4,FALSE),"0")</f>
        <v>175</v>
      </c>
      <c r="DE46" s="47" t="str">
        <f>IFERROR(VLOOKUP(DE48,'Monthly Line Picks'!$A$1:$D$1458,4,FALSE),"0")</f>
        <v>0</v>
      </c>
      <c r="DF46" s="47">
        <f>IFERROR(VLOOKUP(DF48,'Monthly Line Picks'!$A$1:$D$1458,4,FALSE),"0")</f>
        <v>31</v>
      </c>
      <c r="DG46" s="57">
        <f>IFERROR(VLOOKUP(DG48,'Monthly Line Picks'!$A$1:$D$1458,4,FALSE),"0")</f>
        <v>5</v>
      </c>
      <c r="DH46" s="56" t="str">
        <f>IFERROR(VLOOKUP(DH48,'Monthly Line Picks'!$A$1:$D$1458,4,FALSE),"0")</f>
        <v>0</v>
      </c>
      <c r="DI46" s="47">
        <f>IFERROR(VLOOKUP(DI48,'Monthly Line Picks'!$A$1:$D$1458,4,FALSE),"0")</f>
        <v>15</v>
      </c>
      <c r="DJ46" s="47">
        <f>IFERROR(VLOOKUP(DJ48,'Monthly Line Picks'!$A$1:$D$1458,4,FALSE),"0")</f>
        <v>29</v>
      </c>
      <c r="DK46" s="47">
        <f>IFERROR(VLOOKUP(DK48,'Monthly Line Picks'!$A$1:$D$1458,4,FALSE),"0")</f>
        <v>17</v>
      </c>
      <c r="DL46" s="47">
        <f>IFERROR(VLOOKUP(DL48,'Monthly Line Picks'!$A$1:$D$1458,4,FALSE),"0")</f>
        <v>17</v>
      </c>
      <c r="DM46" s="57">
        <f>IFERROR(VLOOKUP(DM48,'Monthly Line Picks'!$A$1:$D$1458,4,FALSE),"0")</f>
        <v>29</v>
      </c>
      <c r="DN46" s="56">
        <f>IFERROR(VLOOKUP(DN48,'Monthly Line Picks'!$A$1:$D$1458,4,FALSE),"0")</f>
        <v>334</v>
      </c>
      <c r="DO46" s="47">
        <f>IFERROR(VLOOKUP(DO48,'Monthly Line Picks'!$A$1:$D$1458,4,FALSE),"0")</f>
        <v>31</v>
      </c>
      <c r="DP46" s="47" t="str">
        <f>IFERROR(VLOOKUP(DP48,'Monthly Line Picks'!$A$1:$D$1458,4,FALSE),"0")</f>
        <v>0</v>
      </c>
      <c r="DQ46" s="47">
        <f>IFERROR(VLOOKUP(DQ48,'Monthly Line Picks'!$A$1:$D$1458,4,FALSE),"0")</f>
        <v>16</v>
      </c>
      <c r="DR46" s="47" t="str">
        <f>IFERROR(VLOOKUP(DR48,'Monthly Line Picks'!$A$1:$D$1458,4,FALSE),"0")</f>
        <v>0</v>
      </c>
      <c r="DS46" s="57" t="str">
        <f>IFERROR(VLOOKUP(DS48,'Monthly Line Picks'!$A$1:$D$1458,4,FALSE),"0")</f>
        <v>0</v>
      </c>
      <c r="DT46" s="196"/>
      <c r="DU46" s="196"/>
      <c r="DV46" s="195"/>
      <c r="DW46" s="241"/>
    </row>
    <row r="47" spans="6:127" ht="15.95" thickBot="1">
      <c r="F47" s="202"/>
      <c r="G47" s="196"/>
      <c r="H47" s="195"/>
      <c r="I47" s="241"/>
      <c r="J47" s="56" t="s">
        <v>2391</v>
      </c>
      <c r="K47" s="37">
        <f>IFERROR(VLOOKUP(J47,'Module Items'!$A$1:$B$2587,2,FALSE),"")</f>
        <v>96650</v>
      </c>
      <c r="L47" s="44">
        <f>IFERROR(VLOOKUP(J47,'Monthly Line Picks'!$A$1:$D$2000,4,FALSE),"0")</f>
        <v>2</v>
      </c>
      <c r="M47" s="47" t="s">
        <v>2392</v>
      </c>
      <c r="N47" s="37">
        <f>IFERROR(VLOOKUP(M47,'Module Items'!$A$1:$B$2587,2,FALSE),"")</f>
        <v>331</v>
      </c>
      <c r="O47" s="44">
        <f>IFERROR(VLOOKUP(M47,'Monthly Line Picks'!$A$1:$D$2000,4,FALSE),"0")</f>
        <v>25</v>
      </c>
      <c r="P47" s="47" t="s">
        <v>2393</v>
      </c>
      <c r="Q47" s="37">
        <f>IFERROR(VLOOKUP(P47,'Module Items'!$A$1:$B$2587,2,FALSE),"")</f>
        <v>110480</v>
      </c>
      <c r="R47" s="44">
        <f>IFERROR(VLOOKUP(P47,'Monthly Line Picks'!$A$1:$D$2000,4,FALSE),"0")</f>
        <v>73</v>
      </c>
      <c r="S47" s="47" t="s">
        <v>2394</v>
      </c>
      <c r="T47" s="37">
        <f>IFERROR(VLOOKUP(S47,'Module Items'!$A$1:$B$2587,2,FALSE),"")</f>
        <v>35399</v>
      </c>
      <c r="U47" s="44">
        <f>IFERROR(VLOOKUP(S47,'Monthly Line Picks'!$A$1:$D$2000,4,FALSE),"0")</f>
        <v>8</v>
      </c>
      <c r="V47" s="47" t="s">
        <v>2395</v>
      </c>
      <c r="W47" s="37">
        <f>IFERROR(VLOOKUP(V47,'Module Items'!$A$1:$B$2587,2,FALSE),"")</f>
        <v>114346</v>
      </c>
      <c r="X47" s="44">
        <f>IFERROR(VLOOKUP(V47,'Monthly Line Picks'!$A$1:$D$2000,4,FALSE),"0")</f>
        <v>4</v>
      </c>
      <c r="Y47" s="57" t="s">
        <v>2396</v>
      </c>
      <c r="Z47" s="37">
        <f>IFERROR(VLOOKUP(Y47,'Module Items'!$A$1:$B$2587,2,FALSE),"")</f>
        <v>112478</v>
      </c>
      <c r="AA47" s="44">
        <f>IFERROR(VLOOKUP(Y47,'Monthly Line Picks'!$A$1:$D$2000,4,FALSE),"0")</f>
        <v>12</v>
      </c>
      <c r="AB47" s="37">
        <f>IFERROR(VLOOKUP(AB48,'Module Items'!$A$1:$B$2587,2,FALSE),"")</f>
        <v>111</v>
      </c>
      <c r="AC47" s="13" t="str">
        <f>IFERROR(VLOOKUP(AC48,'Module Items'!$A$1:$B$2587,2,FALSE),"")</f>
        <v>OPEN</v>
      </c>
      <c r="AD47" s="13" t="str">
        <f>IFERROR(VLOOKUP(AD48,'Module Items'!$A$1:$B$2587,2,FALSE),"")</f>
        <v>OPEN</v>
      </c>
      <c r="AE47" s="13">
        <f>IFERROR(VLOOKUP(AE48,'Module Items'!$A$1:$B$2587,2,FALSE),"")</f>
        <v>173498</v>
      </c>
      <c r="AF47" s="13" t="str">
        <f>IFERROR(VLOOKUP(AF48,'Module Items'!$A$1:$B$2587,2,FALSE),"")</f>
        <v/>
      </c>
      <c r="AG47" s="108">
        <f>IFERROR(VLOOKUP(AG48,'Module Items'!$A$1:$B$2587,2,FALSE),"")</f>
        <v>428</v>
      </c>
      <c r="AH47" s="37">
        <f>IFERROR(VLOOKUP(AH48,'Module Items'!$A$1:$B$2587,2,FALSE),"")</f>
        <v>101413</v>
      </c>
      <c r="AI47" s="13">
        <f>IFERROR(VLOOKUP(AI48,'Module Items'!$A$1:$B$2587,2,FALSE),"")</f>
        <v>123012</v>
      </c>
      <c r="AJ47" s="13">
        <f>IFERROR(VLOOKUP(AJ48,'Module Items'!$A$1:$B$2587,2,FALSE),"")</f>
        <v>118440</v>
      </c>
      <c r="AK47" s="13">
        <f>IFERROR(VLOOKUP(AK48,'Module Items'!$A$1:$B$2587,2,FALSE),"")</f>
        <v>54</v>
      </c>
      <c r="AL47" s="13" t="str">
        <f>IFERROR(VLOOKUP(AL48,'Module Items'!$A$1:$B$2587,2,FALSE),"")</f>
        <v>OPEN</v>
      </c>
      <c r="AM47" s="108">
        <f>IFERROR(VLOOKUP(AM48,'Module Items'!$A$1:$B$2587,2,FALSE),"")</f>
        <v>46</v>
      </c>
      <c r="AN47" s="37">
        <f>IFERROR(VLOOKUP(AN48,'Module Items'!$A$1:$B$2587,2,FALSE),"")</f>
        <v>125002</v>
      </c>
      <c r="AO47" s="13" t="str">
        <f>IFERROR(VLOOKUP(AO48,'Module Items'!$A$1:$B$2587,2,FALSE),"")</f>
        <v>OPEN</v>
      </c>
      <c r="AP47" s="13">
        <f>IFERROR(VLOOKUP(AP48,'Module Items'!$A$1:$B$2587,2,FALSE),"")</f>
        <v>126216</v>
      </c>
      <c r="AQ47" s="13">
        <f>IFERROR(VLOOKUP(AQ48,'Module Items'!$A$1:$B$2587,2,FALSE),"")</f>
        <v>72893</v>
      </c>
      <c r="AR47" s="13">
        <f>IFERROR(VLOOKUP(AR48,'Module Items'!$A$1:$B$2587,2,FALSE),"")</f>
        <v>132475</v>
      </c>
      <c r="AS47" s="108" t="str">
        <f>IFERROR(VLOOKUP(AS48,'Module Items'!$A$1:$B$2587,2,FALSE),"")</f>
        <v>OPEN</v>
      </c>
      <c r="AT47" s="37">
        <f>IFERROR(VLOOKUP(AT48,'Module Items'!$A$1:$B$2587,2,FALSE),"")</f>
        <v>1459</v>
      </c>
      <c r="AU47" s="13" t="str">
        <f>IFERROR(VLOOKUP(AU48,'Module Items'!$A$1:$B$2587,2,FALSE),"")</f>
        <v>OPEN</v>
      </c>
      <c r="AV47" s="13">
        <f>IFERROR(VLOOKUP(AV48,'Module Items'!$A$1:$B$2587,2,FALSE),"")</f>
        <v>135574</v>
      </c>
      <c r="AW47" s="13">
        <f>IFERROR(VLOOKUP(AW48,'Module Items'!$A$1:$B$2587,2,FALSE),"")</f>
        <v>124757</v>
      </c>
      <c r="AX47" s="13">
        <f>IFERROR(VLOOKUP(AX48,'Module Items'!$A$1:$B$2587,2,FALSE),"")</f>
        <v>136451</v>
      </c>
      <c r="AY47" s="11">
        <f>IFERROR(VLOOKUP(AY48,'Module Items'!$A$1:$B$2587,2,FALSE),"")</f>
        <v>131626</v>
      </c>
      <c r="AZ47" s="37">
        <f>IFERROR(VLOOKUP(AZ48,'Module Items'!$A$1:$B$2587,2,FALSE),"")</f>
        <v>105374</v>
      </c>
      <c r="BA47" s="13">
        <f>IFERROR(VLOOKUP(BA48,'Module Items'!$A$1:$B$2587,2,FALSE),"")</f>
        <v>125478</v>
      </c>
      <c r="BB47" s="13">
        <f>IFERROR(VLOOKUP(BB48,'Module Items'!$A$1:$B$2587,2,FALSE),"")</f>
        <v>22398</v>
      </c>
      <c r="BC47" s="13">
        <f>IFERROR(VLOOKUP(BC48,'Module Items'!$A$1:$B$2587,2,FALSE),"")</f>
        <v>8319</v>
      </c>
      <c r="BD47" s="13">
        <f>IFERROR(VLOOKUP(BD48,'Module Items'!$A$1:$B$2587,2,FALSE),"")</f>
        <v>18504</v>
      </c>
      <c r="BE47" s="108">
        <f>IFERROR(VLOOKUP(BE48,'Module Items'!$A$1:$B$2587,2,FALSE),"")</f>
        <v>111480</v>
      </c>
      <c r="BF47" s="37">
        <f>IFERROR(VLOOKUP(BF48,'Module Items'!$A$1:$B$2587,2,FALSE),"")</f>
        <v>521</v>
      </c>
      <c r="BG47" s="13" t="str">
        <f>IFERROR(VLOOKUP(BG48,'Module Items'!$A$1:$B$2587,2,FALSE),"")</f>
        <v>OPEN</v>
      </c>
      <c r="BH47" s="13">
        <f>IFERROR(VLOOKUP(BH48,'Module Items'!$A$1:$B$2587,2,FALSE),"")</f>
        <v>132596</v>
      </c>
      <c r="BI47" s="13">
        <f>IFERROR(VLOOKUP(BI48,'Module Items'!$A$1:$B$2587,2,FALSE),"")</f>
        <v>158217</v>
      </c>
      <c r="BJ47" s="13" t="str">
        <f>IFERROR(VLOOKUP(BJ48,'Module Items'!$A$1:$B$2587,2,FALSE),"")</f>
        <v/>
      </c>
      <c r="BK47" s="108" t="str">
        <f>IFERROR(VLOOKUP(BK48,'Module Items'!$A$1:$B$2587,2,FALSE),"")</f>
        <v/>
      </c>
      <c r="BL47" s="15" t="s">
        <v>2397</v>
      </c>
      <c r="BM47" s="37">
        <f>IFERROR(VLOOKUP(BL47,'Module Items'!$A$1:$B$2587,2,FALSE),"")</f>
        <v>51895</v>
      </c>
      <c r="BN47" s="44">
        <f>IFERROR(VLOOKUP(BL47,'Monthly Line Picks'!$A$1:$D$2000,4,FALSE),"0")</f>
        <v>2</v>
      </c>
      <c r="BO47" s="47" t="s">
        <v>2398</v>
      </c>
      <c r="BP47" s="37">
        <f>IFERROR(VLOOKUP(BO47,'Module Items'!$A$1:$B$2587,2,FALSE),"")</f>
        <v>1115</v>
      </c>
      <c r="BQ47" s="44" t="str">
        <f>IFERROR(VLOOKUP(BO47,'Monthly Line Picks'!$A$1:$D$2000,4,FALSE),"0")</f>
        <v>0</v>
      </c>
      <c r="BR47" s="47" t="s">
        <v>2399</v>
      </c>
      <c r="BS47" s="37">
        <f>IFERROR(VLOOKUP(BR47,'Module Items'!$A$1:$B$2587,2,FALSE),"")</f>
        <v>72365</v>
      </c>
      <c r="BT47" s="44" t="str">
        <f>IFERROR(VLOOKUP(BR47,'Monthly Line Picks'!$A$1:$D$2000,4,FALSE),"0")</f>
        <v>0</v>
      </c>
      <c r="BU47" s="47" t="s">
        <v>2400</v>
      </c>
      <c r="BV47" s="37">
        <f>IFERROR(VLOOKUP(BU47,'Module Items'!$A$1:$B$2587,2,FALSE),"")</f>
        <v>112427</v>
      </c>
      <c r="BW47" s="44">
        <f>IFERROR(VLOOKUP(BU47,'Monthly Line Picks'!$A$1:$D$2000,4,FALSE),"0")</f>
        <v>12</v>
      </c>
      <c r="BX47" s="47" t="s">
        <v>2401</v>
      </c>
      <c r="BY47" s="37">
        <f>IFERROR(VLOOKUP(BX47,'Module Items'!$A$1:$B$2587,2,FALSE),"")</f>
        <v>100133</v>
      </c>
      <c r="BZ47" s="44">
        <f>IFERROR(VLOOKUP(BX47,'Monthly Line Picks'!$A$1:$D$2000,4,FALSE),"0")</f>
        <v>2</v>
      </c>
      <c r="CA47" s="47" t="s">
        <v>2402</v>
      </c>
      <c r="CB47" s="37">
        <f>IFERROR(VLOOKUP(CA47,'Module Items'!$A$1:$B$2587,2,FALSE),"")</f>
        <v>131955</v>
      </c>
      <c r="CC47" s="44" t="str">
        <f>IFERROR(VLOOKUP(CA47,'Monthly Line Picks'!$A$1:$D$2000,4,FALSE),"0")</f>
        <v>0</v>
      </c>
      <c r="CD47" s="275"/>
      <c r="CE47" s="276"/>
      <c r="CF47" s="276"/>
      <c r="CG47" s="37">
        <f>IFERROR(VLOOKUP(CG48,'Module Items'!$A$1:$B$2587,2,FALSE),"")</f>
        <v>120004</v>
      </c>
      <c r="CH47" s="13">
        <f>IFERROR(VLOOKUP(CH48,'Module Items'!$A$1:$B$2587,2,FALSE),"")</f>
        <v>2456</v>
      </c>
      <c r="CI47" s="108" t="str">
        <f>IFERROR(VLOOKUP(CI48,'Module Items'!$A$1:$B$2587,2,FALSE),"")</f>
        <v/>
      </c>
      <c r="CJ47" s="37">
        <f>IFERROR(VLOOKUP(CJ48,'Module Items'!$A$1:$B$2587,2,FALSE),"")</f>
        <v>118779</v>
      </c>
      <c r="CK47" s="13" t="str">
        <f>IFERROR(VLOOKUP(CK48,'Module Items'!$A$1:$B$2587,2,FALSE),"")</f>
        <v/>
      </c>
      <c r="CL47" s="13">
        <f>IFERROR(VLOOKUP(CL48,'Module Items'!$A$1:$B$2587,2,FALSE),"")</f>
        <v>108869</v>
      </c>
      <c r="CM47" s="13">
        <f>IFERROR(VLOOKUP(CM48,'Module Items'!$A$1:$B$2587,2,FALSE),"")</f>
        <v>136008</v>
      </c>
      <c r="CN47" s="13">
        <f>IFERROR(VLOOKUP(CN48,'Module Items'!$A$1:$B$2587,2,FALSE),"")</f>
        <v>17481</v>
      </c>
      <c r="CO47" s="108">
        <f>IFERROR(VLOOKUP(CO48,'Module Items'!$A$1:$B$2587,2,FALSE),"")</f>
        <v>110809</v>
      </c>
      <c r="CP47" s="37" t="str">
        <f>IFERROR(VLOOKUP(CP48,'Module Items'!$A$1:$B$2587,2,FALSE),"")</f>
        <v>OPEN</v>
      </c>
      <c r="CQ47" s="13" t="str">
        <f>IFERROR(VLOOKUP(CQ48,'Module Items'!$A$1:$B$2587,2,FALSE),"")</f>
        <v>OPEN</v>
      </c>
      <c r="CR47" s="13" t="str">
        <f>IFERROR(VLOOKUP(CR48,'Module Items'!$A$1:$B$2587,2,FALSE),"")</f>
        <v>OPEN</v>
      </c>
      <c r="CS47" s="13">
        <f>IFERROR(VLOOKUP(CS48,'Module Items'!$A$1:$B$2587,2,FALSE),"")</f>
        <v>143747</v>
      </c>
      <c r="CT47" s="13">
        <f>IFERROR(VLOOKUP(CT48,'Module Items'!$A$1:$B$2587,2,FALSE),"")</f>
        <v>695</v>
      </c>
      <c r="CU47" s="108" t="str">
        <f>IFERROR(VLOOKUP(CU48,'Module Items'!$A$1:$B$2587,2,FALSE),"")</f>
        <v/>
      </c>
      <c r="CV47" s="37" t="str">
        <f>IFERROR(VLOOKUP(CV48,'Module Items'!$A$1:$B$2587,2,FALSE),"")</f>
        <v/>
      </c>
      <c r="CW47" s="13">
        <f>IFERROR(VLOOKUP(CW48,'Module Items'!$A$1:$B$2587,2,FALSE),"")</f>
        <v>2647</v>
      </c>
      <c r="CX47" s="13" t="str">
        <f>IFERROR(VLOOKUP(CX48,'Module Items'!$A$1:$B$2587,2,FALSE),"")</f>
        <v>OPEN</v>
      </c>
      <c r="CY47" s="13" t="str">
        <f>IFERROR(VLOOKUP(CY48,'Module Items'!$A$1:$B$2587,2,FALSE),"")</f>
        <v/>
      </c>
      <c r="CZ47" s="13">
        <f>IFERROR(VLOOKUP(CZ48,'Module Items'!$A$1:$B$2587,2,FALSE),"")</f>
        <v>400</v>
      </c>
      <c r="DA47" s="108" t="str">
        <f>IFERROR(VLOOKUP(DA48,'Module Items'!$A$1:$B$2587,2,FALSE),"")</f>
        <v/>
      </c>
      <c r="DB47" s="37" t="str">
        <f>IFERROR(VLOOKUP(DB48,'Module Items'!$A$1:$B$2587,2,FALSE),"")</f>
        <v/>
      </c>
      <c r="DC47" s="13" t="str">
        <f>IFERROR(VLOOKUP(DC48,'Module Items'!$A$1:$B$2587,2,FALSE),"")</f>
        <v/>
      </c>
      <c r="DD47" s="13">
        <f>IFERROR(VLOOKUP(DD48,'Module Items'!$A$1:$B$2587,2,FALSE),"")</f>
        <v>99854</v>
      </c>
      <c r="DE47" s="13">
        <f>IFERROR(VLOOKUP(DE48,'Module Items'!$A$1:$B$2587,2,FALSE),"")</f>
        <v>88353</v>
      </c>
      <c r="DF47" s="13">
        <f>IFERROR(VLOOKUP(DF48,'Module Items'!$A$1:$B$2587,2,FALSE),"")</f>
        <v>105102</v>
      </c>
      <c r="DG47" s="108">
        <f>IFERROR(VLOOKUP(DG48,'Module Items'!$A$1:$B$2587,2,FALSE),"")</f>
        <v>918</v>
      </c>
      <c r="DH47" s="37" t="str">
        <f>IFERROR(VLOOKUP(DH48,'Module Items'!$A$1:$B$2587,2,FALSE),"")</f>
        <v>OPEN</v>
      </c>
      <c r="DI47" s="13">
        <f>IFERROR(VLOOKUP(DI48,'Module Items'!$A$1:$B$2587,2,FALSE),"")</f>
        <v>124936</v>
      </c>
      <c r="DJ47" s="13">
        <f>IFERROR(VLOOKUP(DJ48,'Module Items'!$A$1:$B$2587,2,FALSE),"")</f>
        <v>20309</v>
      </c>
      <c r="DK47" s="13">
        <f>IFERROR(VLOOKUP(DK48,'Module Items'!$A$1:$B$2587,2,FALSE),"")</f>
        <v>65204</v>
      </c>
      <c r="DL47" s="13">
        <f>IFERROR(VLOOKUP(DL48,'Module Items'!$A$1:$B$2587,2,FALSE),"")</f>
        <v>112655</v>
      </c>
      <c r="DM47" s="108">
        <f>IFERROR(VLOOKUP(DM48,'Module Items'!$A$1:$B$2587,2,FALSE),"")</f>
        <v>20823</v>
      </c>
      <c r="DN47" s="37">
        <f>IFERROR(VLOOKUP(DN48,'Module Items'!$A$1:$B$2587,2,FALSE),"")</f>
        <v>130558</v>
      </c>
      <c r="DO47" s="13">
        <f>IFERROR(VLOOKUP(DO48,'Module Items'!$A$1:$B$2587,2,FALSE),"")</f>
        <v>138845</v>
      </c>
      <c r="DP47" s="13" t="str">
        <f>IFERROR(VLOOKUP(DP48,'Module Items'!$A$1:$B$2587,2,FALSE),"")</f>
        <v>OPEN</v>
      </c>
      <c r="DQ47" s="13">
        <f>IFERROR(VLOOKUP(DQ48,'Module Items'!$A$1:$B$2587,2,FALSE),"")</f>
        <v>114768</v>
      </c>
      <c r="DR47" s="13" t="str">
        <f>IFERROR(VLOOKUP(DR48,'Module Items'!$A$1:$B$2587,2,FALSE),"")</f>
        <v/>
      </c>
      <c r="DS47" s="108">
        <f>IFERROR(VLOOKUP(DS48,'Module Items'!$A$1:$B$2587,2,FALSE),"")</f>
        <v>97477</v>
      </c>
      <c r="DT47" s="196"/>
      <c r="DU47" s="196"/>
      <c r="DV47" s="195"/>
      <c r="DW47" s="241"/>
    </row>
    <row r="48" spans="6:127" ht="15.95" thickBot="1">
      <c r="F48" s="198"/>
      <c r="G48" s="199"/>
      <c r="H48" s="199"/>
      <c r="I48" s="239"/>
      <c r="J48" s="56" t="s">
        <v>2403</v>
      </c>
      <c r="K48" s="37" t="str">
        <f>IFERROR(VLOOKUP(J48,'Module Items'!$A$1:$B$2587,2,FALSE),"")</f>
        <v/>
      </c>
      <c r="L48" s="44" t="str">
        <f>IFERROR(VLOOKUP(J48,'Monthly Line Picks'!$A$1:$D$2000,4,FALSE),"0")</f>
        <v>0</v>
      </c>
      <c r="M48" s="47" t="s">
        <v>2404</v>
      </c>
      <c r="N48" s="37">
        <f>IFERROR(VLOOKUP(M48,'Module Items'!$A$1:$B$2587,2,FALSE),"")</f>
        <v>157620</v>
      </c>
      <c r="O48" s="44">
        <f>IFERROR(VLOOKUP(M48,'Monthly Line Picks'!$A$1:$D$2000,4,FALSE),"0")</f>
        <v>4</v>
      </c>
      <c r="P48" s="47" t="s">
        <v>2405</v>
      </c>
      <c r="Q48" s="37">
        <f>IFERROR(VLOOKUP(P48,'Module Items'!$A$1:$B$2587,2,FALSE),"")</f>
        <v>35582</v>
      </c>
      <c r="R48" s="44">
        <f>IFERROR(VLOOKUP(P48,'Monthly Line Picks'!$A$1:$D$2000,4,FALSE),"0")</f>
        <v>7</v>
      </c>
      <c r="S48" s="47" t="s">
        <v>2406</v>
      </c>
      <c r="T48" s="37">
        <f>IFERROR(VLOOKUP(S48,'Module Items'!$A$1:$B$2587,2,FALSE),"")</f>
        <v>97366</v>
      </c>
      <c r="U48" s="44">
        <f>IFERROR(VLOOKUP(S48,'Monthly Line Picks'!$A$1:$D$2000,4,FALSE),"0")</f>
        <v>6</v>
      </c>
      <c r="V48" s="47" t="s">
        <v>2407</v>
      </c>
      <c r="W48" s="37">
        <f>IFERROR(VLOOKUP(V48,'Module Items'!$A$1:$B$2587,2,FALSE),"")</f>
        <v>131595</v>
      </c>
      <c r="X48" s="44" t="str">
        <f>IFERROR(VLOOKUP(V48,'Monthly Line Picks'!$A$1:$D$2000,4,FALSE),"0")</f>
        <v>0</v>
      </c>
      <c r="Y48" s="57" t="s">
        <v>2408</v>
      </c>
      <c r="Z48" s="37">
        <f>IFERROR(VLOOKUP(Y48,'Module Items'!$A$1:$B$2587,2,FALSE),"")</f>
        <v>18601</v>
      </c>
      <c r="AA48" s="44">
        <f>IFERROR(VLOOKUP(Y48,'Monthly Line Picks'!$A$1:$D$2000,4,FALSE),"0")</f>
        <v>3</v>
      </c>
      <c r="AB48" s="37" t="s">
        <v>2409</v>
      </c>
      <c r="AC48" s="13" t="s">
        <v>2410</v>
      </c>
      <c r="AD48" s="13" t="s">
        <v>2411</v>
      </c>
      <c r="AE48" s="41" t="s">
        <v>2412</v>
      </c>
      <c r="AF48" s="13" t="s">
        <v>2413</v>
      </c>
      <c r="AG48" s="108" t="s">
        <v>2414</v>
      </c>
      <c r="AH48" s="37" t="s">
        <v>2415</v>
      </c>
      <c r="AI48" s="13" t="s">
        <v>2416</v>
      </c>
      <c r="AJ48" s="13" t="s">
        <v>2417</v>
      </c>
      <c r="AK48" s="13" t="s">
        <v>2418</v>
      </c>
      <c r="AL48" s="13" t="s">
        <v>2419</v>
      </c>
      <c r="AM48" s="108" t="s">
        <v>2420</v>
      </c>
      <c r="AN48" s="37" t="s">
        <v>2421</v>
      </c>
      <c r="AO48" s="13" t="s">
        <v>2422</v>
      </c>
      <c r="AP48" s="13" t="s">
        <v>2423</v>
      </c>
      <c r="AQ48" s="13" t="s">
        <v>2424</v>
      </c>
      <c r="AR48" s="13" t="s">
        <v>2425</v>
      </c>
      <c r="AS48" s="108" t="s">
        <v>2426</v>
      </c>
      <c r="AT48" s="37" t="s">
        <v>2427</v>
      </c>
      <c r="AU48" s="13" t="s">
        <v>2428</v>
      </c>
      <c r="AV48" s="13" t="s">
        <v>2429</v>
      </c>
      <c r="AW48" s="13" t="s">
        <v>2430</v>
      </c>
      <c r="AX48" s="13" t="s">
        <v>2431</v>
      </c>
      <c r="AY48" s="11" t="s">
        <v>2432</v>
      </c>
      <c r="AZ48" s="37" t="s">
        <v>2433</v>
      </c>
      <c r="BA48" s="13" t="s">
        <v>2434</v>
      </c>
      <c r="BB48" s="13" t="s">
        <v>2435</v>
      </c>
      <c r="BC48" s="13" t="s">
        <v>2436</v>
      </c>
      <c r="BD48" s="13" t="s">
        <v>2437</v>
      </c>
      <c r="BE48" s="108" t="s">
        <v>2438</v>
      </c>
      <c r="BF48" s="37" t="s">
        <v>2439</v>
      </c>
      <c r="BG48" s="13" t="s">
        <v>2440</v>
      </c>
      <c r="BH48" s="13" t="s">
        <v>2441</v>
      </c>
      <c r="BI48" s="13" t="s">
        <v>2442</v>
      </c>
      <c r="BJ48" s="13" t="s">
        <v>2443</v>
      </c>
      <c r="BK48" s="108" t="s">
        <v>2444</v>
      </c>
      <c r="BL48" s="15" t="s">
        <v>2445</v>
      </c>
      <c r="BM48" s="37">
        <f>IFERROR(VLOOKUP(BL48,'Module Items'!$A$1:$B$2587,2,FALSE),"")</f>
        <v>206563</v>
      </c>
      <c r="BN48" s="44">
        <f>IFERROR(VLOOKUP(BL48,'Monthly Line Picks'!$A$1:$D$2000,4,FALSE),"0")</f>
        <v>11</v>
      </c>
      <c r="BO48" s="47" t="s">
        <v>2446</v>
      </c>
      <c r="BP48" s="37">
        <f>IFERROR(VLOOKUP(BO48,'Module Items'!$A$1:$B$2587,2,FALSE),"")</f>
        <v>100391</v>
      </c>
      <c r="BQ48" s="44" t="str">
        <f>IFERROR(VLOOKUP(BO48,'Monthly Line Picks'!$A$1:$D$2000,4,FALSE),"0")</f>
        <v>0</v>
      </c>
      <c r="BR48" s="47" t="s">
        <v>2447</v>
      </c>
      <c r="BS48" s="37">
        <f>IFERROR(VLOOKUP(BR48,'Module Items'!$A$1:$B$2587,2,FALSE),"")</f>
        <v>117930</v>
      </c>
      <c r="BT48" s="44">
        <f>IFERROR(VLOOKUP(BR48,'Monthly Line Picks'!$A$1:$D$2000,4,FALSE),"0")</f>
        <v>5</v>
      </c>
      <c r="BU48" s="47" t="s">
        <v>2448</v>
      </c>
      <c r="BV48" s="37">
        <f>IFERROR(VLOOKUP(BU48,'Module Items'!$A$1:$B$2587,2,FALSE),"")</f>
        <v>88439</v>
      </c>
      <c r="BW48" s="44">
        <f>IFERROR(VLOOKUP(BU48,'Monthly Line Picks'!$A$1:$D$2000,4,FALSE),"0")</f>
        <v>11</v>
      </c>
      <c r="BX48" s="47" t="s">
        <v>2449</v>
      </c>
      <c r="BY48" s="37">
        <f>IFERROR(VLOOKUP(BX48,'Module Items'!$A$1:$B$2587,2,FALSE),"")</f>
        <v>100021</v>
      </c>
      <c r="BZ48" s="44">
        <f>IFERROR(VLOOKUP(BX48,'Monthly Line Picks'!$A$1:$D$2000,4,FALSE),"0")</f>
        <v>1</v>
      </c>
      <c r="CA48" s="47" t="s">
        <v>2450</v>
      </c>
      <c r="CB48" s="37">
        <f>IFERROR(VLOOKUP(CA48,'Module Items'!$A$1:$B$2587,2,FALSE),"")</f>
        <v>131803</v>
      </c>
      <c r="CC48" s="44" t="str">
        <f>IFERROR(VLOOKUP(CA48,'Monthly Line Picks'!$A$1:$D$2000,4,FALSE),"0")</f>
        <v>0</v>
      </c>
      <c r="CD48" s="275"/>
      <c r="CE48" s="276"/>
      <c r="CF48" s="276"/>
      <c r="CG48" s="37" t="s">
        <v>2451</v>
      </c>
      <c r="CH48" s="13" t="s">
        <v>2452</v>
      </c>
      <c r="CI48" s="108" t="s">
        <v>2453</v>
      </c>
      <c r="CJ48" s="37" t="s">
        <v>2454</v>
      </c>
      <c r="CK48" s="13" t="s">
        <v>2455</v>
      </c>
      <c r="CL48" s="13" t="s">
        <v>2456</v>
      </c>
      <c r="CM48" s="13" t="s">
        <v>2457</v>
      </c>
      <c r="CN48" s="13" t="s">
        <v>2458</v>
      </c>
      <c r="CO48" s="108" t="s">
        <v>2459</v>
      </c>
      <c r="CP48" s="37" t="s">
        <v>2460</v>
      </c>
      <c r="CQ48" s="13" t="s">
        <v>2461</v>
      </c>
      <c r="CR48" s="13" t="s">
        <v>2462</v>
      </c>
      <c r="CS48" s="13" t="s">
        <v>2463</v>
      </c>
      <c r="CT48" s="13" t="s">
        <v>2464</v>
      </c>
      <c r="CU48" s="108" t="s">
        <v>2465</v>
      </c>
      <c r="CV48" s="37" t="s">
        <v>2466</v>
      </c>
      <c r="CW48" s="13" t="s">
        <v>2467</v>
      </c>
      <c r="CX48" s="13" t="s">
        <v>2468</v>
      </c>
      <c r="CY48" s="13" t="s">
        <v>2469</v>
      </c>
      <c r="CZ48" s="13" t="s">
        <v>2470</v>
      </c>
      <c r="DA48" s="108" t="s">
        <v>2471</v>
      </c>
      <c r="DB48" s="37" t="s">
        <v>2472</v>
      </c>
      <c r="DC48" s="13" t="s">
        <v>2473</v>
      </c>
      <c r="DD48" s="13" t="s">
        <v>2474</v>
      </c>
      <c r="DE48" s="13" t="s">
        <v>2475</v>
      </c>
      <c r="DF48" s="13" t="s">
        <v>2476</v>
      </c>
      <c r="DG48" s="108" t="s">
        <v>2477</v>
      </c>
      <c r="DH48" s="37" t="s">
        <v>2478</v>
      </c>
      <c r="DI48" s="13" t="s">
        <v>2479</v>
      </c>
      <c r="DJ48" s="13" t="s">
        <v>2480</v>
      </c>
      <c r="DK48" s="13" t="s">
        <v>2481</v>
      </c>
      <c r="DL48" s="13" t="s">
        <v>2482</v>
      </c>
      <c r="DM48" s="108" t="s">
        <v>2483</v>
      </c>
      <c r="DN48" s="37" t="s">
        <v>2484</v>
      </c>
      <c r="DO48" s="13" t="s">
        <v>2485</v>
      </c>
      <c r="DP48" s="13" t="s">
        <v>2486</v>
      </c>
      <c r="DQ48" s="13" t="s">
        <v>2487</v>
      </c>
      <c r="DR48" s="13" t="s">
        <v>2488</v>
      </c>
      <c r="DS48" s="108" t="s">
        <v>2489</v>
      </c>
      <c r="DT48" s="199"/>
      <c r="DU48" s="199"/>
      <c r="DV48" s="199"/>
      <c r="DW48" s="239"/>
    </row>
    <row r="49" spans="6:127" ht="15.95" thickBot="1">
      <c r="F49" s="198"/>
      <c r="G49" s="199"/>
      <c r="H49" s="199"/>
      <c r="I49" s="239"/>
      <c r="J49" s="56" t="s">
        <v>2490</v>
      </c>
      <c r="K49" s="37">
        <f>IFERROR(VLOOKUP(J49,'Module Items'!$A$1:$B$2587,2,FALSE),"")</f>
        <v>118837</v>
      </c>
      <c r="L49" s="44">
        <f>IFERROR(VLOOKUP(J49,'Monthly Line Picks'!$A$1:$D$2000,4,FALSE),"0")</f>
        <v>75</v>
      </c>
      <c r="M49" s="47" t="s">
        <v>2491</v>
      </c>
      <c r="N49" s="37">
        <f>IFERROR(VLOOKUP(M49,'Module Items'!$A$1:$B$2587,2,FALSE),"")</f>
        <v>38191</v>
      </c>
      <c r="O49" s="44" t="str">
        <f>IFERROR(VLOOKUP(M49,'Monthly Line Picks'!$A$1:$D$2000,4,FALSE),"0")</f>
        <v>0</v>
      </c>
      <c r="P49" s="47" t="s">
        <v>2492</v>
      </c>
      <c r="Q49" s="37">
        <f>IFERROR(VLOOKUP(P49,'Module Items'!$A$1:$B$2587,2,FALSE),"")</f>
        <v>51104</v>
      </c>
      <c r="R49" s="44" t="str">
        <f>IFERROR(VLOOKUP(P49,'Monthly Line Picks'!$A$1:$D$2000,4,FALSE),"0")</f>
        <v>0</v>
      </c>
      <c r="S49" s="47" t="s">
        <v>2493</v>
      </c>
      <c r="T49" s="37">
        <f>IFERROR(VLOOKUP(S49,'Module Items'!$A$1:$B$2587,2,FALSE),"")</f>
        <v>112434</v>
      </c>
      <c r="U49" s="44">
        <f>IFERROR(VLOOKUP(S49,'Monthly Line Picks'!$A$1:$D$2000,4,FALSE),"0")</f>
        <v>8</v>
      </c>
      <c r="V49" s="47" t="s">
        <v>2494</v>
      </c>
      <c r="W49" s="37">
        <f>IFERROR(VLOOKUP(V49,'Module Items'!$A$1:$B$2587,2,FALSE),"")</f>
        <v>1452</v>
      </c>
      <c r="X49" s="44">
        <f>IFERROR(VLOOKUP(V49,'Monthly Line Picks'!$A$1:$D$2000,4,FALSE),"0")</f>
        <v>21</v>
      </c>
      <c r="Y49" s="57" t="s">
        <v>2495</v>
      </c>
      <c r="Z49" s="37">
        <f>IFERROR(VLOOKUP(Y49,'Module Items'!$A$1:$B$2587,2,FALSE),"")</f>
        <v>5328</v>
      </c>
      <c r="AA49" s="44">
        <f>IFERROR(VLOOKUP(Y49,'Monthly Line Picks'!$A$1:$D$2000,4,FALSE),"0")</f>
        <v>6</v>
      </c>
      <c r="AB49" s="56">
        <f>IFERROR(VLOOKUP(AB51,'Monthly Line Picks'!$A$1:$D$2101,4,FALSE),"0")</f>
        <v>2</v>
      </c>
      <c r="AC49" s="47">
        <f>IFERROR(VLOOKUP(AC51,'Monthly Line Picks'!$A$1:$D$2101,4,FALSE),"0")</f>
        <v>311</v>
      </c>
      <c r="AD49" s="47">
        <f>IFERROR(VLOOKUP(AD51,'Monthly Line Picks'!$A$1:$D$2101,4,FALSE),"0")</f>
        <v>183</v>
      </c>
      <c r="AE49" s="47" t="str">
        <f>IFERROR(VLOOKUP(AE51,'Monthly Line Picks'!$A$1:$D$2101,4,FALSE),"0")</f>
        <v>0</v>
      </c>
      <c r="AF49" s="47" t="str">
        <f>IFERROR(VLOOKUP(AF51,'Monthly Line Picks'!$A$1:$D$2101,4,FALSE),"0")</f>
        <v>0</v>
      </c>
      <c r="AG49" s="57">
        <f>IFERROR(VLOOKUP(AG51,'Monthly Line Picks'!$A$1:$D$2101,4,FALSE),"0")</f>
        <v>144</v>
      </c>
      <c r="AH49" s="56">
        <f>IFERROR(VLOOKUP(AH51,'Monthly Line Picks'!$A$1:$D$2101,4,FALSE),"0")</f>
        <v>191</v>
      </c>
      <c r="AI49" s="47">
        <f>IFERROR(VLOOKUP(AI51,'Monthly Line Picks'!$A$1:$D$2101,4,FALSE),"0")</f>
        <v>104</v>
      </c>
      <c r="AJ49" s="47">
        <f>IFERROR(VLOOKUP(AJ51,'Monthly Line Picks'!$A$1:$D$2101,4,FALSE),"0")</f>
        <v>149</v>
      </c>
      <c r="AK49" s="47" t="str">
        <f>IFERROR(VLOOKUP(AK51,'Monthly Line Picks'!$A$1:$D$2101,4,FALSE),"0")</f>
        <v>0</v>
      </c>
      <c r="AL49" s="47">
        <f>IFERROR(VLOOKUP(AL51,'Monthly Line Picks'!$A$1:$D$2101,4,FALSE),"0")</f>
        <v>184</v>
      </c>
      <c r="AM49" s="57">
        <f>IFERROR(VLOOKUP(AM51,'Monthly Line Picks'!$A$1:$D$2101,4,FALSE),"0")</f>
        <v>73</v>
      </c>
      <c r="AN49" s="56">
        <f>IFERROR(VLOOKUP(AN51,'Monthly Line Picks'!$A$1:$D$2101,4,FALSE),"0")</f>
        <v>62</v>
      </c>
      <c r="AO49" s="47">
        <f>IFERROR(VLOOKUP(AO51,'Monthly Line Picks'!$A$1:$D$2101,4,FALSE),"0")</f>
        <v>99</v>
      </c>
      <c r="AP49" s="47">
        <f>IFERROR(VLOOKUP(AP51,'Monthly Line Picks'!$A$1:$D$2101,4,FALSE),"0")</f>
        <v>80</v>
      </c>
      <c r="AQ49" s="47">
        <f>IFERROR(VLOOKUP(AQ51,'Monthly Line Picks'!$A$1:$D$2101,4,FALSE),"0")</f>
        <v>82</v>
      </c>
      <c r="AR49" s="47">
        <f>IFERROR(VLOOKUP(AR51,'Monthly Line Picks'!$A$1:$D$2101,4,FALSE),"0")</f>
        <v>54</v>
      </c>
      <c r="AS49" s="57">
        <f>IFERROR(VLOOKUP(AS51,'Monthly Line Picks'!$A$1:$D$2101,4,FALSE),"0")</f>
        <v>83</v>
      </c>
      <c r="AT49" s="56">
        <f>IFERROR(VLOOKUP(AT51,'Monthly Line Picks'!$A$1:$D$2101,4,FALSE),"0")</f>
        <v>17</v>
      </c>
      <c r="AU49" s="47">
        <f>IFERROR(VLOOKUP(AU51,'Monthly Line Picks'!$A$1:$D$2101,4,FALSE),"0")</f>
        <v>20</v>
      </c>
      <c r="AV49" s="47">
        <f>IFERROR(VLOOKUP(AV51,'Monthly Line Picks'!$A$1:$D$2101,4,FALSE),"0")</f>
        <v>24</v>
      </c>
      <c r="AW49" s="47">
        <f>IFERROR(VLOOKUP(AW51,'Monthly Line Picks'!$A$1:$D$2101,4,FALSE),"0")</f>
        <v>19</v>
      </c>
      <c r="AX49" s="47">
        <f>IFERROR(VLOOKUP(AX51,'Monthly Line Picks'!$A$1:$D$2101,4,FALSE),"0")</f>
        <v>25</v>
      </c>
      <c r="AY49" s="63">
        <f>IFERROR(VLOOKUP(AY51,'Monthly Line Picks'!$A$1:$D$2101,4,FALSE),"0")</f>
        <v>25</v>
      </c>
      <c r="AZ49" s="56">
        <f>IFERROR(VLOOKUP(AZ51,'Monthly Line Picks'!$A$1:$D$2101,4,FALSE),"0")</f>
        <v>22</v>
      </c>
      <c r="BA49" s="47">
        <f>IFERROR(VLOOKUP(BA51,'Monthly Line Picks'!$A$1:$D$2101,4,FALSE),"0")</f>
        <v>43</v>
      </c>
      <c r="BB49" s="47">
        <f>IFERROR(VLOOKUP(BB51,'Monthly Line Picks'!$A$1:$D$2101,4,FALSE),"0")</f>
        <v>20</v>
      </c>
      <c r="BC49" s="47">
        <f>IFERROR(VLOOKUP(BC51,'Monthly Line Picks'!$A$1:$D$2101,4,FALSE),"0")</f>
        <v>38</v>
      </c>
      <c r="BD49" s="47">
        <f>IFERROR(VLOOKUP(BD51,'Monthly Line Picks'!$A$1:$D$2101,4,FALSE),"0")</f>
        <v>10</v>
      </c>
      <c r="BE49" s="57">
        <f>IFERROR(VLOOKUP(BE51,'Monthly Line Picks'!$A$1:$D$2101,4,FALSE),"0")</f>
        <v>13</v>
      </c>
      <c r="BF49" s="56">
        <f>IFERROR(VLOOKUP(BF51,'Monthly Line Picks'!$A$1:$D$2101,4,FALSE),"0")</f>
        <v>7</v>
      </c>
      <c r="BG49" s="47">
        <f>IFERROR(VLOOKUP(BG51,'Monthly Line Picks'!$A$1:$D$2101,4,FALSE),"0")</f>
        <v>13</v>
      </c>
      <c r="BH49" s="47" t="str">
        <f>IFERROR(VLOOKUP(BH51,'Monthly Line Picks'!$A$1:$D$2101,4,FALSE),"0")</f>
        <v>0</v>
      </c>
      <c r="BI49" s="47" t="str">
        <f>IFERROR(VLOOKUP(BI51,'Monthly Line Picks'!$A$1:$D$2101,4,FALSE),"0")</f>
        <v>0</v>
      </c>
      <c r="BJ49" s="47">
        <f>IFERROR(VLOOKUP(BJ51,'Monthly Line Picks'!$A$1:$D$2101,4,FALSE),"0")</f>
        <v>28</v>
      </c>
      <c r="BK49" s="57">
        <f>IFERROR(VLOOKUP(BK51,'Monthly Line Picks'!$A$1:$D$2101,4,FALSE),"0")</f>
        <v>1</v>
      </c>
      <c r="BL49" s="15" t="s">
        <v>2496</v>
      </c>
      <c r="BM49" s="37">
        <f>IFERROR(VLOOKUP(BL49,'Module Items'!$A$1:$B$2587,2,FALSE),"")</f>
        <v>69252</v>
      </c>
      <c r="BN49" s="44">
        <f>IFERROR(VLOOKUP(BL49,'Monthly Line Picks'!$A$1:$D$2000,4,FALSE),"0")</f>
        <v>1</v>
      </c>
      <c r="BO49" s="47" t="s">
        <v>2497</v>
      </c>
      <c r="BP49" s="37">
        <f>IFERROR(VLOOKUP(BO49,'Module Items'!$A$1:$B$2587,2,FALSE),"")</f>
        <v>346</v>
      </c>
      <c r="BQ49" s="44">
        <f>IFERROR(VLOOKUP(BO49,'Monthly Line Picks'!$A$1:$D$2000,4,FALSE),"0")</f>
        <v>3</v>
      </c>
      <c r="BR49" s="47" t="s">
        <v>2498</v>
      </c>
      <c r="BS49" s="37">
        <f>IFERROR(VLOOKUP(BR49,'Module Items'!$A$1:$B$2587,2,FALSE),"")</f>
        <v>17095</v>
      </c>
      <c r="BT49" s="44">
        <f>IFERROR(VLOOKUP(BR49,'Monthly Line Picks'!$A$1:$D$2000,4,FALSE),"0")</f>
        <v>2</v>
      </c>
      <c r="BU49" s="47" t="s">
        <v>2499</v>
      </c>
      <c r="BV49" s="37">
        <f>IFERROR(VLOOKUP(BU49,'Module Items'!$A$1:$B$2587,2,FALSE),"")</f>
        <v>157797</v>
      </c>
      <c r="BW49" s="44">
        <f>IFERROR(VLOOKUP(BU49,'Monthly Line Picks'!$A$1:$D$2000,4,FALSE),"0")</f>
        <v>15</v>
      </c>
      <c r="BX49" s="47" t="s">
        <v>2500</v>
      </c>
      <c r="BY49" s="37">
        <f>IFERROR(VLOOKUP(BX49,'Module Items'!$A$1:$B$2587,2,FALSE),"")</f>
        <v>84891</v>
      </c>
      <c r="BZ49" s="44" t="str">
        <f>IFERROR(VLOOKUP(BX49,'Monthly Line Picks'!$A$1:$D$2000,4,FALSE),"0")</f>
        <v>0</v>
      </c>
      <c r="CA49" s="47" t="s">
        <v>2501</v>
      </c>
      <c r="CB49" s="37">
        <f>IFERROR(VLOOKUP(CA49,'Module Items'!$A$1:$B$2587,2,FALSE),"")</f>
        <v>104757</v>
      </c>
      <c r="CC49" s="44">
        <f>IFERROR(VLOOKUP(CA49,'Monthly Line Picks'!$A$1:$D$2000,4,FALSE),"0")</f>
        <v>1</v>
      </c>
      <c r="CD49" s="275"/>
      <c r="CE49" s="276"/>
      <c r="CF49" s="276"/>
      <c r="CG49" s="56">
        <f>IFERROR(VLOOKUP(CG51,'Monthly Line Picks'!$A$1:$D$1458,4,FALSE),"0")</f>
        <v>231</v>
      </c>
      <c r="CH49" s="47" t="str">
        <f>IFERROR(VLOOKUP(CH51,'Monthly Line Picks'!$A$1:$D$1458,4,FALSE),"0")</f>
        <v>0</v>
      </c>
      <c r="CI49" s="57" t="str">
        <f>IFERROR(VLOOKUP(CI51,'Monthly Line Picks'!$A$1:$D$1458,4,FALSE),"0")</f>
        <v>0</v>
      </c>
      <c r="CJ49" s="56">
        <f>IFERROR(VLOOKUP(CJ51,'Monthly Line Picks'!$A$1:$D$1458,4,FALSE),"0")</f>
        <v>114</v>
      </c>
      <c r="CK49" s="47" t="str">
        <f>IFERROR(VLOOKUP(CK51,'Monthly Line Picks'!$A$1:$D$1458,4,FALSE),"0")</f>
        <v>0</v>
      </c>
      <c r="CL49" s="47" t="str">
        <f>IFERROR(VLOOKUP(CL51,'Monthly Line Picks'!$A$1:$D$1458,4,FALSE),"0")</f>
        <v>0</v>
      </c>
      <c r="CM49" s="47">
        <f>IFERROR(VLOOKUP(CM51,'Monthly Line Picks'!$A$1:$D$1458,4,FALSE),"0")</f>
        <v>137</v>
      </c>
      <c r="CN49" s="47" t="str">
        <f>IFERROR(VLOOKUP(CN51,'Monthly Line Picks'!$A$1:$D$1458,4,FALSE),"0")</f>
        <v>0</v>
      </c>
      <c r="CO49" s="57" t="str">
        <f>IFERROR(VLOOKUP(CO51,'Monthly Line Picks'!$A$1:$D$1458,4,FALSE),"0")</f>
        <v>0</v>
      </c>
      <c r="CP49" s="56">
        <f>IFERROR(VLOOKUP(CP51,'Monthly Line Picks'!$A$1:$D$1458,4,FALSE),"0")</f>
        <v>160</v>
      </c>
      <c r="CQ49" s="47">
        <f>IFERROR(VLOOKUP(CQ51,'Monthly Line Picks'!$A$1:$D$1458,4,FALSE),"0")</f>
        <v>535</v>
      </c>
      <c r="CR49" s="47">
        <f>IFERROR(VLOOKUP(CR51,'Monthly Line Picks'!$A$1:$D$1458,4,FALSE),"0")</f>
        <v>219</v>
      </c>
      <c r="CS49" s="47" t="str">
        <f>IFERROR(VLOOKUP(CS51,'Monthly Line Picks'!$A$1:$D$1458,4,FALSE),"0")</f>
        <v>0</v>
      </c>
      <c r="CT49" s="47" t="str">
        <f>IFERROR(VLOOKUP(CT51,'Monthly Line Picks'!$A$1:$D$1458,4,FALSE),"0")</f>
        <v>0</v>
      </c>
      <c r="CU49" s="57" t="str">
        <f>IFERROR(VLOOKUP(CU51,'Monthly Line Picks'!$A$1:$D$1458,4,FALSE),"0")</f>
        <v>0</v>
      </c>
      <c r="CV49" s="56">
        <f>IFERROR(VLOOKUP(CV51,'Monthly Line Picks'!$A$1:$D$1458,4,FALSE),"0")</f>
        <v>11</v>
      </c>
      <c r="CW49" s="47" t="str">
        <f>IFERROR(VLOOKUP(CW51,'Monthly Line Picks'!$A$1:$D$1458,4,FALSE),"0")</f>
        <v>0</v>
      </c>
      <c r="CX49" s="47">
        <f>IFERROR(VLOOKUP(CX51,'Monthly Line Picks'!$A$1:$D$1458,4,FALSE),"0")</f>
        <v>367</v>
      </c>
      <c r="CY49" s="47">
        <f>IFERROR(VLOOKUP(CY51,'Monthly Line Picks'!$A$1:$D$1458,4,FALSE),"0")</f>
        <v>20</v>
      </c>
      <c r="CZ49" s="47" t="str">
        <f>IFERROR(VLOOKUP(CZ51,'Monthly Line Picks'!$A$1:$D$1458,4,FALSE),"0")</f>
        <v>0</v>
      </c>
      <c r="DA49" s="57">
        <f>IFERROR(VLOOKUP(DA51,'Monthly Line Picks'!$A$1:$D$1458,4,FALSE),"0")</f>
        <v>55</v>
      </c>
      <c r="DB49" s="56">
        <f>IFERROR(VLOOKUP(DB51,'Monthly Line Picks'!$A$1:$D$1458,4,FALSE),"0")</f>
        <v>92</v>
      </c>
      <c r="DC49" s="47" t="str">
        <f>IFERROR(VLOOKUP(DC51,'Monthly Line Picks'!$A$1:$D$1458,4,FALSE),"0")</f>
        <v>0</v>
      </c>
      <c r="DD49" s="47">
        <f>IFERROR(VLOOKUP(DD51,'Monthly Line Picks'!$A$1:$D$1458,4,FALSE),"0")</f>
        <v>8</v>
      </c>
      <c r="DE49" s="47">
        <f>IFERROR(VLOOKUP(DE51,'Monthly Line Picks'!$A$1:$D$1458,4,FALSE),"0")</f>
        <v>9</v>
      </c>
      <c r="DF49" s="47">
        <f>IFERROR(VLOOKUP(DF51,'Monthly Line Picks'!$A$1:$D$1458,4,FALSE),"0")</f>
        <v>17</v>
      </c>
      <c r="DG49" s="57">
        <f>IFERROR(VLOOKUP(DG51,'Monthly Line Picks'!$A$1:$D$1458,4,FALSE),"0")</f>
        <v>37</v>
      </c>
      <c r="DH49" s="56">
        <f>IFERROR(VLOOKUP(DH51,'Monthly Line Picks'!$A$1:$D$1458,4,FALSE),"0")</f>
        <v>54</v>
      </c>
      <c r="DI49" s="47">
        <f>IFERROR(VLOOKUP(DI51,'Monthly Line Picks'!$A$1:$D$1458,4,FALSE),"0")</f>
        <v>6</v>
      </c>
      <c r="DJ49" s="47">
        <f>IFERROR(VLOOKUP(DJ51,'Monthly Line Picks'!$A$1:$D$1458,4,FALSE),"0")</f>
        <v>24</v>
      </c>
      <c r="DK49" s="47">
        <f>IFERROR(VLOOKUP(DK51,'Monthly Line Picks'!$A$1:$D$1458,4,FALSE),"0")</f>
        <v>19</v>
      </c>
      <c r="DL49" s="47">
        <f>IFERROR(VLOOKUP(DL51,'Monthly Line Picks'!$A$1:$D$1458,4,FALSE),"0")</f>
        <v>20</v>
      </c>
      <c r="DM49" s="57" t="str">
        <f>IFERROR(VLOOKUP(DM51,'Monthly Line Picks'!$A$1:$D$1458,4,FALSE),"0")</f>
        <v>0</v>
      </c>
      <c r="DN49" s="56">
        <f>IFERROR(VLOOKUP(DN51,'Monthly Line Picks'!$A$1:$D$1458,4,FALSE),"0")</f>
        <v>5</v>
      </c>
      <c r="DO49" s="47" t="str">
        <f>IFERROR(VLOOKUP(DO51,'Monthly Line Picks'!$A$1:$D$1458,4,FALSE),"0")</f>
        <v>0</v>
      </c>
      <c r="DP49" s="47">
        <f>IFERROR(VLOOKUP(DP51,'Monthly Line Picks'!$A$1:$D$1458,4,FALSE),"0")</f>
        <v>251</v>
      </c>
      <c r="DQ49" s="47" t="str">
        <f>IFERROR(VLOOKUP(DQ51,'Monthly Line Picks'!$A$1:$D$1458,4,FALSE),"0")</f>
        <v>0</v>
      </c>
      <c r="DR49" s="47" t="str">
        <f>IFERROR(VLOOKUP(DR51,'Monthly Line Picks'!$A$1:$D$1458,4,FALSE),"0")</f>
        <v>0</v>
      </c>
      <c r="DS49" s="57">
        <f>IFERROR(VLOOKUP(DS51,'Monthly Line Picks'!$A$1:$D$1458,4,FALSE),"0")</f>
        <v>8</v>
      </c>
      <c r="DT49" s="199"/>
      <c r="DU49" s="199"/>
      <c r="DV49" s="199"/>
      <c r="DW49" s="239"/>
    </row>
    <row r="50" spans="6:127" ht="15.95" thickBot="1">
      <c r="F50" s="198"/>
      <c r="G50" s="199"/>
      <c r="H50" s="199"/>
      <c r="I50" s="239"/>
      <c r="J50" s="56" t="s">
        <v>2502</v>
      </c>
      <c r="K50" s="37">
        <f>IFERROR(VLOOKUP(J50,'Module Items'!$A$1:$B$2587,2,FALSE),"")</f>
        <v>33450</v>
      </c>
      <c r="L50" s="44">
        <f>IFERROR(VLOOKUP(J50,'Monthly Line Picks'!$A$1:$D$2000,4,FALSE),"0")</f>
        <v>5</v>
      </c>
      <c r="M50" s="47" t="s">
        <v>2503</v>
      </c>
      <c r="N50" s="37">
        <f>IFERROR(VLOOKUP(M50,'Module Items'!$A$1:$B$2587,2,FALSE),"")</f>
        <v>32064</v>
      </c>
      <c r="O50" s="44" t="str">
        <f>IFERROR(VLOOKUP(M50,'Monthly Line Picks'!$A$1:$D$2000,4,FALSE),"0")</f>
        <v>0</v>
      </c>
      <c r="P50" s="47" t="s">
        <v>2504</v>
      </c>
      <c r="Q50" s="37">
        <f>IFERROR(VLOOKUP(P50,'Module Items'!$A$1:$B$2587,2,FALSE),"")</f>
        <v>64024</v>
      </c>
      <c r="R50" s="44">
        <f>IFERROR(VLOOKUP(P50,'Monthly Line Picks'!$A$1:$D$2000,4,FALSE),"0")</f>
        <v>9</v>
      </c>
      <c r="S50" s="47" t="s">
        <v>2505</v>
      </c>
      <c r="T50" s="37">
        <f>IFERROR(VLOOKUP(S50,'Module Items'!$A$1:$B$2587,2,FALSE),"")</f>
        <v>101187</v>
      </c>
      <c r="U50" s="44">
        <f>IFERROR(VLOOKUP(S50,'Monthly Line Picks'!$A$1:$D$2000,4,FALSE),"0")</f>
        <v>140</v>
      </c>
      <c r="V50" s="47" t="s">
        <v>2506</v>
      </c>
      <c r="W50" s="37">
        <f>IFERROR(VLOOKUP(V50,'Module Items'!$A$1:$B$2587,2,FALSE),"")</f>
        <v>8328</v>
      </c>
      <c r="X50" s="44">
        <f>IFERROR(VLOOKUP(V50,'Monthly Line Picks'!$A$1:$D$2000,4,FALSE),"0")</f>
        <v>2</v>
      </c>
      <c r="Y50" s="57" t="s">
        <v>2507</v>
      </c>
      <c r="Z50" s="37">
        <f>IFERROR(VLOOKUP(Y50,'Module Items'!$A$1:$B$2587,2,FALSE),"")</f>
        <v>6250</v>
      </c>
      <c r="AA50" s="44" t="str">
        <f>IFERROR(VLOOKUP(Y50,'Monthly Line Picks'!$A$1:$D$2000,4,FALSE),"0")</f>
        <v>0</v>
      </c>
      <c r="AB50" s="37">
        <f>IFERROR(VLOOKUP(AB51,'Module Items'!$A$1:$B$2587,2,FALSE),"")</f>
        <v>83367</v>
      </c>
      <c r="AC50" s="13">
        <f>IFERROR(VLOOKUP(AC51,'Module Items'!$A$1:$B$2587,2,FALSE),"")</f>
        <v>107042</v>
      </c>
      <c r="AD50" s="13">
        <f>IFERROR(VLOOKUP(AD51,'Module Items'!$A$1:$B$2587,2,FALSE),"")</f>
        <v>126332</v>
      </c>
      <c r="AE50" s="13" t="str">
        <f>IFERROR(VLOOKUP(AE51,'Module Items'!$A$1:$B$2587,2,FALSE),"")</f>
        <v>OPEN</v>
      </c>
      <c r="AF50" s="13" t="str">
        <f>IFERROR(VLOOKUP(AF51,'Module Items'!$A$1:$B$2587,2,FALSE),"")</f>
        <v/>
      </c>
      <c r="AG50" s="108">
        <f>IFERROR(VLOOKUP(AG51,'Module Items'!$A$1:$B$2587,2,FALSE),"")</f>
        <v>1413</v>
      </c>
      <c r="AH50" s="37">
        <f>IFERROR(VLOOKUP(AH51,'Module Items'!$A$1:$B$2587,2,FALSE),"")</f>
        <v>111865</v>
      </c>
      <c r="AI50" s="13">
        <f>IFERROR(VLOOKUP(AI51,'Module Items'!$A$1:$B$2587,2,FALSE),"")</f>
        <v>2160</v>
      </c>
      <c r="AJ50" s="13">
        <f>IFERROR(VLOOKUP(AJ51,'Module Items'!$A$1:$B$2587,2,FALSE),"")</f>
        <v>73228</v>
      </c>
      <c r="AK50" s="13" t="str">
        <f>IFERROR(VLOOKUP(AK51,'Module Items'!$A$1:$B$2587,2,FALSE),"")</f>
        <v>OPEN</v>
      </c>
      <c r="AL50" s="13">
        <f>IFERROR(VLOOKUP(AL51,'Module Items'!$A$1:$B$2587,2,FALSE),"")</f>
        <v>104554</v>
      </c>
      <c r="AM50" s="108">
        <f>IFERROR(VLOOKUP(AM51,'Module Items'!$A$1:$B$2587,2,FALSE),"")</f>
        <v>110678</v>
      </c>
      <c r="AN50" s="37">
        <f>IFERROR(VLOOKUP(AN51,'Module Items'!$A$1:$B$2587,2,FALSE),"")</f>
        <v>8780</v>
      </c>
      <c r="AO50" s="13">
        <f>IFERROR(VLOOKUP(AO51,'Module Items'!$A$1:$B$2587,2,FALSE),"")</f>
        <v>137719</v>
      </c>
      <c r="AP50" s="13">
        <f>IFERROR(VLOOKUP(AP51,'Module Items'!$A$1:$B$2587,2,FALSE),"")</f>
        <v>130583</v>
      </c>
      <c r="AQ50" s="13">
        <f>IFERROR(VLOOKUP(AQ51,'Module Items'!$A$1:$B$2587,2,FALSE),"")</f>
        <v>47</v>
      </c>
      <c r="AR50" s="13">
        <f>IFERROR(VLOOKUP(AR51,'Module Items'!$A$1:$B$2587,2,FALSE),"")</f>
        <v>49659</v>
      </c>
      <c r="AS50" s="108">
        <f>IFERROR(VLOOKUP(AS51,'Module Items'!$A$1:$B$2587,2,FALSE),"")</f>
        <v>103115</v>
      </c>
      <c r="AT50" s="37">
        <f>IFERROR(VLOOKUP(AT51,'Module Items'!$A$1:$B$2587,2,FALSE),"")</f>
        <v>113472</v>
      </c>
      <c r="AU50" s="13">
        <f>IFERROR(VLOOKUP(AU51,'Module Items'!$A$1:$B$2587,2,FALSE),"")</f>
        <v>131401</v>
      </c>
      <c r="AV50" s="13">
        <f>IFERROR(VLOOKUP(AV51,'Module Items'!$A$1:$B$2587,2,FALSE),"")</f>
        <v>125446</v>
      </c>
      <c r="AW50" s="13">
        <f>IFERROR(VLOOKUP(AW51,'Module Items'!$A$1:$B$2587,2,FALSE),"")</f>
        <v>126041</v>
      </c>
      <c r="AX50" s="13">
        <f>IFERROR(VLOOKUP(AX51,'Module Items'!$A$1:$B$2587,2,FALSE),"")</f>
        <v>110676</v>
      </c>
      <c r="AY50" s="11">
        <f>IFERROR(VLOOKUP(AY51,'Module Items'!$A$1:$B$2587,2,FALSE),"")</f>
        <v>125445</v>
      </c>
      <c r="AZ50" s="37">
        <f>IFERROR(VLOOKUP(AZ51,'Module Items'!$A$1:$B$2587,2,FALSE),"")</f>
        <v>173346</v>
      </c>
      <c r="BA50" s="13">
        <f>IFERROR(VLOOKUP(BA51,'Module Items'!$A$1:$B$2587,2,FALSE),"")</f>
        <v>127470</v>
      </c>
      <c r="BB50" s="13">
        <f>IFERROR(VLOOKUP(BB51,'Module Items'!$A$1:$B$2587,2,FALSE),"")</f>
        <v>78462</v>
      </c>
      <c r="BC50" s="13">
        <f>IFERROR(VLOOKUP(BC51,'Module Items'!$A$1:$B$2587,2,FALSE),"")</f>
        <v>107057</v>
      </c>
      <c r="BD50" s="13">
        <f>IFERROR(VLOOKUP(BD51,'Module Items'!$A$1:$B$2587,2,FALSE),"")</f>
        <v>111375</v>
      </c>
      <c r="BE50" s="108">
        <f>IFERROR(VLOOKUP(BE51,'Module Items'!$A$1:$B$2587,2,FALSE),"")</f>
        <v>9386</v>
      </c>
      <c r="BF50" s="37">
        <f>IFERROR(VLOOKUP(BF51,'Module Items'!$A$1:$B$2587,2,FALSE),"")</f>
        <v>132698</v>
      </c>
      <c r="BG50" s="13" t="str">
        <f>IFERROR(VLOOKUP(BG51,'Module Items'!$A$1:$B$2587,2,FALSE),"")</f>
        <v>OPEN</v>
      </c>
      <c r="BH50" s="13" t="str">
        <f>IFERROR(VLOOKUP(BH51,'Module Items'!$A$1:$B$2587,2,FALSE),"")</f>
        <v>OPEN</v>
      </c>
      <c r="BI50" s="13" t="str">
        <f>IFERROR(VLOOKUP(BI51,'Module Items'!$A$1:$B$2587,2,FALSE),"")</f>
        <v>OPEN</v>
      </c>
      <c r="BJ50" s="13">
        <f>IFERROR(VLOOKUP(BJ51,'Module Items'!$A$1:$B$2587,2,FALSE),"")</f>
        <v>101324</v>
      </c>
      <c r="BK50" s="108">
        <f>IFERROR(VLOOKUP(BK51,'Module Items'!$A$1:$B$2587,2,FALSE),"")</f>
        <v>3731</v>
      </c>
      <c r="BL50" s="15" t="s">
        <v>2508</v>
      </c>
      <c r="BM50" s="37">
        <f>IFERROR(VLOOKUP(BL50,'Module Items'!$A$1:$B$2587,2,FALSE),"")</f>
        <v>105333</v>
      </c>
      <c r="BN50" s="44" t="str">
        <f>IFERROR(VLOOKUP(BL50,'Monthly Line Picks'!$A$1:$D$2000,4,FALSE),"0")</f>
        <v>0</v>
      </c>
      <c r="BO50" s="47" t="s">
        <v>2509</v>
      </c>
      <c r="BP50" s="37">
        <f>IFERROR(VLOOKUP(BO50,'Module Items'!$A$1:$B$2587,2,FALSE),"")</f>
        <v>37687</v>
      </c>
      <c r="BQ50" s="44">
        <f>IFERROR(VLOOKUP(BO50,'Monthly Line Picks'!$A$1:$D$2000,4,FALSE),"0")</f>
        <v>4</v>
      </c>
      <c r="BR50" s="47" t="s">
        <v>2510</v>
      </c>
      <c r="BS50" s="37">
        <f>IFERROR(VLOOKUP(BR50,'Module Items'!$A$1:$B$2587,2,FALSE),"")</f>
        <v>1664</v>
      </c>
      <c r="BT50" s="44" t="str">
        <f>IFERROR(VLOOKUP(BR50,'Monthly Line Picks'!$A$1:$D$2000,4,FALSE),"0")</f>
        <v>0</v>
      </c>
      <c r="BU50" s="47" t="s">
        <v>2511</v>
      </c>
      <c r="BV50" s="37">
        <f>IFERROR(VLOOKUP(BU50,'Module Items'!$A$1:$B$2587,2,FALSE),"")</f>
        <v>101119</v>
      </c>
      <c r="BW50" s="44">
        <f>IFERROR(VLOOKUP(BU50,'Monthly Line Picks'!$A$1:$D$2000,4,FALSE),"0")</f>
        <v>2</v>
      </c>
      <c r="BX50" s="47" t="s">
        <v>2512</v>
      </c>
      <c r="BY50" s="37">
        <f>IFERROR(VLOOKUP(BX50,'Module Items'!$A$1:$B$2587,2,FALSE),"")</f>
        <v>33312</v>
      </c>
      <c r="BZ50" s="44" t="str">
        <f>IFERROR(VLOOKUP(BX50,'Monthly Line Picks'!$A$1:$D$2000,4,FALSE),"0")</f>
        <v>0</v>
      </c>
      <c r="CA50" s="47" t="s">
        <v>2513</v>
      </c>
      <c r="CB50" s="37">
        <f>IFERROR(VLOOKUP(CA50,'Module Items'!$A$1:$B$2587,2,FALSE),"")</f>
        <v>5499</v>
      </c>
      <c r="CC50" s="44">
        <f>IFERROR(VLOOKUP(CA50,'Monthly Line Picks'!$A$1:$D$2000,4,FALSE),"0")</f>
        <v>3</v>
      </c>
      <c r="CD50" s="275"/>
      <c r="CE50" s="276"/>
      <c r="CF50" s="276"/>
      <c r="CG50" s="37">
        <f>IFERROR(VLOOKUP(CG51,'Module Items'!$A$1:$B$2587,2,FALSE),"")</f>
        <v>100185</v>
      </c>
      <c r="CH50" s="13">
        <f>IFERROR(VLOOKUP(CH51,'Module Items'!$A$1:$B$2587,2,FALSE),"")</f>
        <v>22722</v>
      </c>
      <c r="CI50" s="108" t="str">
        <f>IFERROR(VLOOKUP(CI51,'Module Items'!$A$1:$B$2587,2,FALSE),"")</f>
        <v/>
      </c>
      <c r="CJ50" s="37">
        <f>IFERROR(VLOOKUP(CJ51,'Module Items'!$A$1:$B$2587,2,FALSE),"")</f>
        <v>14103</v>
      </c>
      <c r="CK50" s="13" t="str">
        <f>IFERROR(VLOOKUP(CK51,'Module Items'!$A$1:$B$2587,2,FALSE),"")</f>
        <v/>
      </c>
      <c r="CL50" s="13" t="str">
        <f>IFERROR(VLOOKUP(CL51,'Module Items'!$A$1:$B$2587,2,FALSE),"")</f>
        <v/>
      </c>
      <c r="CM50" s="13">
        <f>IFERROR(VLOOKUP(CM51,'Module Items'!$A$1:$B$2587,2,FALSE),"")</f>
        <v>14111</v>
      </c>
      <c r="CN50" s="13" t="str">
        <f>IFERROR(VLOOKUP(CN51,'Module Items'!$A$1:$B$2587,2,FALSE),"")</f>
        <v/>
      </c>
      <c r="CO50" s="108">
        <f>IFERROR(VLOOKUP(CO51,'Module Items'!$A$1:$B$2587,2,FALSE),"")</f>
        <v>157609</v>
      </c>
      <c r="CP50" s="37">
        <f>IFERROR(VLOOKUP(CP51,'Module Items'!$A$1:$B$2587,2,FALSE),"")</f>
        <v>39717</v>
      </c>
      <c r="CQ50" s="13">
        <f>IFERROR(VLOOKUP(CQ51,'Module Items'!$A$1:$B$2587,2,FALSE),"")</f>
        <v>178499</v>
      </c>
      <c r="CR50" s="13">
        <f>IFERROR(VLOOKUP(CR51,'Module Items'!$A$1:$B$2587,2,FALSE),"")</f>
        <v>199</v>
      </c>
      <c r="CS50" s="13">
        <f>IFERROR(VLOOKUP(CS51,'Module Items'!$A$1:$B$2587,2,FALSE),"")</f>
        <v>125900</v>
      </c>
      <c r="CT50" s="13" t="str">
        <f>IFERROR(VLOOKUP(CT51,'Module Items'!$A$1:$B$2587,2,FALSE),"")</f>
        <v/>
      </c>
      <c r="CU50" s="108" t="str">
        <f>IFERROR(VLOOKUP(CU51,'Module Items'!$A$1:$B$2587,2,FALSE),"")</f>
        <v/>
      </c>
      <c r="CV50" s="37">
        <f>IFERROR(VLOOKUP(CV51,'Module Items'!$A$1:$B$2587,2,FALSE),"")</f>
        <v>31450</v>
      </c>
      <c r="CW50" s="13" t="str">
        <f>IFERROR(VLOOKUP(CW51,'Module Items'!$A$1:$B$2587,2,FALSE),"")</f>
        <v/>
      </c>
      <c r="CX50" s="13">
        <f>IFERROR(VLOOKUP(CX51,'Module Items'!$A$1:$B$2587,2,FALSE),"")</f>
        <v>101321</v>
      </c>
      <c r="CY50" s="13">
        <f>IFERROR(VLOOKUP(CY51,'Module Items'!$A$1:$B$2587,2,FALSE),"")</f>
        <v>138844</v>
      </c>
      <c r="CZ50" s="13" t="str">
        <f>IFERROR(VLOOKUP(CZ51,'Module Items'!$A$1:$B$2587,2,FALSE),"")</f>
        <v/>
      </c>
      <c r="DA50" s="108">
        <f>IFERROR(VLOOKUP(DA51,'Module Items'!$A$1:$B$2587,2,FALSE),"")</f>
        <v>118318</v>
      </c>
      <c r="DB50" s="37">
        <f>IFERROR(VLOOKUP(DB51,'Module Items'!$A$1:$B$2587,2,FALSE),"")</f>
        <v>77267</v>
      </c>
      <c r="DC50" s="13">
        <f>IFERROR(VLOOKUP(DC51,'Module Items'!$A$1:$B$2587,2,FALSE),"")</f>
        <v>763</v>
      </c>
      <c r="DD50" s="13">
        <f>IFERROR(VLOOKUP(DD51,'Module Items'!$A$1:$B$2587,2,FALSE),"")</f>
        <v>626</v>
      </c>
      <c r="DE50" s="13">
        <f>IFERROR(VLOOKUP(DE51,'Module Items'!$A$1:$B$2587,2,FALSE),"")</f>
        <v>80419</v>
      </c>
      <c r="DF50" s="13">
        <f>IFERROR(VLOOKUP(DF51,'Module Items'!$A$1:$B$2587,2,FALSE),"")</f>
        <v>31459</v>
      </c>
      <c r="DG50" s="108">
        <f>IFERROR(VLOOKUP(DG51,'Module Items'!$A$1:$B$2587,2,FALSE),"")</f>
        <v>113995</v>
      </c>
      <c r="DH50" s="37">
        <f>IFERROR(VLOOKUP(DH51,'Module Items'!$A$1:$B$2587,2,FALSE),"")</f>
        <v>264</v>
      </c>
      <c r="DI50" s="13">
        <f>IFERROR(VLOOKUP(DI51,'Module Items'!$A$1:$B$2587,2,FALSE),"")</f>
        <v>138945</v>
      </c>
      <c r="DJ50" s="13">
        <f>IFERROR(VLOOKUP(DJ51,'Module Items'!$A$1:$B$2587,2,FALSE),"")</f>
        <v>258</v>
      </c>
      <c r="DK50" s="13">
        <f>IFERROR(VLOOKUP(DK51,'Module Items'!$A$1:$B$2587,2,FALSE),"")</f>
        <v>105512</v>
      </c>
      <c r="DL50" s="13">
        <f>IFERROR(VLOOKUP(DL51,'Module Items'!$A$1:$B$2587,2,FALSE),"")</f>
        <v>7326</v>
      </c>
      <c r="DM50" s="108">
        <f>IFERROR(VLOOKUP(DM51,'Module Items'!$A$1:$B$2587,2,FALSE),"")</f>
        <v>1372</v>
      </c>
      <c r="DN50" s="37">
        <f>IFERROR(VLOOKUP(DN51,'Module Items'!$A$1:$B$2587,2,FALSE),"")</f>
        <v>11671</v>
      </c>
      <c r="DO50" s="13">
        <f>IFERROR(VLOOKUP(DO51,'Module Items'!$A$1:$B$2587,2,FALSE),"")</f>
        <v>110810</v>
      </c>
      <c r="DP50" s="13">
        <f>IFERROR(VLOOKUP(DP51,'Module Items'!$A$1:$B$2587,2,FALSE),"")</f>
        <v>103226</v>
      </c>
      <c r="DQ50" s="13">
        <f>IFERROR(VLOOKUP(DQ51,'Module Items'!$A$1:$B$2587,2,FALSE),"")</f>
        <v>132597</v>
      </c>
      <c r="DR50" s="13" t="str">
        <f>IFERROR(VLOOKUP(DR51,'Module Items'!$A$1:$B$2587,2,FALSE),"")</f>
        <v/>
      </c>
      <c r="DS50" s="108">
        <f>IFERROR(VLOOKUP(DS51,'Module Items'!$A$1:$B$2587,2,FALSE),"")</f>
        <v>97208</v>
      </c>
      <c r="DT50" s="199"/>
      <c r="DU50" s="199"/>
      <c r="DV50" s="199"/>
      <c r="DW50" s="239"/>
    </row>
    <row r="51" spans="6:127" ht="15.95" thickBot="1">
      <c r="F51" s="200"/>
      <c r="G51" s="201"/>
      <c r="H51" s="201"/>
      <c r="I51" s="240"/>
      <c r="J51" s="58" t="s">
        <v>2514</v>
      </c>
      <c r="K51" s="37">
        <f>IFERROR(VLOOKUP(J51,'Module Items'!$A$1:$B$2587,2,FALSE),"")</f>
        <v>112423</v>
      </c>
      <c r="L51" s="44">
        <f>IFERROR(VLOOKUP(J51,'Monthly Line Picks'!$A$1:$D$2000,4,FALSE),"0")</f>
        <v>11</v>
      </c>
      <c r="M51" s="50" t="s">
        <v>2515</v>
      </c>
      <c r="N51" s="37">
        <f>IFERROR(VLOOKUP(M51,'Module Items'!$A$1:$B$2587,2,FALSE),"")</f>
        <v>9696</v>
      </c>
      <c r="O51" s="44" t="str">
        <f>IFERROR(VLOOKUP(M51,'Monthly Line Picks'!$A$1:$D$2000,4,FALSE),"0")</f>
        <v>0</v>
      </c>
      <c r="P51" s="50" t="s">
        <v>2516</v>
      </c>
      <c r="Q51" s="37">
        <f>IFERROR(VLOOKUP(P51,'Module Items'!$A$1:$B$2587,2,FALSE),"")</f>
        <v>96225</v>
      </c>
      <c r="R51" s="44" t="str">
        <f>IFERROR(VLOOKUP(P51,'Monthly Line Picks'!$A$1:$D$2000,4,FALSE),"0")</f>
        <v>0</v>
      </c>
      <c r="S51" s="50" t="s">
        <v>2517</v>
      </c>
      <c r="T51" s="37">
        <f>IFERROR(VLOOKUP(S51,'Module Items'!$A$1:$B$2587,2,FALSE),"")</f>
        <v>178216</v>
      </c>
      <c r="U51" s="44" t="str">
        <f>IFERROR(VLOOKUP(S51,'Monthly Line Picks'!$A$1:$D$2000,4,FALSE),"0")</f>
        <v>0</v>
      </c>
      <c r="V51" s="50" t="s">
        <v>2518</v>
      </c>
      <c r="W51" s="37">
        <f>IFERROR(VLOOKUP(V51,'Module Items'!$A$1:$B$2587,2,FALSE),"")</f>
        <v>105327</v>
      </c>
      <c r="X51" s="44">
        <f>IFERROR(VLOOKUP(V51,'Monthly Line Picks'!$A$1:$D$2000,4,FALSE),"0")</f>
        <v>8</v>
      </c>
      <c r="Y51" s="59" t="s">
        <v>2519</v>
      </c>
      <c r="Z51" s="37">
        <f>IFERROR(VLOOKUP(Y51,'Module Items'!$A$1:$B$2587,2,FALSE),"")</f>
        <v>36854</v>
      </c>
      <c r="AA51" s="44" t="str">
        <f>IFERROR(VLOOKUP(Y51,'Monthly Line Picks'!$A$1:$D$2000,4,FALSE),"0")</f>
        <v>0</v>
      </c>
      <c r="AB51" s="38" t="s">
        <v>2520</v>
      </c>
      <c r="AC51" s="32" t="s">
        <v>2521</v>
      </c>
      <c r="AD51" s="32" t="s">
        <v>2522</v>
      </c>
      <c r="AE51" s="32" t="s">
        <v>2523</v>
      </c>
      <c r="AF51" s="32" t="s">
        <v>2524</v>
      </c>
      <c r="AG51" s="33" t="s">
        <v>2525</v>
      </c>
      <c r="AH51" s="38" t="s">
        <v>2526</v>
      </c>
      <c r="AI51" s="32" t="s">
        <v>2527</v>
      </c>
      <c r="AJ51" s="32" t="s">
        <v>2528</v>
      </c>
      <c r="AK51" s="32" t="s">
        <v>2529</v>
      </c>
      <c r="AL51" s="32" t="s">
        <v>2530</v>
      </c>
      <c r="AM51" s="33" t="s">
        <v>2531</v>
      </c>
      <c r="AN51" s="38" t="s">
        <v>2532</v>
      </c>
      <c r="AO51" s="32" t="s">
        <v>2533</v>
      </c>
      <c r="AP51" s="32" t="s">
        <v>2534</v>
      </c>
      <c r="AQ51" s="32" t="s">
        <v>2535</v>
      </c>
      <c r="AR51" s="32" t="s">
        <v>2536</v>
      </c>
      <c r="AS51" s="33" t="s">
        <v>2537</v>
      </c>
      <c r="AT51" s="38" t="s">
        <v>2538</v>
      </c>
      <c r="AU51" s="32" t="s">
        <v>2539</v>
      </c>
      <c r="AV51" s="32" t="s">
        <v>2540</v>
      </c>
      <c r="AW51" s="32" t="s">
        <v>2541</v>
      </c>
      <c r="AX51" s="32" t="s">
        <v>2542</v>
      </c>
      <c r="AY51" s="35" t="s">
        <v>2543</v>
      </c>
      <c r="AZ51" s="38" t="s">
        <v>2544</v>
      </c>
      <c r="BA51" s="32" t="s">
        <v>2545</v>
      </c>
      <c r="BB51" s="32" t="s">
        <v>2546</v>
      </c>
      <c r="BC51" s="32" t="s">
        <v>2547</v>
      </c>
      <c r="BD51" s="32" t="s">
        <v>2548</v>
      </c>
      <c r="BE51" s="33" t="s">
        <v>2549</v>
      </c>
      <c r="BF51" s="38" t="s">
        <v>2550</v>
      </c>
      <c r="BG51" s="32" t="s">
        <v>2551</v>
      </c>
      <c r="BH51" s="32" t="s">
        <v>2552</v>
      </c>
      <c r="BI51" s="32" t="s">
        <v>2553</v>
      </c>
      <c r="BJ51" s="32" t="s">
        <v>2554</v>
      </c>
      <c r="BK51" s="33" t="s">
        <v>2555</v>
      </c>
      <c r="BL51" s="15" t="s">
        <v>2556</v>
      </c>
      <c r="BM51" s="37">
        <f>IFERROR(VLOOKUP(BL51,'Module Items'!$A$1:$B$2587,2,FALSE),"")</f>
        <v>60063</v>
      </c>
      <c r="BN51" s="44">
        <f>IFERROR(VLOOKUP(BL51,'Monthly Line Picks'!$A$1:$D$2000,4,FALSE),"0")</f>
        <v>4</v>
      </c>
      <c r="BO51" s="47" t="s">
        <v>2557</v>
      </c>
      <c r="BP51" s="37">
        <f>IFERROR(VLOOKUP(BO51,'Module Items'!$A$1:$B$2587,2,FALSE),"")</f>
        <v>117145</v>
      </c>
      <c r="BQ51" s="44" t="str">
        <f>IFERROR(VLOOKUP(BO51,'Monthly Line Picks'!$A$1:$D$2000,4,FALSE),"0")</f>
        <v>0</v>
      </c>
      <c r="BR51" s="47" t="s">
        <v>2558</v>
      </c>
      <c r="BS51" s="37">
        <f>IFERROR(VLOOKUP(BR51,'Module Items'!$A$1:$B$2587,2,FALSE),"")</f>
        <v>109260</v>
      </c>
      <c r="BT51" s="44" t="str">
        <f>IFERROR(VLOOKUP(BR51,'Monthly Line Picks'!$A$1:$D$2000,4,FALSE),"0")</f>
        <v>0</v>
      </c>
      <c r="BU51" s="47" t="s">
        <v>2559</v>
      </c>
      <c r="BV51" s="37">
        <f>IFERROR(VLOOKUP(BU51,'Module Items'!$A$1:$B$2587,2,FALSE),"")</f>
        <v>60082</v>
      </c>
      <c r="BW51" s="44">
        <f>IFERROR(VLOOKUP(BU51,'Monthly Line Picks'!$A$1:$D$2000,4,FALSE),"0")</f>
        <v>4</v>
      </c>
      <c r="BX51" s="47" t="s">
        <v>2560</v>
      </c>
      <c r="BY51" s="37">
        <f>IFERROR(VLOOKUP(BX51,'Module Items'!$A$1:$B$2587,2,FALSE),"")</f>
        <v>7897</v>
      </c>
      <c r="BZ51" s="44">
        <f>IFERROR(VLOOKUP(BX51,'Monthly Line Picks'!$A$1:$D$2000,4,FALSE),"0")</f>
        <v>2</v>
      </c>
      <c r="CA51" s="47" t="s">
        <v>2561</v>
      </c>
      <c r="CB51" s="37">
        <f>IFERROR(VLOOKUP(CA51,'Module Items'!$A$1:$B$2587,2,FALSE),"")</f>
        <v>135400</v>
      </c>
      <c r="CC51" s="44">
        <f>IFERROR(VLOOKUP(CA51,'Monthly Line Picks'!$A$1:$D$2000,4,FALSE),"0")</f>
        <v>15</v>
      </c>
      <c r="CD51" s="277"/>
      <c r="CE51" s="278"/>
      <c r="CF51" s="278"/>
      <c r="CG51" s="38" t="s">
        <v>2562</v>
      </c>
      <c r="CH51" s="32" t="s">
        <v>2563</v>
      </c>
      <c r="CI51" s="33" t="s">
        <v>2564</v>
      </c>
      <c r="CJ51" s="38" t="s">
        <v>2565</v>
      </c>
      <c r="CK51" s="32" t="s">
        <v>2566</v>
      </c>
      <c r="CL51" s="32" t="s">
        <v>2567</v>
      </c>
      <c r="CM51" s="32" t="s">
        <v>2568</v>
      </c>
      <c r="CN51" s="32" t="s">
        <v>2569</v>
      </c>
      <c r="CO51" s="33" t="s">
        <v>2570</v>
      </c>
      <c r="CP51" s="38" t="s">
        <v>2571</v>
      </c>
      <c r="CQ51" s="32" t="s">
        <v>2572</v>
      </c>
      <c r="CR51" s="32" t="s">
        <v>2573</v>
      </c>
      <c r="CS51" s="32" t="s">
        <v>2574</v>
      </c>
      <c r="CT51" s="32" t="s">
        <v>2575</v>
      </c>
      <c r="CU51" s="33" t="s">
        <v>2576</v>
      </c>
      <c r="CV51" s="38" t="s">
        <v>2577</v>
      </c>
      <c r="CW51" s="32" t="s">
        <v>2578</v>
      </c>
      <c r="CX51" s="32" t="s">
        <v>2579</v>
      </c>
      <c r="CY51" s="32" t="s">
        <v>2580</v>
      </c>
      <c r="CZ51" s="32" t="s">
        <v>2581</v>
      </c>
      <c r="DA51" s="33" t="s">
        <v>2582</v>
      </c>
      <c r="DB51" s="38" t="s">
        <v>2583</v>
      </c>
      <c r="DC51" s="32" t="s">
        <v>2584</v>
      </c>
      <c r="DD51" s="32" t="s">
        <v>2585</v>
      </c>
      <c r="DE51" s="32" t="s">
        <v>2586</v>
      </c>
      <c r="DF51" s="32" t="s">
        <v>2587</v>
      </c>
      <c r="DG51" s="33" t="s">
        <v>2588</v>
      </c>
      <c r="DH51" s="38" t="s">
        <v>2589</v>
      </c>
      <c r="DI51" s="32" t="s">
        <v>2590</v>
      </c>
      <c r="DJ51" s="32" t="s">
        <v>2591</v>
      </c>
      <c r="DK51" s="32" t="s">
        <v>2592</v>
      </c>
      <c r="DL51" s="32" t="s">
        <v>2593</v>
      </c>
      <c r="DM51" s="33" t="s">
        <v>2594</v>
      </c>
      <c r="DN51" s="38" t="s">
        <v>2595</v>
      </c>
      <c r="DO51" s="32" t="s">
        <v>2596</v>
      </c>
      <c r="DP51" s="32" t="s">
        <v>2597</v>
      </c>
      <c r="DQ51" s="32" t="s">
        <v>2598</v>
      </c>
      <c r="DR51" s="32" t="s">
        <v>2599</v>
      </c>
      <c r="DS51" s="33" t="s">
        <v>2600</v>
      </c>
      <c r="DT51" s="201"/>
      <c r="DU51" s="201"/>
      <c r="DV51" s="201"/>
      <c r="DW51" s="240"/>
    </row>
    <row r="52" spans="6:127" ht="15.95" thickTop="1"/>
    <row r="54" spans="6:127">
      <c r="K54" s="40"/>
    </row>
    <row r="55" spans="6:127">
      <c r="J55" s="197" t="s">
        <v>1307</v>
      </c>
      <c r="K55" s="197"/>
      <c r="L55" s="197"/>
      <c r="M55" s="197"/>
    </row>
    <row r="56" spans="6:127">
      <c r="K56" s="110" t="s">
        <v>1308</v>
      </c>
      <c r="L56" s="110" t="s">
        <v>1309</v>
      </c>
    </row>
    <row r="57" spans="6:127">
      <c r="J57" s="109" t="s">
        <v>1310</v>
      </c>
      <c r="K57" s="23">
        <f>SUM(J6:S6)+SUM(J9:S9)+SUM(J12:S12)+SUM(U6:AY6)+SUM(U9:AY9)+SUM(U12:AY12)</f>
        <v>4998</v>
      </c>
      <c r="L57" s="60">
        <f>ROUNDUP(K57/21,0)</f>
        <v>238</v>
      </c>
      <c r="M57" s="60"/>
    </row>
    <row r="58" spans="6:127">
      <c r="J58" s="109" t="s">
        <v>1311</v>
      </c>
      <c r="K58" s="23">
        <f>SUM(J16:AY16)+SUM(J19:AY19)+SUM(J22:AY22)</f>
        <v>1079</v>
      </c>
      <c r="L58" s="60">
        <f t="shared" ref="L58:L64" si="0">ROUNDUP(K58/21,0)</f>
        <v>52</v>
      </c>
      <c r="M58" s="60"/>
    </row>
    <row r="59" spans="6:127">
      <c r="J59" s="109" t="s">
        <v>1312</v>
      </c>
      <c r="K59" s="23">
        <f>SUM(BB4:BB12)+SUM(BE4:BE12)+SUM(BH4:BH10)+SUM(BK4:BK12)+SUM(BN4:BN12)+SUM(BQ4:BQ12)+SUM(BX6:DA6)+SUM(BX9:DA9)+SUM(BX12:DA12)+SUM(DD4:DD12)+SUM(DG4:DG12)+SUM(DJ4:DJ10)+SUM(DM4:DM10)+SUM(DP4:DP12)+SUM(DS4:DS12)</f>
        <v>2086</v>
      </c>
      <c r="L59" s="60">
        <f t="shared" si="0"/>
        <v>100</v>
      </c>
      <c r="M59" s="60"/>
    </row>
    <row r="60" spans="6:127">
      <c r="J60" s="109" t="s">
        <v>1313</v>
      </c>
      <c r="K60" s="23">
        <f>SUM(BB16:BB24)+SUM(BE16:BE24)+SUM(BH18:BH24)+SUM(BK16:BK24)+SUM(BN16:BN24)+SUM(BQ16:BQ24)+SUM(BU16:DA16)+SUM(BU19:DA19)+SUM(BU22:DA22)+SUM(DD16:DD24)+SUM(DG16:DG24)+SUM(DJ18:DJ24)+SUM(DM18:DM24)+SUM(DP16:DP24)+SUM(DS16:DS24)</f>
        <v>4055</v>
      </c>
      <c r="L60" s="60">
        <f t="shared" si="0"/>
        <v>194</v>
      </c>
      <c r="M60" s="60"/>
    </row>
    <row r="61" spans="6:127">
      <c r="J61" s="109" t="s">
        <v>1314</v>
      </c>
      <c r="K61" s="23">
        <f>SUM(BN31:BN39)+SUM(BQ31:BQ39)+SUM(BT31:BT37)+SUM(BW31:BW37)+SUM(BZ31:BZ39)+SUM(CC31:CC39)+SUM(CG33:DQ33)+SUM(CG36:DQ36)+SUM(CG39:DQ39)+SUM(DS33)+SUM(DS36)+SUM(DS39)</f>
        <v>6193</v>
      </c>
      <c r="L61" s="60">
        <f t="shared" si="0"/>
        <v>295</v>
      </c>
      <c r="M61" s="60"/>
    </row>
    <row r="62" spans="6:127">
      <c r="J62" s="109" t="s">
        <v>1315</v>
      </c>
      <c r="K62" s="23">
        <f>SUM(BN43:BN51)+SUM(BQ43:BQ51)+SUM(BT45:BT51)+SUM(BW45:BW51)+SUM(BZ43:BZ51)+SUM(CC43:CC51)+SUM(CG43:DS43)+SUM(CG46:DS46)+SUM(CG49:DS49)</f>
        <v>7651</v>
      </c>
      <c r="L62" s="60">
        <f t="shared" si="0"/>
        <v>365</v>
      </c>
      <c r="M62" s="60"/>
    </row>
    <row r="63" spans="6:127">
      <c r="J63" s="109" t="s">
        <v>1316</v>
      </c>
      <c r="K63" s="23">
        <f>SUM(L31:L39)+SUM(O31:O39)+SUM(R31:R37)+SUM(U31:U37)+SUM(X31:X39)+SUM(AA31:AA39)+SUM(AB33:AE33)+SUM(AB36:AE36)+SUM(AB39:AE39)+SUM(AG33:BK33)+SUM(AG36:BK36)+SUM(AG39:BK39)</f>
        <v>6728</v>
      </c>
      <c r="L63" s="60">
        <f t="shared" si="0"/>
        <v>321</v>
      </c>
      <c r="M63" s="60"/>
    </row>
    <row r="64" spans="6:127">
      <c r="J64" s="109" t="s">
        <v>1317</v>
      </c>
      <c r="K64" s="23">
        <f>SUM(L43:L51)+SUM(O43:O51)+SUM(R45:R51)+SUM(U45:U51)+SUM(X43:X51)+SUM(AA43:AA51)+SUM(AB43:BK43)+SUM(AB46:BK46)+SUM(AB49:BK49)</f>
        <v>7415</v>
      </c>
      <c r="L64" s="60">
        <f t="shared" si="0"/>
        <v>354</v>
      </c>
      <c r="M64" s="60"/>
    </row>
    <row r="66" spans="11:12">
      <c r="K66">
        <f>SUM(K57:K64)</f>
        <v>40205</v>
      </c>
      <c r="L66">
        <f>SUM(L57:L64)</f>
        <v>1919</v>
      </c>
    </row>
  </sheetData>
  <mergeCells count="78">
    <mergeCell ref="F48:I51"/>
    <mergeCell ref="DT48:DW51"/>
    <mergeCell ref="DT45:DU45"/>
    <mergeCell ref="DV45:DW45"/>
    <mergeCell ref="F46:G46"/>
    <mergeCell ref="H46:I46"/>
    <mergeCell ref="DT46:DU46"/>
    <mergeCell ref="DV46:DW46"/>
    <mergeCell ref="F47:G47"/>
    <mergeCell ref="H47:I47"/>
    <mergeCell ref="DT47:DU47"/>
    <mergeCell ref="DV47:DW47"/>
    <mergeCell ref="F45:G45"/>
    <mergeCell ref="H45:I45"/>
    <mergeCell ref="CD43:CF51"/>
    <mergeCell ref="DT43:DU43"/>
    <mergeCell ref="DV43:DW43"/>
    <mergeCell ref="F44:G44"/>
    <mergeCell ref="H44:I44"/>
    <mergeCell ref="DT44:DU44"/>
    <mergeCell ref="DV44:DW44"/>
    <mergeCell ref="F43:G43"/>
    <mergeCell ref="H43:I43"/>
    <mergeCell ref="P43:U44"/>
    <mergeCell ref="BR43:BW44"/>
    <mergeCell ref="BV1:CM2"/>
    <mergeCell ref="F17:G17"/>
    <mergeCell ref="H17:I17"/>
    <mergeCell ref="F16:G16"/>
    <mergeCell ref="H16:I16"/>
    <mergeCell ref="T1:AK2"/>
    <mergeCell ref="AR1:BI2"/>
    <mergeCell ref="F4:I12"/>
    <mergeCell ref="BR4:BT13"/>
    <mergeCell ref="BU4:BW13"/>
    <mergeCell ref="B4:E12"/>
    <mergeCell ref="B16:E24"/>
    <mergeCell ref="BF11:BI12"/>
    <mergeCell ref="BF16:BI17"/>
    <mergeCell ref="F18:G18"/>
    <mergeCell ref="H18:I18"/>
    <mergeCell ref="F19:G19"/>
    <mergeCell ref="H19:I19"/>
    <mergeCell ref="F20:G20"/>
    <mergeCell ref="H20:I20"/>
    <mergeCell ref="F21:I24"/>
    <mergeCell ref="T4:T12"/>
    <mergeCell ref="DR31:DR39"/>
    <mergeCell ref="BV28:CM29"/>
    <mergeCell ref="DT21:DW24"/>
    <mergeCell ref="BU15:DG15"/>
    <mergeCell ref="J13:BO13"/>
    <mergeCell ref="J15:BO15"/>
    <mergeCell ref="DT19:DU19"/>
    <mergeCell ref="DV19:DW19"/>
    <mergeCell ref="DT20:DU20"/>
    <mergeCell ref="DV20:DW20"/>
    <mergeCell ref="DT16:DU16"/>
    <mergeCell ref="DV16:DW16"/>
    <mergeCell ref="DT17:DU17"/>
    <mergeCell ref="DV17:DW17"/>
    <mergeCell ref="DT18:DU18"/>
    <mergeCell ref="DV18:DW18"/>
    <mergeCell ref="P38:U39"/>
    <mergeCell ref="DH11:DM12"/>
    <mergeCell ref="BR38:BW39"/>
    <mergeCell ref="J55:M55"/>
    <mergeCell ref="BX13:DG13"/>
    <mergeCell ref="AF31:AF39"/>
    <mergeCell ref="CD31:CF39"/>
    <mergeCell ref="DH16:DM17"/>
    <mergeCell ref="BR15:BT24"/>
    <mergeCell ref="BR42:DG42"/>
    <mergeCell ref="J40:BO40"/>
    <mergeCell ref="J42:BO42"/>
    <mergeCell ref="T28:AK29"/>
    <mergeCell ref="AR28:BI29"/>
    <mergeCell ref="BR40:DG40"/>
  </mergeCells>
  <phoneticPr fontId="12" type="noConversion"/>
  <conditionalFormatting sqref="J6:S6 U6:AY6 BX6:DA6 J9:S9 U9:AY9 BX9:DA9 J12:S12 U12:AY12 BX12:DA12 J16:AY16 BU16:DA16 J19:AY19 BU19:DA19 J22:AY22 BU22:DA22 AB33:AE33 AG33:BK33 CG33:DQ33 AB36:AE36 AG36:BK36 CG36:DQ36 AB39:AE39 AG39:BK39 CG39:DQ39 AB43:BK43 CD43 CG43:DS43 AB46:BK46 CG46:DS46 AB49:BK49 CG49:DS49">
    <cfRule type="cellIs" dxfId="245" priority="404" operator="between">
      <formula>76</formula>
      <formula>150</formula>
    </cfRule>
    <cfRule type="cellIs" dxfId="244" priority="403" operator="between">
      <formula>151</formula>
      <formula>225</formula>
    </cfRule>
    <cfRule type="cellIs" dxfId="243" priority="402" operator="between">
      <formula>226</formula>
      <formula>300</formula>
    </cfRule>
    <cfRule type="cellIs" dxfId="242" priority="401" operator="between">
      <formula>301</formula>
      <formula>2000</formula>
    </cfRule>
    <cfRule type="cellIs" dxfId="241" priority="405" operator="between">
      <formula>1</formula>
      <formula>75</formula>
    </cfRule>
  </conditionalFormatting>
  <conditionalFormatting sqref="L31:L39">
    <cfRule type="cellIs" dxfId="240" priority="400" operator="between">
      <formula>1</formula>
      <formula>75</formula>
    </cfRule>
    <cfRule type="cellIs" dxfId="239" priority="399" operator="between">
      <formula>76</formula>
      <formula>150</formula>
    </cfRule>
    <cfRule type="cellIs" dxfId="238" priority="398" operator="between">
      <formula>151</formula>
      <formula>225</formula>
    </cfRule>
    <cfRule type="cellIs" dxfId="237" priority="397" operator="between">
      <formula>226</formula>
      <formula>300</formula>
    </cfRule>
    <cfRule type="cellIs" dxfId="236" priority="396" operator="between">
      <formula>301</formula>
      <formula>2000</formula>
    </cfRule>
  </conditionalFormatting>
  <conditionalFormatting sqref="L43:L51">
    <cfRule type="cellIs" dxfId="235" priority="205" operator="between">
      <formula>1</formula>
      <formula>75</formula>
    </cfRule>
    <cfRule type="cellIs" dxfId="234" priority="204" operator="between">
      <formula>76</formula>
      <formula>150</formula>
    </cfRule>
    <cfRule type="cellIs" dxfId="233" priority="203" operator="between">
      <formula>151</formula>
      <formula>225</formula>
    </cfRule>
    <cfRule type="cellIs" dxfId="232" priority="202" operator="between">
      <formula>226</formula>
      <formula>300</formula>
    </cfRule>
    <cfRule type="cellIs" dxfId="231" priority="201" operator="between">
      <formula>301</formula>
      <formula>2000</formula>
    </cfRule>
  </conditionalFormatting>
  <conditionalFormatting sqref="O31:O39">
    <cfRule type="cellIs" dxfId="230" priority="235" operator="between">
      <formula>1</formula>
      <formula>75</formula>
    </cfRule>
    <cfRule type="cellIs" dxfId="229" priority="234" operator="between">
      <formula>76</formula>
      <formula>150</formula>
    </cfRule>
    <cfRule type="cellIs" dxfId="228" priority="233" operator="between">
      <formula>151</formula>
      <formula>225</formula>
    </cfRule>
    <cfRule type="cellIs" dxfId="227" priority="232" operator="between">
      <formula>226</formula>
      <formula>300</formula>
    </cfRule>
    <cfRule type="cellIs" dxfId="226" priority="231" operator="between">
      <formula>301</formula>
      <formula>2000</formula>
    </cfRule>
  </conditionalFormatting>
  <conditionalFormatting sqref="O43:O51">
    <cfRule type="cellIs" dxfId="225" priority="206" operator="between">
      <formula>301</formula>
      <formula>2000</formula>
    </cfRule>
    <cfRule type="cellIs" dxfId="224" priority="210" operator="between">
      <formula>1</formula>
      <formula>75</formula>
    </cfRule>
    <cfRule type="cellIs" dxfId="223" priority="209" operator="between">
      <formula>76</formula>
      <formula>150</formula>
    </cfRule>
    <cfRule type="cellIs" dxfId="222" priority="208" operator="between">
      <formula>151</formula>
      <formula>225</formula>
    </cfRule>
    <cfRule type="cellIs" dxfId="221" priority="207" operator="between">
      <formula>226</formula>
      <formula>300</formula>
    </cfRule>
  </conditionalFormatting>
  <conditionalFormatting sqref="R31:R37">
    <cfRule type="cellIs" dxfId="220" priority="196" operator="between">
      <formula>301</formula>
      <formula>2000</formula>
    </cfRule>
    <cfRule type="cellIs" dxfId="219" priority="197" operator="between">
      <formula>226</formula>
      <formula>300</formula>
    </cfRule>
    <cfRule type="cellIs" dxfId="218" priority="198" operator="between">
      <formula>151</formula>
      <formula>225</formula>
    </cfRule>
    <cfRule type="cellIs" dxfId="217" priority="199" operator="between">
      <formula>76</formula>
      <formula>150</formula>
    </cfRule>
    <cfRule type="cellIs" dxfId="216" priority="200" operator="between">
      <formula>1</formula>
      <formula>75</formula>
    </cfRule>
  </conditionalFormatting>
  <conditionalFormatting sqref="R45:R51">
    <cfRule type="cellIs" dxfId="215" priority="189" operator="between">
      <formula>76</formula>
      <formula>150</formula>
    </cfRule>
    <cfRule type="cellIs" dxfId="214" priority="188" operator="between">
      <formula>151</formula>
      <formula>225</formula>
    </cfRule>
    <cfRule type="cellIs" dxfId="213" priority="187" operator="between">
      <formula>226</formula>
      <formula>300</formula>
    </cfRule>
    <cfRule type="cellIs" dxfId="212" priority="186" operator="between">
      <formula>301</formula>
      <formula>2000</formula>
    </cfRule>
    <cfRule type="cellIs" dxfId="211" priority="190" operator="between">
      <formula>1</formula>
      <formula>75</formula>
    </cfRule>
  </conditionalFormatting>
  <conditionalFormatting sqref="U31:U37">
    <cfRule type="cellIs" dxfId="210" priority="191" operator="between">
      <formula>301</formula>
      <formula>2000</formula>
    </cfRule>
    <cfRule type="cellIs" dxfId="209" priority="192" operator="between">
      <formula>226</formula>
      <formula>300</formula>
    </cfRule>
    <cfRule type="cellIs" dxfId="208" priority="193" operator="between">
      <formula>151</formula>
      <formula>225</formula>
    </cfRule>
    <cfRule type="cellIs" dxfId="207" priority="194" operator="between">
      <formula>76</formula>
      <formula>150</formula>
    </cfRule>
    <cfRule type="cellIs" dxfId="206" priority="195" operator="between">
      <formula>1</formula>
      <formula>75</formula>
    </cfRule>
  </conditionalFormatting>
  <conditionalFormatting sqref="U45:U51">
    <cfRule type="cellIs" dxfId="205" priority="184" operator="between">
      <formula>76</formula>
      <formula>150</formula>
    </cfRule>
    <cfRule type="cellIs" dxfId="204" priority="183" operator="between">
      <formula>151</formula>
      <formula>225</formula>
    </cfRule>
    <cfRule type="cellIs" dxfId="203" priority="185" operator="between">
      <formula>1</formula>
      <formula>75</formula>
    </cfRule>
    <cfRule type="cellIs" dxfId="202" priority="182" operator="between">
      <formula>226</formula>
      <formula>300</formula>
    </cfRule>
    <cfRule type="cellIs" dxfId="201" priority="181" operator="between">
      <formula>301</formula>
      <formula>2000</formula>
    </cfRule>
  </conditionalFormatting>
  <conditionalFormatting sqref="X31:X39">
    <cfRule type="cellIs" dxfId="200" priority="226" operator="between">
      <formula>301</formula>
      <formula>2000</formula>
    </cfRule>
    <cfRule type="cellIs" dxfId="199" priority="230" operator="between">
      <formula>1</formula>
      <formula>75</formula>
    </cfRule>
    <cfRule type="cellIs" dxfId="198" priority="229" operator="between">
      <formula>76</formula>
      <formula>150</formula>
    </cfRule>
    <cfRule type="cellIs" dxfId="197" priority="228" operator="between">
      <formula>151</formula>
      <formula>225</formula>
    </cfRule>
    <cfRule type="cellIs" dxfId="196" priority="227" operator="between">
      <formula>226</formula>
      <formula>300</formula>
    </cfRule>
  </conditionalFormatting>
  <conditionalFormatting sqref="X43:X51">
    <cfRule type="cellIs" dxfId="195" priority="213" operator="between">
      <formula>151</formula>
      <formula>225</formula>
    </cfRule>
    <cfRule type="cellIs" dxfId="194" priority="211" operator="between">
      <formula>301</formula>
      <formula>2000</formula>
    </cfRule>
    <cfRule type="cellIs" dxfId="193" priority="215" operator="between">
      <formula>1</formula>
      <formula>75</formula>
    </cfRule>
    <cfRule type="cellIs" dxfId="192" priority="214" operator="between">
      <formula>76</formula>
      <formula>150</formula>
    </cfRule>
    <cfRule type="cellIs" dxfId="191" priority="212" operator="between">
      <formula>226</formula>
      <formula>300</formula>
    </cfRule>
  </conditionalFormatting>
  <conditionalFormatting sqref="AA31:AA39">
    <cfRule type="cellIs" dxfId="190" priority="221" operator="between">
      <formula>301</formula>
      <formula>2000</formula>
    </cfRule>
    <cfRule type="cellIs" dxfId="189" priority="222" operator="between">
      <formula>226</formula>
      <formula>300</formula>
    </cfRule>
    <cfRule type="cellIs" dxfId="188" priority="224" operator="between">
      <formula>76</formula>
      <formula>150</formula>
    </cfRule>
    <cfRule type="cellIs" dxfId="187" priority="225" operator="between">
      <formula>1</formula>
      <formula>75</formula>
    </cfRule>
    <cfRule type="cellIs" dxfId="186" priority="223" operator="between">
      <formula>151</formula>
      <formula>225</formula>
    </cfRule>
  </conditionalFormatting>
  <conditionalFormatting sqref="AA43:AA51">
    <cfRule type="cellIs" dxfId="185" priority="220" operator="between">
      <formula>1</formula>
      <formula>75</formula>
    </cfRule>
    <cfRule type="cellIs" dxfId="184" priority="219" operator="between">
      <formula>76</formula>
      <formula>150</formula>
    </cfRule>
    <cfRule type="cellIs" dxfId="183" priority="218" operator="between">
      <formula>151</formula>
      <formula>225</formula>
    </cfRule>
    <cfRule type="cellIs" dxfId="182" priority="217" operator="between">
      <formula>226</formula>
      <formula>300</formula>
    </cfRule>
    <cfRule type="cellIs" dxfId="181" priority="216" operator="between">
      <formula>301</formula>
      <formula>2000</formula>
    </cfRule>
  </conditionalFormatting>
  <conditionalFormatting sqref="BB4:BB12">
    <cfRule type="cellIs" dxfId="180" priority="120" operator="between">
      <formula>1</formula>
      <formula>75</formula>
    </cfRule>
    <cfRule type="cellIs" dxfId="179" priority="116" operator="between">
      <formula>301</formula>
      <formula>2000</formula>
    </cfRule>
    <cfRule type="cellIs" dxfId="178" priority="117" operator="between">
      <formula>226</formula>
      <formula>300</formula>
    </cfRule>
    <cfRule type="cellIs" dxfId="177" priority="118" operator="between">
      <formula>151</formula>
      <formula>225</formula>
    </cfRule>
    <cfRule type="cellIs" dxfId="176" priority="119" operator="between">
      <formula>76</formula>
      <formula>150</formula>
    </cfRule>
  </conditionalFormatting>
  <conditionalFormatting sqref="BB16:BB24">
    <cfRule type="cellIs" dxfId="175" priority="86" operator="between">
      <formula>301</formula>
      <formula>2000</formula>
    </cfRule>
    <cfRule type="cellIs" dxfId="174" priority="90" operator="between">
      <formula>1</formula>
      <formula>75</formula>
    </cfRule>
    <cfRule type="cellIs" dxfId="173" priority="89" operator="between">
      <formula>76</formula>
      <formula>150</formula>
    </cfRule>
    <cfRule type="cellIs" dxfId="172" priority="88" operator="between">
      <formula>151</formula>
      <formula>225</formula>
    </cfRule>
    <cfRule type="cellIs" dxfId="171" priority="87" operator="between">
      <formula>226</formula>
      <formula>300</formula>
    </cfRule>
  </conditionalFormatting>
  <conditionalFormatting sqref="BE4:BE12">
    <cfRule type="cellIs" dxfId="170" priority="112" operator="between">
      <formula>226</formula>
      <formula>300</formula>
    </cfRule>
    <cfRule type="cellIs" dxfId="169" priority="113" operator="between">
      <formula>151</formula>
      <formula>225</formula>
    </cfRule>
    <cfRule type="cellIs" dxfId="168" priority="114" operator="between">
      <formula>76</formula>
      <formula>150</formula>
    </cfRule>
    <cfRule type="cellIs" dxfId="167" priority="115" operator="between">
      <formula>1</formula>
      <formula>75</formula>
    </cfRule>
    <cfRule type="cellIs" dxfId="166" priority="111" operator="between">
      <formula>301</formula>
      <formula>2000</formula>
    </cfRule>
  </conditionalFormatting>
  <conditionalFormatting sqref="BE16:BE24">
    <cfRule type="cellIs" dxfId="165" priority="84" operator="between">
      <formula>76</formula>
      <formula>150</formula>
    </cfRule>
    <cfRule type="cellIs" dxfId="164" priority="81" operator="between">
      <formula>301</formula>
      <formula>2000</formula>
    </cfRule>
    <cfRule type="cellIs" dxfId="163" priority="82" operator="between">
      <formula>226</formula>
      <formula>300</formula>
    </cfRule>
    <cfRule type="cellIs" dxfId="162" priority="83" operator="between">
      <formula>151</formula>
      <formula>225</formula>
    </cfRule>
    <cfRule type="cellIs" dxfId="161" priority="85" operator="between">
      <formula>1</formula>
      <formula>75</formula>
    </cfRule>
  </conditionalFormatting>
  <conditionalFormatting sqref="BH4:BH10">
    <cfRule type="cellIs" dxfId="160" priority="77" operator="between">
      <formula>226</formula>
      <formula>300</formula>
    </cfRule>
    <cfRule type="cellIs" dxfId="159" priority="76" operator="between">
      <formula>301</formula>
      <formula>2000</formula>
    </cfRule>
    <cfRule type="cellIs" dxfId="158" priority="80" operator="between">
      <formula>1</formula>
      <formula>75</formula>
    </cfRule>
    <cfRule type="cellIs" dxfId="157" priority="79" operator="between">
      <formula>76</formula>
      <formula>150</formula>
    </cfRule>
    <cfRule type="cellIs" dxfId="156" priority="78" operator="between">
      <formula>151</formula>
      <formula>225</formula>
    </cfRule>
  </conditionalFormatting>
  <conditionalFormatting sqref="BH18:BH24">
    <cfRule type="cellIs" dxfId="155" priority="70" operator="between">
      <formula>1</formula>
      <formula>75</formula>
    </cfRule>
    <cfRule type="cellIs" dxfId="154" priority="69" operator="between">
      <formula>76</formula>
      <formula>150</formula>
    </cfRule>
    <cfRule type="cellIs" dxfId="153" priority="67" operator="between">
      <formula>226</formula>
      <formula>300</formula>
    </cfRule>
    <cfRule type="cellIs" dxfId="152" priority="68" operator="between">
      <formula>151</formula>
      <formula>225</formula>
    </cfRule>
    <cfRule type="cellIs" dxfId="151" priority="66" operator="between">
      <formula>301</formula>
      <formula>2000</formula>
    </cfRule>
  </conditionalFormatting>
  <conditionalFormatting sqref="BK4:BK10">
    <cfRule type="cellIs" dxfId="150" priority="75" operator="between">
      <formula>1</formula>
      <formula>75</formula>
    </cfRule>
    <cfRule type="cellIs" dxfId="149" priority="74" operator="between">
      <formula>76</formula>
      <formula>150</formula>
    </cfRule>
    <cfRule type="cellIs" dxfId="148" priority="72" operator="between">
      <formula>226</formula>
      <formula>300</formula>
    </cfRule>
    <cfRule type="cellIs" dxfId="147" priority="71" operator="between">
      <formula>301</formula>
      <formula>2000</formula>
    </cfRule>
    <cfRule type="cellIs" dxfId="146" priority="73" operator="between">
      <formula>151</formula>
      <formula>225</formula>
    </cfRule>
  </conditionalFormatting>
  <conditionalFormatting sqref="BK18:BK24">
    <cfRule type="cellIs" dxfId="145" priority="61" operator="between">
      <formula>301</formula>
      <formula>2000</formula>
    </cfRule>
    <cfRule type="cellIs" dxfId="144" priority="62" operator="between">
      <formula>226</formula>
      <formula>300</formula>
    </cfRule>
    <cfRule type="cellIs" dxfId="143" priority="63" operator="between">
      <formula>151</formula>
      <formula>225</formula>
    </cfRule>
    <cfRule type="cellIs" dxfId="142" priority="64" operator="between">
      <formula>76</formula>
      <formula>150</formula>
    </cfRule>
    <cfRule type="cellIs" dxfId="141" priority="65" operator="between">
      <formula>1</formula>
      <formula>75</formula>
    </cfRule>
  </conditionalFormatting>
  <conditionalFormatting sqref="BN4:BN12">
    <cfRule type="cellIs" dxfId="140" priority="106" operator="between">
      <formula>301</formula>
      <formula>2000</formula>
    </cfRule>
    <cfRule type="cellIs" dxfId="139" priority="107" operator="between">
      <formula>226</formula>
      <formula>300</formula>
    </cfRule>
    <cfRule type="cellIs" dxfId="138" priority="108" operator="between">
      <formula>151</formula>
      <formula>225</formula>
    </cfRule>
    <cfRule type="cellIs" dxfId="137" priority="109" operator="between">
      <formula>76</formula>
      <formula>150</formula>
    </cfRule>
    <cfRule type="cellIs" dxfId="136" priority="110" operator="between">
      <formula>1</formula>
      <formula>75</formula>
    </cfRule>
  </conditionalFormatting>
  <conditionalFormatting sqref="BN16:BN24">
    <cfRule type="cellIs" dxfId="135" priority="95" operator="between">
      <formula>1</formula>
      <formula>75</formula>
    </cfRule>
    <cfRule type="cellIs" dxfId="134" priority="93" operator="between">
      <formula>151</formula>
      <formula>225</formula>
    </cfRule>
    <cfRule type="cellIs" dxfId="133" priority="92" operator="between">
      <formula>226</formula>
      <formula>300</formula>
    </cfRule>
    <cfRule type="cellIs" dxfId="132" priority="91" operator="between">
      <formula>301</formula>
      <formula>2000</formula>
    </cfRule>
    <cfRule type="cellIs" dxfId="131" priority="94" operator="between">
      <formula>76</formula>
      <formula>150</formula>
    </cfRule>
  </conditionalFormatting>
  <conditionalFormatting sqref="BN31:BN39">
    <cfRule type="cellIs" dxfId="130" priority="159" operator="between">
      <formula>76</formula>
      <formula>150</formula>
    </cfRule>
    <cfRule type="cellIs" dxfId="129" priority="158" operator="between">
      <formula>151</formula>
      <formula>225</formula>
    </cfRule>
    <cfRule type="cellIs" dxfId="128" priority="157" operator="between">
      <formula>226</formula>
      <formula>300</formula>
    </cfRule>
    <cfRule type="cellIs" dxfId="127" priority="156" operator="between">
      <formula>301</formula>
      <formula>2000</formula>
    </cfRule>
    <cfRule type="cellIs" dxfId="126" priority="160" operator="between">
      <formula>1</formula>
      <formula>75</formula>
    </cfRule>
  </conditionalFormatting>
  <conditionalFormatting sqref="BN43:BN51">
    <cfRule type="cellIs" dxfId="125" priority="123" operator="between">
      <formula>151</formula>
      <formula>225</formula>
    </cfRule>
    <cfRule type="cellIs" dxfId="124" priority="121" operator="between">
      <formula>301</formula>
      <formula>2000</formula>
    </cfRule>
    <cfRule type="cellIs" dxfId="123" priority="124" operator="between">
      <formula>76</formula>
      <formula>150</formula>
    </cfRule>
    <cfRule type="cellIs" dxfId="122" priority="125" operator="between">
      <formula>1</formula>
      <formula>75</formula>
    </cfRule>
    <cfRule type="cellIs" dxfId="121" priority="122" operator="between">
      <formula>226</formula>
      <formula>300</formula>
    </cfRule>
  </conditionalFormatting>
  <conditionalFormatting sqref="BQ4:BQ12">
    <cfRule type="cellIs" dxfId="120" priority="105" operator="between">
      <formula>1</formula>
      <formula>75</formula>
    </cfRule>
    <cfRule type="cellIs" dxfId="119" priority="101" operator="between">
      <formula>301</formula>
      <formula>2000</formula>
    </cfRule>
    <cfRule type="cellIs" dxfId="118" priority="102" operator="between">
      <formula>226</formula>
      <formula>300</formula>
    </cfRule>
    <cfRule type="cellIs" dxfId="117" priority="103" operator="between">
      <formula>151</formula>
      <formula>225</formula>
    </cfRule>
    <cfRule type="cellIs" dxfId="116" priority="104" operator="between">
      <formula>76</formula>
      <formula>150</formula>
    </cfRule>
  </conditionalFormatting>
  <conditionalFormatting sqref="BQ16:BQ24">
    <cfRule type="cellIs" dxfId="115" priority="97" operator="between">
      <formula>226</formula>
      <formula>300</formula>
    </cfRule>
    <cfRule type="cellIs" dxfId="114" priority="98" operator="between">
      <formula>151</formula>
      <formula>225</formula>
    </cfRule>
    <cfRule type="cellIs" dxfId="113" priority="99" operator="between">
      <formula>76</formula>
      <formula>150</formula>
    </cfRule>
    <cfRule type="cellIs" dxfId="112" priority="100" operator="between">
      <formula>1</formula>
      <formula>75</formula>
    </cfRule>
    <cfRule type="cellIs" dxfId="111" priority="96" operator="between">
      <formula>301</formula>
      <formula>2000</formula>
    </cfRule>
  </conditionalFormatting>
  <conditionalFormatting sqref="BQ31:BQ39">
    <cfRule type="cellIs" dxfId="110" priority="151" operator="between">
      <formula>301</formula>
      <formula>2000</formula>
    </cfRule>
    <cfRule type="cellIs" dxfId="109" priority="155" operator="between">
      <formula>1</formula>
      <formula>75</formula>
    </cfRule>
    <cfRule type="cellIs" dxfId="108" priority="154" operator="between">
      <formula>76</formula>
      <formula>150</formula>
    </cfRule>
    <cfRule type="cellIs" dxfId="107" priority="153" operator="between">
      <formula>151</formula>
      <formula>225</formula>
    </cfRule>
    <cfRule type="cellIs" dxfId="106" priority="152" operator="between">
      <formula>226</formula>
      <formula>300</formula>
    </cfRule>
  </conditionalFormatting>
  <conditionalFormatting sqref="BQ43:BQ51">
    <cfRule type="cellIs" dxfId="105" priority="128" operator="between">
      <formula>151</formula>
      <formula>225</formula>
    </cfRule>
    <cfRule type="cellIs" dxfId="104" priority="126" operator="between">
      <formula>301</formula>
      <formula>2000</formula>
    </cfRule>
    <cfRule type="cellIs" dxfId="103" priority="130" operator="between">
      <formula>1</formula>
      <formula>75</formula>
    </cfRule>
    <cfRule type="cellIs" dxfId="102" priority="129" operator="between">
      <formula>76</formula>
      <formula>150</formula>
    </cfRule>
    <cfRule type="cellIs" dxfId="101" priority="127" operator="between">
      <formula>226</formula>
      <formula>300</formula>
    </cfRule>
  </conditionalFormatting>
  <conditionalFormatting sqref="BT31:BT37">
    <cfRule type="cellIs" dxfId="100" priority="169" operator="between">
      <formula>76</formula>
      <formula>150</formula>
    </cfRule>
    <cfRule type="cellIs" dxfId="99" priority="168" operator="between">
      <formula>151</formula>
      <formula>225</formula>
    </cfRule>
    <cfRule type="cellIs" dxfId="98" priority="167" operator="between">
      <formula>226</formula>
      <formula>300</formula>
    </cfRule>
    <cfRule type="cellIs" dxfId="97" priority="166" operator="between">
      <formula>301</formula>
      <formula>2000</formula>
    </cfRule>
    <cfRule type="cellIs" dxfId="96" priority="170" operator="between">
      <formula>1</formula>
      <formula>75</formula>
    </cfRule>
  </conditionalFormatting>
  <conditionalFormatting sqref="BT45:BT51">
    <cfRule type="cellIs" dxfId="95" priority="180" operator="between">
      <formula>1</formula>
      <formula>75</formula>
    </cfRule>
    <cfRule type="cellIs" dxfId="94" priority="179" operator="between">
      <formula>76</formula>
      <formula>150</formula>
    </cfRule>
    <cfRule type="cellIs" dxfId="93" priority="178" operator="between">
      <formula>151</formula>
      <formula>225</formula>
    </cfRule>
    <cfRule type="cellIs" dxfId="92" priority="177" operator="between">
      <formula>226</formula>
      <formula>300</formula>
    </cfRule>
    <cfRule type="cellIs" dxfId="91" priority="176" operator="between">
      <formula>301</formula>
      <formula>2000</formula>
    </cfRule>
  </conditionalFormatting>
  <conditionalFormatting sqref="BW31:BW37">
    <cfRule type="cellIs" dxfId="90" priority="161" operator="between">
      <formula>301</formula>
      <formula>2000</formula>
    </cfRule>
    <cfRule type="cellIs" dxfId="89" priority="165" operator="between">
      <formula>1</formula>
      <formula>75</formula>
    </cfRule>
    <cfRule type="cellIs" dxfId="88" priority="164" operator="between">
      <formula>76</formula>
      <formula>150</formula>
    </cfRule>
    <cfRule type="cellIs" dxfId="87" priority="163" operator="between">
      <formula>151</formula>
      <formula>225</formula>
    </cfRule>
    <cfRule type="cellIs" dxfId="86" priority="162" operator="between">
      <formula>226</formula>
      <formula>300</formula>
    </cfRule>
  </conditionalFormatting>
  <conditionalFormatting sqref="BW45:BW51">
    <cfRule type="cellIs" dxfId="85" priority="173" operator="between">
      <formula>151</formula>
      <formula>225</formula>
    </cfRule>
    <cfRule type="cellIs" dxfId="84" priority="172" operator="between">
      <formula>226</formula>
      <formula>300</formula>
    </cfRule>
    <cfRule type="cellIs" dxfId="83" priority="174" operator="between">
      <formula>76</formula>
      <formula>150</formula>
    </cfRule>
    <cfRule type="cellIs" dxfId="82" priority="175" operator="between">
      <formula>1</formula>
      <formula>75</formula>
    </cfRule>
    <cfRule type="cellIs" dxfId="81" priority="171" operator="between">
      <formula>301</formula>
      <formula>2000</formula>
    </cfRule>
  </conditionalFormatting>
  <conditionalFormatting sqref="BZ31:BZ39">
    <cfRule type="cellIs" dxfId="80" priority="150" operator="between">
      <formula>1</formula>
      <formula>75</formula>
    </cfRule>
    <cfRule type="cellIs" dxfId="79" priority="149" operator="between">
      <formula>76</formula>
      <formula>150</formula>
    </cfRule>
    <cfRule type="cellIs" dxfId="78" priority="148" operator="between">
      <formula>151</formula>
      <formula>225</formula>
    </cfRule>
    <cfRule type="cellIs" dxfId="77" priority="147" operator="between">
      <formula>226</formula>
      <formula>300</formula>
    </cfRule>
    <cfRule type="cellIs" dxfId="76" priority="146" operator="between">
      <formula>301</formula>
      <formula>2000</formula>
    </cfRule>
  </conditionalFormatting>
  <conditionalFormatting sqref="BZ43:BZ51">
    <cfRule type="cellIs" dxfId="75" priority="132" operator="between">
      <formula>226</formula>
      <formula>300</formula>
    </cfRule>
    <cfRule type="cellIs" dxfId="74" priority="131" operator="between">
      <formula>301</formula>
      <formula>2000</formula>
    </cfRule>
    <cfRule type="cellIs" dxfId="73" priority="135" operator="between">
      <formula>1</formula>
      <formula>75</formula>
    </cfRule>
    <cfRule type="cellIs" dxfId="72" priority="134" operator="between">
      <formula>76</formula>
      <formula>150</formula>
    </cfRule>
    <cfRule type="cellIs" dxfId="71" priority="133" operator="between">
      <formula>151</formula>
      <formula>225</formula>
    </cfRule>
  </conditionalFormatting>
  <conditionalFormatting sqref="CC31:CC39">
    <cfRule type="cellIs" dxfId="70" priority="141" operator="between">
      <formula>301</formula>
      <formula>2000</formula>
    </cfRule>
    <cfRule type="cellIs" dxfId="69" priority="145" operator="between">
      <formula>1</formula>
      <formula>75</formula>
    </cfRule>
    <cfRule type="cellIs" dxfId="68" priority="144" operator="between">
      <formula>76</formula>
      <formula>150</formula>
    </cfRule>
    <cfRule type="cellIs" dxfId="67" priority="143" operator="between">
      <formula>151</formula>
      <formula>225</formula>
    </cfRule>
    <cfRule type="cellIs" dxfId="66" priority="142" operator="between">
      <formula>226</formula>
      <formula>300</formula>
    </cfRule>
  </conditionalFormatting>
  <conditionalFormatting sqref="CC43:CC51">
    <cfRule type="cellIs" dxfId="65" priority="136" operator="between">
      <formula>301</formula>
      <formula>2000</formula>
    </cfRule>
    <cfRule type="cellIs" dxfId="64" priority="137" operator="between">
      <formula>226</formula>
      <formula>300</formula>
    </cfRule>
    <cfRule type="cellIs" dxfId="63" priority="138" operator="between">
      <formula>151</formula>
      <formula>225</formula>
    </cfRule>
    <cfRule type="cellIs" dxfId="62" priority="139" operator="between">
      <formula>76</formula>
      <formula>150</formula>
    </cfRule>
    <cfRule type="cellIs" dxfId="61" priority="140" operator="between">
      <formula>1</formula>
      <formula>75</formula>
    </cfRule>
  </conditionalFormatting>
  <conditionalFormatting sqref="DD4:DD12">
    <cfRule type="cellIs" dxfId="60" priority="40" operator="between">
      <formula>1</formula>
      <formula>75</formula>
    </cfRule>
    <cfRule type="cellIs" dxfId="59" priority="36" operator="between">
      <formula>301</formula>
      <formula>2000</formula>
    </cfRule>
    <cfRule type="cellIs" dxfId="58" priority="37" operator="between">
      <formula>226</formula>
      <formula>300</formula>
    </cfRule>
    <cfRule type="cellIs" dxfId="57" priority="38" operator="between">
      <formula>151</formula>
      <formula>225</formula>
    </cfRule>
    <cfRule type="cellIs" dxfId="56" priority="39" operator="between">
      <formula>76</formula>
      <formula>150</formula>
    </cfRule>
  </conditionalFormatting>
  <conditionalFormatting sqref="DD16:DD24">
    <cfRule type="cellIs" dxfId="55" priority="16" operator="between">
      <formula>301</formula>
      <formula>2000</formula>
    </cfRule>
    <cfRule type="cellIs" dxfId="54" priority="17" operator="between">
      <formula>226</formula>
      <formula>300</formula>
    </cfRule>
    <cfRule type="cellIs" dxfId="53" priority="18" operator="between">
      <formula>151</formula>
      <formula>225</formula>
    </cfRule>
    <cfRule type="cellIs" dxfId="52" priority="19" operator="between">
      <formula>76</formula>
      <formula>150</formula>
    </cfRule>
    <cfRule type="cellIs" dxfId="51" priority="20" operator="between">
      <formula>1</formula>
      <formula>75</formula>
    </cfRule>
  </conditionalFormatting>
  <conditionalFormatting sqref="DG4:DG12">
    <cfRule type="cellIs" dxfId="50" priority="31" operator="between">
      <formula>301</formula>
      <formula>2000</formula>
    </cfRule>
    <cfRule type="cellIs" dxfId="49" priority="32" operator="between">
      <formula>226</formula>
      <formula>300</formula>
    </cfRule>
    <cfRule type="cellIs" dxfId="48" priority="33" operator="between">
      <formula>151</formula>
      <formula>225</formula>
    </cfRule>
    <cfRule type="cellIs" dxfId="47" priority="34" operator="between">
      <formula>76</formula>
      <formula>150</formula>
    </cfRule>
    <cfRule type="cellIs" dxfId="46" priority="35" operator="between">
      <formula>1</formula>
      <formula>75</formula>
    </cfRule>
  </conditionalFormatting>
  <conditionalFormatting sqref="DG16:DG24">
    <cfRule type="cellIs" dxfId="45" priority="12" operator="between">
      <formula>226</formula>
      <formula>300</formula>
    </cfRule>
    <cfRule type="cellIs" dxfId="44" priority="13" operator="between">
      <formula>151</formula>
      <formula>225</formula>
    </cfRule>
    <cfRule type="cellIs" dxfId="43" priority="11" operator="between">
      <formula>301</formula>
      <formula>2000</formula>
    </cfRule>
    <cfRule type="cellIs" dxfId="42" priority="14" operator="between">
      <formula>76</formula>
      <formula>150</formula>
    </cfRule>
    <cfRule type="cellIs" dxfId="41" priority="15" operator="between">
      <formula>1</formula>
      <formula>75</formula>
    </cfRule>
  </conditionalFormatting>
  <conditionalFormatting sqref="DJ4:DJ10">
    <cfRule type="cellIs" dxfId="40" priority="57" operator="between">
      <formula>226</formula>
      <formula>300</formula>
    </cfRule>
    <cfRule type="cellIs" dxfId="39" priority="60" operator="between">
      <formula>1</formula>
      <formula>75</formula>
    </cfRule>
    <cfRule type="cellIs" dxfId="38" priority="59" operator="between">
      <formula>76</formula>
      <formula>150</formula>
    </cfRule>
    <cfRule type="cellIs" dxfId="37" priority="58" operator="between">
      <formula>151</formula>
      <formula>225</formula>
    </cfRule>
    <cfRule type="cellIs" dxfId="36" priority="56" operator="between">
      <formula>301</formula>
      <formula>2000</formula>
    </cfRule>
  </conditionalFormatting>
  <conditionalFormatting sqref="DJ18:DJ24">
    <cfRule type="cellIs" dxfId="35" priority="50" operator="between">
      <formula>1</formula>
      <formula>75</formula>
    </cfRule>
    <cfRule type="cellIs" dxfId="34" priority="46" operator="between">
      <formula>301</formula>
      <formula>2000</formula>
    </cfRule>
    <cfRule type="cellIs" dxfId="33" priority="47" operator="between">
      <formula>226</formula>
      <formula>300</formula>
    </cfRule>
    <cfRule type="cellIs" dxfId="32" priority="48" operator="between">
      <formula>151</formula>
      <formula>225</formula>
    </cfRule>
    <cfRule type="cellIs" dxfId="31" priority="49" operator="between">
      <formula>76</formula>
      <formula>150</formula>
    </cfRule>
  </conditionalFormatting>
  <conditionalFormatting sqref="DM4:DM10">
    <cfRule type="cellIs" dxfId="30" priority="55" operator="between">
      <formula>1</formula>
      <formula>75</formula>
    </cfRule>
    <cfRule type="cellIs" dxfId="29" priority="54" operator="between">
      <formula>76</formula>
      <formula>150</formula>
    </cfRule>
    <cfRule type="cellIs" dxfId="28" priority="53" operator="between">
      <formula>151</formula>
      <formula>225</formula>
    </cfRule>
    <cfRule type="cellIs" dxfId="27" priority="52" operator="between">
      <formula>226</formula>
      <formula>300</formula>
    </cfRule>
    <cfRule type="cellIs" dxfId="26" priority="51" operator="between">
      <formula>301</formula>
      <formula>2000</formula>
    </cfRule>
  </conditionalFormatting>
  <conditionalFormatting sqref="DM18:DM24">
    <cfRule type="cellIs" dxfId="25" priority="41" operator="between">
      <formula>301</formula>
      <formula>2000</formula>
    </cfRule>
    <cfRule type="cellIs" dxfId="24" priority="45" operator="between">
      <formula>1</formula>
      <formula>75</formula>
    </cfRule>
    <cfRule type="cellIs" dxfId="23" priority="44" operator="between">
      <formula>76</formula>
      <formula>150</formula>
    </cfRule>
    <cfRule type="cellIs" dxfId="22" priority="43" operator="between">
      <formula>151</formula>
      <formula>225</formula>
    </cfRule>
    <cfRule type="cellIs" dxfId="21" priority="42" operator="between">
      <formula>226</formula>
      <formula>300</formula>
    </cfRule>
  </conditionalFormatting>
  <conditionalFormatting sqref="DP4:DP12">
    <cfRule type="cellIs" dxfId="20" priority="26" operator="between">
      <formula>301</formula>
      <formula>2000</formula>
    </cfRule>
    <cfRule type="cellIs" dxfId="19" priority="27" operator="between">
      <formula>226</formula>
      <formula>300</formula>
    </cfRule>
    <cfRule type="cellIs" dxfId="18" priority="28" operator="between">
      <formula>151</formula>
      <formula>225</formula>
    </cfRule>
    <cfRule type="cellIs" dxfId="17" priority="29" operator="between">
      <formula>76</formula>
      <formula>150</formula>
    </cfRule>
    <cfRule type="cellIs" dxfId="16" priority="30" operator="between">
      <formula>1</formula>
      <formula>75</formula>
    </cfRule>
  </conditionalFormatting>
  <conditionalFormatting sqref="DP16:DP24">
    <cfRule type="cellIs" dxfId="15" priority="10" operator="between">
      <formula>1</formula>
      <formula>75</formula>
    </cfRule>
    <cfRule type="cellIs" dxfId="14" priority="6" operator="between">
      <formula>301</formula>
      <formula>2000</formula>
    </cfRule>
    <cfRule type="cellIs" dxfId="13" priority="7" operator="between">
      <formula>226</formula>
      <formula>300</formula>
    </cfRule>
    <cfRule type="cellIs" dxfId="12" priority="8" operator="between">
      <formula>151</formula>
      <formula>225</formula>
    </cfRule>
    <cfRule type="cellIs" dxfId="11" priority="9" operator="between">
      <formula>76</formula>
      <formula>150</formula>
    </cfRule>
  </conditionalFormatting>
  <conditionalFormatting sqref="DS4:DS12">
    <cfRule type="cellIs" dxfId="10" priority="24" operator="between">
      <formula>76</formula>
      <formula>150</formula>
    </cfRule>
    <cfRule type="cellIs" dxfId="9" priority="25" operator="between">
      <formula>1</formula>
      <formula>75</formula>
    </cfRule>
    <cfRule type="cellIs" dxfId="8" priority="21" operator="between">
      <formula>301</formula>
      <formula>2000</formula>
    </cfRule>
    <cfRule type="cellIs" dxfId="7" priority="22" operator="between">
      <formula>226</formula>
      <formula>300</formula>
    </cfRule>
    <cfRule type="cellIs" dxfId="6" priority="23" operator="between">
      <formula>151</formula>
      <formula>225</formula>
    </cfRule>
  </conditionalFormatting>
  <conditionalFormatting sqref="DS16:DS24">
    <cfRule type="cellIs" dxfId="5" priority="5" operator="between">
      <formula>1</formula>
      <formula>75</formula>
    </cfRule>
    <cfRule type="cellIs" dxfId="4" priority="4" operator="between">
      <formula>76</formula>
      <formula>150</formula>
    </cfRule>
    <cfRule type="cellIs" dxfId="3" priority="3" operator="between">
      <formula>151</formula>
      <formula>225</formula>
    </cfRule>
    <cfRule type="cellIs" dxfId="2" priority="2" operator="between">
      <formula>226</formula>
      <formula>300</formula>
    </cfRule>
    <cfRule type="cellIs" dxfId="1" priority="1" operator="between">
      <formula>301</formula>
      <formula>2000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9875-ED01-45F6-8B03-A12EB6799EF6}">
  <sheetPr filterMode="1">
    <tabColor theme="9"/>
  </sheetPr>
  <dimension ref="A1:H2580"/>
  <sheetViews>
    <sheetView zoomScale="120" zoomScaleNormal="120" workbookViewId="0">
      <pane ySplit="1" topLeftCell="A2" activePane="bottomLeft" state="frozen"/>
      <selection pane="bottomLeft" activeCell="M121" sqref="M121"/>
    </sheetView>
  </sheetViews>
  <sheetFormatPr defaultColWidth="8.85546875" defaultRowHeight="15"/>
  <cols>
    <col min="1" max="1" width="11.140625" style="91" bestFit="1" customWidth="1"/>
    <col min="2" max="2" width="11.140625" style="91" customWidth="1"/>
    <col min="3" max="3" width="11.85546875" style="91" bestFit="1" customWidth="1"/>
    <col min="4" max="4" width="16.42578125" style="91" bestFit="1" customWidth="1"/>
    <col min="5" max="5" width="16.85546875" style="91" customWidth="1"/>
    <col min="6" max="6" width="12.7109375" style="91" customWidth="1"/>
    <col min="7" max="7" width="12.42578125" style="91" customWidth="1"/>
    <col min="8" max="8" width="9.140625" customWidth="1"/>
  </cols>
  <sheetData>
    <row r="1" spans="1:8" ht="66.95" customHeight="1">
      <c r="A1" s="90" t="s">
        <v>2601</v>
      </c>
      <c r="B1" s="89" t="s">
        <v>2602</v>
      </c>
      <c r="C1" s="90" t="s">
        <v>2603</v>
      </c>
      <c r="D1" s="89" t="s">
        <v>2604</v>
      </c>
      <c r="E1" s="89" t="s">
        <v>2605</v>
      </c>
      <c r="F1" s="89" t="s">
        <v>2606</v>
      </c>
      <c r="G1" s="89" t="s">
        <v>2607</v>
      </c>
      <c r="H1" s="94" t="s">
        <v>2608</v>
      </c>
    </row>
    <row r="2" spans="1:8" hidden="1">
      <c r="A2" s="77"/>
      <c r="B2" s="69" t="s">
        <v>2609</v>
      </c>
      <c r="C2" s="70" t="s">
        <v>254</v>
      </c>
      <c r="D2" s="70" t="s">
        <v>2610</v>
      </c>
      <c r="E2" s="72" t="s">
        <v>2611</v>
      </c>
      <c r="F2" s="70"/>
      <c r="G2" s="70" t="str">
        <f>IFERROR(VLOOKUP(A2,[1]wms_iv_f!$A$1:$E$136,4,FALSE),"")</f>
        <v/>
      </c>
      <c r="H2" s="95" t="str">
        <f>IFERROR(VLOOKUP(A2,[2]wms_lc_f!$A$1:$B$156,2,FALSE),"")</f>
        <v/>
      </c>
    </row>
    <row r="3" spans="1:8" hidden="1">
      <c r="A3" s="77"/>
      <c r="B3" s="69" t="s">
        <v>2609</v>
      </c>
      <c r="C3" s="70" t="s">
        <v>253</v>
      </c>
      <c r="D3" s="70" t="s">
        <v>2610</v>
      </c>
      <c r="E3" s="72" t="s">
        <v>2611</v>
      </c>
      <c r="F3" s="70"/>
      <c r="G3" s="70" t="str">
        <f>IFERROR(VLOOKUP(A3,[1]wms_iv_f!$A$1:$E$136,4,FALSE),"")</f>
        <v/>
      </c>
      <c r="H3" s="95" t="str">
        <f>IFERROR(VLOOKUP(A3,[2]wms_lc_f!$A$1:$B$156,2,FALSE),"")</f>
        <v/>
      </c>
    </row>
    <row r="4" spans="1:8" hidden="1">
      <c r="A4" s="77"/>
      <c r="B4" s="69" t="s">
        <v>2609</v>
      </c>
      <c r="C4" s="70" t="s">
        <v>252</v>
      </c>
      <c r="D4" s="70" t="s">
        <v>2610</v>
      </c>
      <c r="E4" s="72" t="s">
        <v>2611</v>
      </c>
      <c r="F4" s="70"/>
      <c r="G4" s="70" t="str">
        <f>IFERROR(VLOOKUP(A4,[1]wms_iv_f!$A$1:$E$136,4,FALSE),"")</f>
        <v/>
      </c>
      <c r="H4" s="95" t="str">
        <f>IFERROR(VLOOKUP(A4,[2]wms_lc_f!$A$1:$B$156,2,FALSE),"")</f>
        <v/>
      </c>
    </row>
    <row r="5" spans="1:8" hidden="1">
      <c r="A5" s="77"/>
      <c r="B5" s="69" t="s">
        <v>2609</v>
      </c>
      <c r="C5" s="70" t="s">
        <v>251</v>
      </c>
      <c r="D5" s="70" t="s">
        <v>2610</v>
      </c>
      <c r="E5" s="72" t="s">
        <v>2611</v>
      </c>
      <c r="F5" s="70"/>
      <c r="G5" s="70" t="str">
        <f>IFERROR(VLOOKUP(A5,[1]wms_iv_f!$A$1:$E$136,4,FALSE),"")</f>
        <v/>
      </c>
      <c r="H5" s="95" t="str">
        <f>IFERROR(VLOOKUP(A5,[2]wms_lc_f!$A$1:$B$156,2,FALSE),"")</f>
        <v/>
      </c>
    </row>
    <row r="6" spans="1:8" hidden="1">
      <c r="A6" s="77"/>
      <c r="B6" s="69" t="s">
        <v>2609</v>
      </c>
      <c r="C6" s="70" t="s">
        <v>250</v>
      </c>
      <c r="D6" s="70" t="s">
        <v>2610</v>
      </c>
      <c r="E6" s="72" t="s">
        <v>2611</v>
      </c>
      <c r="F6" s="70"/>
      <c r="G6" s="70" t="str">
        <f>IFERROR(VLOOKUP(A6,[1]wms_iv_f!$A$1:$E$136,4,FALSE),"")</f>
        <v/>
      </c>
      <c r="H6" s="95" t="str">
        <f>IFERROR(VLOOKUP(A6,[2]wms_lc_f!$A$1:$B$156,2,FALSE),"")</f>
        <v/>
      </c>
    </row>
    <row r="7" spans="1:8" hidden="1">
      <c r="A7" s="77"/>
      <c r="B7" s="69" t="s">
        <v>2609</v>
      </c>
      <c r="C7" s="70" t="s">
        <v>249</v>
      </c>
      <c r="D7" s="70" t="s">
        <v>2610</v>
      </c>
      <c r="E7" s="72" t="s">
        <v>2611</v>
      </c>
      <c r="F7" s="70"/>
      <c r="G7" s="70" t="str">
        <f>IFERROR(VLOOKUP(A7,[1]wms_iv_f!$A$1:$E$136,4,FALSE),"")</f>
        <v/>
      </c>
      <c r="H7" s="95" t="str">
        <f>IFERROR(VLOOKUP(A7,[2]wms_lc_f!$A$1:$B$156,2,FALSE),"")</f>
        <v/>
      </c>
    </row>
    <row r="8" spans="1:8" hidden="1">
      <c r="A8" s="77"/>
      <c r="B8" s="69" t="s">
        <v>2609</v>
      </c>
      <c r="C8" s="70" t="s">
        <v>147</v>
      </c>
      <c r="D8" s="70" t="s">
        <v>2610</v>
      </c>
      <c r="E8" s="72" t="s">
        <v>2611</v>
      </c>
      <c r="F8" s="70" t="s">
        <v>2612</v>
      </c>
      <c r="G8" s="70" t="str">
        <f>IFERROR(VLOOKUP(A8,[1]wms_iv_f!$A$1:$E$136,4,FALSE),"")</f>
        <v/>
      </c>
      <c r="H8" s="95" t="str">
        <f>IFERROR(VLOOKUP(A8,[2]wms_lc_f!$A$1:$B$156,2,FALSE),"")</f>
        <v/>
      </c>
    </row>
    <row r="9" spans="1:8" hidden="1">
      <c r="A9" s="77"/>
      <c r="B9" s="69" t="s">
        <v>2609</v>
      </c>
      <c r="C9" s="70" t="s">
        <v>146</v>
      </c>
      <c r="D9" s="70" t="s">
        <v>2610</v>
      </c>
      <c r="E9" s="72" t="s">
        <v>2611</v>
      </c>
      <c r="F9" s="70" t="s">
        <v>2612</v>
      </c>
      <c r="G9" s="70" t="str">
        <f>IFERROR(VLOOKUP(A9,[1]wms_iv_f!$A$1:$E$136,4,FALSE),"")</f>
        <v/>
      </c>
      <c r="H9" s="95" t="str">
        <f>IFERROR(VLOOKUP(A9,[2]wms_lc_f!$A$1:$B$156,2,FALSE),"")</f>
        <v/>
      </c>
    </row>
    <row r="10" spans="1:8" hidden="1">
      <c r="A10" s="77"/>
      <c r="B10" s="69" t="s">
        <v>2609</v>
      </c>
      <c r="C10" s="70" t="s">
        <v>145</v>
      </c>
      <c r="D10" s="70" t="s">
        <v>2610</v>
      </c>
      <c r="E10" s="72" t="s">
        <v>2611</v>
      </c>
      <c r="F10" s="70" t="s">
        <v>2612</v>
      </c>
      <c r="G10" s="70" t="str">
        <f>IFERROR(VLOOKUP(A10,[1]wms_iv_f!$A$1:$E$136,4,FALSE),"")</f>
        <v/>
      </c>
      <c r="H10" s="95" t="str">
        <f>IFERROR(VLOOKUP(A10,[2]wms_lc_f!$A$1:$B$156,2,FALSE),"")</f>
        <v/>
      </c>
    </row>
    <row r="11" spans="1:8" hidden="1">
      <c r="A11" s="77"/>
      <c r="B11" s="69" t="s">
        <v>2609</v>
      </c>
      <c r="C11" s="70" t="s">
        <v>144</v>
      </c>
      <c r="D11" s="70" t="s">
        <v>2610</v>
      </c>
      <c r="E11" s="72" t="s">
        <v>2611</v>
      </c>
      <c r="F11" s="70" t="s">
        <v>2612</v>
      </c>
      <c r="G11" s="70" t="str">
        <f>IFERROR(VLOOKUP(A11,[1]wms_iv_f!$A$1:$E$136,4,FALSE),"")</f>
        <v/>
      </c>
      <c r="H11" s="95" t="str">
        <f>IFERROR(VLOOKUP(A11,[2]wms_lc_f!$A$1:$B$156,2,FALSE),"")</f>
        <v/>
      </c>
    </row>
    <row r="12" spans="1:8" hidden="1">
      <c r="A12" s="77"/>
      <c r="B12" s="69" t="s">
        <v>2609</v>
      </c>
      <c r="C12" s="70" t="s">
        <v>143</v>
      </c>
      <c r="D12" s="70" t="s">
        <v>2610</v>
      </c>
      <c r="E12" s="72" t="s">
        <v>2611</v>
      </c>
      <c r="F12" s="70" t="s">
        <v>2612</v>
      </c>
      <c r="G12" s="70" t="str">
        <f>IFERROR(VLOOKUP(A12,[1]wms_iv_f!$A$1:$E$136,4,FALSE),"")</f>
        <v/>
      </c>
      <c r="H12" s="95" t="str">
        <f>IFERROR(VLOOKUP(A12,[2]wms_lc_f!$A$1:$B$156,2,FALSE),"")</f>
        <v/>
      </c>
    </row>
    <row r="13" spans="1:8" hidden="1">
      <c r="A13" s="77"/>
      <c r="B13" s="69" t="s">
        <v>2609</v>
      </c>
      <c r="C13" s="70" t="s">
        <v>142</v>
      </c>
      <c r="D13" s="70" t="s">
        <v>2610</v>
      </c>
      <c r="E13" s="72" t="s">
        <v>2611</v>
      </c>
      <c r="F13" s="70" t="s">
        <v>2612</v>
      </c>
      <c r="G13" s="70" t="str">
        <f>IFERROR(VLOOKUP(A13,[1]wms_iv_f!$A$1:$E$136,4,FALSE),"")</f>
        <v/>
      </c>
      <c r="H13" s="95" t="str">
        <f>IFERROR(VLOOKUP(A13,[2]wms_lc_f!$A$1:$B$156,2,FALSE),"")</f>
        <v/>
      </c>
    </row>
    <row r="14" spans="1:8" hidden="1">
      <c r="A14" s="77"/>
      <c r="B14" s="69" t="s">
        <v>2609</v>
      </c>
      <c r="C14" s="70" t="s">
        <v>38</v>
      </c>
      <c r="D14" s="70" t="s">
        <v>2610</v>
      </c>
      <c r="E14" s="72" t="s">
        <v>2611</v>
      </c>
      <c r="F14" s="70"/>
      <c r="G14" s="70" t="str">
        <f>IFERROR(VLOOKUP(A14,[1]wms_iv_f!$A$1:$E$136,4,FALSE),"")</f>
        <v/>
      </c>
      <c r="H14" s="95" t="str">
        <f>IFERROR(VLOOKUP(A14,[2]wms_lc_f!$A$1:$B$156,2,FALSE),"")</f>
        <v/>
      </c>
    </row>
    <row r="15" spans="1:8" hidden="1">
      <c r="A15" s="77"/>
      <c r="B15" s="69" t="s">
        <v>2609</v>
      </c>
      <c r="C15" s="70" t="s">
        <v>37</v>
      </c>
      <c r="D15" s="70" t="s">
        <v>2610</v>
      </c>
      <c r="E15" s="72" t="s">
        <v>2611</v>
      </c>
      <c r="F15" s="70"/>
      <c r="G15" s="70" t="str">
        <f>IFERROR(VLOOKUP(A15,[1]wms_iv_f!$A$1:$E$136,4,FALSE),"")</f>
        <v/>
      </c>
      <c r="H15" s="95" t="str">
        <f>IFERROR(VLOOKUP(A15,[2]wms_lc_f!$A$1:$B$156,2,FALSE),"")</f>
        <v/>
      </c>
    </row>
    <row r="16" spans="1:8" hidden="1">
      <c r="A16" s="77"/>
      <c r="B16" s="69" t="s">
        <v>2609</v>
      </c>
      <c r="C16" s="70" t="s">
        <v>36</v>
      </c>
      <c r="D16" s="70" t="s">
        <v>2610</v>
      </c>
      <c r="E16" s="72" t="s">
        <v>2611</v>
      </c>
      <c r="F16" s="70"/>
      <c r="G16" s="70" t="str">
        <f>IFERROR(VLOOKUP(A16,[1]wms_iv_f!$A$1:$E$136,4,FALSE),"")</f>
        <v/>
      </c>
      <c r="H16" s="95" t="str">
        <f>IFERROR(VLOOKUP(A16,[2]wms_lc_f!$A$1:$B$156,2,FALSE),"")</f>
        <v/>
      </c>
    </row>
    <row r="17" spans="1:8" hidden="1">
      <c r="A17" s="77"/>
      <c r="B17" s="69" t="s">
        <v>2609</v>
      </c>
      <c r="C17" s="70" t="s">
        <v>35</v>
      </c>
      <c r="D17" s="70" t="s">
        <v>2610</v>
      </c>
      <c r="E17" s="72" t="s">
        <v>2611</v>
      </c>
      <c r="F17" s="70"/>
      <c r="G17" s="70" t="str">
        <f>IFERROR(VLOOKUP(A17,[1]wms_iv_f!$A$1:$E$136,4,FALSE),"")</f>
        <v/>
      </c>
      <c r="H17" s="95" t="str">
        <f>IFERROR(VLOOKUP(A17,[2]wms_lc_f!$A$1:$B$156,2,FALSE),"")</f>
        <v/>
      </c>
    </row>
    <row r="18" spans="1:8" hidden="1">
      <c r="A18" s="77"/>
      <c r="B18" s="69" t="s">
        <v>2609</v>
      </c>
      <c r="C18" s="70" t="s">
        <v>34</v>
      </c>
      <c r="D18" s="70" t="s">
        <v>2610</v>
      </c>
      <c r="E18" s="72" t="s">
        <v>2611</v>
      </c>
      <c r="F18" s="70"/>
      <c r="G18" s="70" t="str">
        <f>IFERROR(VLOOKUP(A18,[1]wms_iv_f!$A$1:$E$136,4,FALSE),"")</f>
        <v/>
      </c>
      <c r="H18" s="95" t="str">
        <f>IFERROR(VLOOKUP(A18,[2]wms_lc_f!$A$1:$B$156,2,FALSE),"")</f>
        <v/>
      </c>
    </row>
    <row r="19" spans="1:8" hidden="1">
      <c r="A19" s="77"/>
      <c r="B19" s="69" t="s">
        <v>2609</v>
      </c>
      <c r="C19" s="70" t="s">
        <v>33</v>
      </c>
      <c r="D19" s="70" t="s">
        <v>2610</v>
      </c>
      <c r="E19" s="72" t="s">
        <v>2611</v>
      </c>
      <c r="F19" s="70"/>
      <c r="G19" s="70" t="str">
        <f>IFERROR(VLOOKUP(A19,[1]wms_iv_f!$A$1:$E$136,4,FALSE),"")</f>
        <v/>
      </c>
      <c r="H19" s="95" t="str">
        <f>IFERROR(VLOOKUP(A19,[2]wms_lc_f!$A$1:$B$156,2,FALSE),"")</f>
        <v/>
      </c>
    </row>
    <row r="20" spans="1:8" hidden="1">
      <c r="A20" s="77"/>
      <c r="B20" s="69" t="s">
        <v>2609</v>
      </c>
      <c r="C20" s="70" t="s">
        <v>248</v>
      </c>
      <c r="D20" s="70" t="s">
        <v>2610</v>
      </c>
      <c r="E20" s="72" t="s">
        <v>2611</v>
      </c>
      <c r="F20" s="70"/>
      <c r="G20" s="70" t="str">
        <f>IFERROR(VLOOKUP(A20,[1]wms_iv_f!$A$1:$E$136,4,FALSE),"")</f>
        <v/>
      </c>
      <c r="H20" s="95" t="str">
        <f>IFERROR(VLOOKUP(A20,[2]wms_lc_f!$A$1:$B$156,2,FALSE),"")</f>
        <v/>
      </c>
    </row>
    <row r="21" spans="1:8" hidden="1">
      <c r="A21" s="77"/>
      <c r="B21" s="69" t="s">
        <v>2609</v>
      </c>
      <c r="C21" s="70" t="s">
        <v>247</v>
      </c>
      <c r="D21" s="70" t="s">
        <v>2610</v>
      </c>
      <c r="E21" s="72" t="s">
        <v>2611</v>
      </c>
      <c r="F21" s="70"/>
      <c r="G21" s="70" t="str">
        <f>IFERROR(VLOOKUP(A21,[1]wms_iv_f!$A$1:$E$136,4,FALSE),"")</f>
        <v/>
      </c>
      <c r="H21" s="95" t="str">
        <f>IFERROR(VLOOKUP(A21,[2]wms_lc_f!$A$1:$B$156,2,FALSE),"")</f>
        <v/>
      </c>
    </row>
    <row r="22" spans="1:8" hidden="1">
      <c r="A22" s="77"/>
      <c r="B22" s="69" t="s">
        <v>2609</v>
      </c>
      <c r="C22" s="70" t="s">
        <v>246</v>
      </c>
      <c r="D22" s="70" t="s">
        <v>2610</v>
      </c>
      <c r="E22" s="72" t="s">
        <v>2611</v>
      </c>
      <c r="F22" s="70"/>
      <c r="G22" s="70" t="str">
        <f>IFERROR(VLOOKUP(A22,[1]wms_iv_f!$A$1:$E$136,4,FALSE),"")</f>
        <v/>
      </c>
      <c r="H22" s="95" t="str">
        <f>IFERROR(VLOOKUP(A22,[2]wms_lc_f!$A$1:$B$156,2,FALSE),"")</f>
        <v/>
      </c>
    </row>
    <row r="23" spans="1:8" hidden="1">
      <c r="A23" s="77"/>
      <c r="B23" s="69" t="s">
        <v>2609</v>
      </c>
      <c r="C23" s="70" t="s">
        <v>245</v>
      </c>
      <c r="D23" s="70" t="s">
        <v>2610</v>
      </c>
      <c r="E23" s="72" t="s">
        <v>2611</v>
      </c>
      <c r="F23" s="70"/>
      <c r="G23" s="70" t="str">
        <f>IFERROR(VLOOKUP(A23,[1]wms_iv_f!$A$1:$E$136,4,FALSE),"")</f>
        <v/>
      </c>
      <c r="H23" s="95" t="str">
        <f>IFERROR(VLOOKUP(A23,[2]wms_lc_f!$A$1:$B$156,2,FALSE),"")</f>
        <v/>
      </c>
    </row>
    <row r="24" spans="1:8" hidden="1">
      <c r="A24" s="77"/>
      <c r="B24" s="69" t="s">
        <v>2609</v>
      </c>
      <c r="C24" s="70" t="s">
        <v>244</v>
      </c>
      <c r="D24" s="70" t="s">
        <v>2610</v>
      </c>
      <c r="E24" s="72" t="s">
        <v>2611</v>
      </c>
      <c r="F24" s="70"/>
      <c r="G24" s="70" t="str">
        <f>IFERROR(VLOOKUP(A24,[1]wms_iv_f!$A$1:$E$136,4,FALSE),"")</f>
        <v/>
      </c>
      <c r="H24" s="95" t="str">
        <f>IFERROR(VLOOKUP(A24,[2]wms_lc_f!$A$1:$B$156,2,FALSE),"")</f>
        <v/>
      </c>
    </row>
    <row r="25" spans="1:8" hidden="1">
      <c r="A25" s="77"/>
      <c r="B25" s="69" t="s">
        <v>2609</v>
      </c>
      <c r="C25" s="70" t="s">
        <v>243</v>
      </c>
      <c r="D25" s="70" t="s">
        <v>2610</v>
      </c>
      <c r="E25" s="72" t="s">
        <v>2611</v>
      </c>
      <c r="F25" s="70"/>
      <c r="G25" s="70" t="str">
        <f>IFERROR(VLOOKUP(A25,[1]wms_iv_f!$A$1:$E$136,4,FALSE),"")</f>
        <v/>
      </c>
      <c r="H25" s="95" t="str">
        <f>IFERROR(VLOOKUP(A25,[2]wms_lc_f!$A$1:$B$156,2,FALSE),"")</f>
        <v/>
      </c>
    </row>
    <row r="26" spans="1:8" hidden="1">
      <c r="A26" s="77"/>
      <c r="B26" s="69" t="s">
        <v>2609</v>
      </c>
      <c r="C26" s="70" t="s">
        <v>141</v>
      </c>
      <c r="D26" s="70" t="s">
        <v>2610</v>
      </c>
      <c r="E26" s="72" t="s">
        <v>2611</v>
      </c>
      <c r="F26" s="70" t="s">
        <v>2612</v>
      </c>
      <c r="G26" s="70" t="str">
        <f>IFERROR(VLOOKUP(A26,[1]wms_iv_f!$A$1:$E$136,4,FALSE),"")</f>
        <v/>
      </c>
      <c r="H26" s="95" t="str">
        <f>IFERROR(VLOOKUP(A26,[2]wms_lc_f!$A$1:$B$156,2,FALSE),"")</f>
        <v/>
      </c>
    </row>
    <row r="27" spans="1:8" hidden="1">
      <c r="A27" s="77"/>
      <c r="B27" s="69" t="s">
        <v>2609</v>
      </c>
      <c r="C27" s="70" t="s">
        <v>140</v>
      </c>
      <c r="D27" s="70" t="s">
        <v>2610</v>
      </c>
      <c r="E27" s="72" t="s">
        <v>2611</v>
      </c>
      <c r="F27" s="70" t="s">
        <v>2612</v>
      </c>
      <c r="G27" s="70" t="str">
        <f>IFERROR(VLOOKUP(A27,[1]wms_iv_f!$A$1:$E$136,4,FALSE),"")</f>
        <v/>
      </c>
      <c r="H27" s="95" t="str">
        <f>IFERROR(VLOOKUP(A27,[2]wms_lc_f!$A$1:$B$156,2,FALSE),"")</f>
        <v/>
      </c>
    </row>
    <row r="28" spans="1:8" hidden="1">
      <c r="A28" s="77"/>
      <c r="B28" s="69" t="s">
        <v>2609</v>
      </c>
      <c r="C28" s="70" t="s">
        <v>139</v>
      </c>
      <c r="D28" s="70" t="s">
        <v>2610</v>
      </c>
      <c r="E28" s="72" t="s">
        <v>2611</v>
      </c>
      <c r="F28" s="70" t="s">
        <v>2612</v>
      </c>
      <c r="G28" s="70" t="str">
        <f>IFERROR(VLOOKUP(A28,[1]wms_iv_f!$A$1:$E$136,4,FALSE),"")</f>
        <v/>
      </c>
      <c r="H28" s="95" t="str">
        <f>IFERROR(VLOOKUP(A28,[2]wms_lc_f!$A$1:$B$156,2,FALSE),"")</f>
        <v/>
      </c>
    </row>
    <row r="29" spans="1:8" hidden="1">
      <c r="A29" s="77"/>
      <c r="B29" s="69" t="s">
        <v>2609</v>
      </c>
      <c r="C29" s="70" t="s">
        <v>138</v>
      </c>
      <c r="D29" s="70" t="s">
        <v>2610</v>
      </c>
      <c r="E29" s="72" t="s">
        <v>2611</v>
      </c>
      <c r="F29" s="70" t="s">
        <v>2612</v>
      </c>
      <c r="G29" s="70" t="str">
        <f>IFERROR(VLOOKUP(A29,[1]wms_iv_f!$A$1:$E$136,4,FALSE),"")</f>
        <v/>
      </c>
      <c r="H29" s="95" t="str">
        <f>IFERROR(VLOOKUP(A29,[2]wms_lc_f!$A$1:$B$156,2,FALSE),"")</f>
        <v/>
      </c>
    </row>
    <row r="30" spans="1:8" hidden="1">
      <c r="A30" s="77"/>
      <c r="B30" s="69" t="s">
        <v>2609</v>
      </c>
      <c r="C30" s="70" t="s">
        <v>137</v>
      </c>
      <c r="D30" s="70" t="s">
        <v>2610</v>
      </c>
      <c r="E30" s="72" t="s">
        <v>2611</v>
      </c>
      <c r="F30" s="70" t="s">
        <v>2612</v>
      </c>
      <c r="G30" s="70" t="str">
        <f>IFERROR(VLOOKUP(A30,[1]wms_iv_f!$A$1:$E$136,4,FALSE),"")</f>
        <v/>
      </c>
      <c r="H30" s="95" t="str">
        <f>IFERROR(VLOOKUP(A30,[2]wms_lc_f!$A$1:$B$156,2,FALSE),"")</f>
        <v/>
      </c>
    </row>
    <row r="31" spans="1:8" hidden="1">
      <c r="A31" s="77"/>
      <c r="B31" s="69" t="s">
        <v>2609</v>
      </c>
      <c r="C31" s="70" t="s">
        <v>136</v>
      </c>
      <c r="D31" s="70" t="s">
        <v>2610</v>
      </c>
      <c r="E31" s="72" t="s">
        <v>2611</v>
      </c>
      <c r="F31" s="70" t="s">
        <v>2612</v>
      </c>
      <c r="G31" s="70" t="str">
        <f>IFERROR(VLOOKUP(A31,[1]wms_iv_f!$A$1:$E$136,4,FALSE),"")</f>
        <v/>
      </c>
      <c r="H31" s="95" t="str">
        <f>IFERROR(VLOOKUP(A31,[2]wms_lc_f!$A$1:$B$156,2,FALSE),"")</f>
        <v/>
      </c>
    </row>
    <row r="32" spans="1:8" hidden="1">
      <c r="A32" s="77"/>
      <c r="B32" s="69" t="s">
        <v>2609</v>
      </c>
      <c r="C32" s="70" t="s">
        <v>32</v>
      </c>
      <c r="D32" s="70" t="s">
        <v>2610</v>
      </c>
      <c r="E32" s="72" t="s">
        <v>2611</v>
      </c>
      <c r="F32" s="70"/>
      <c r="G32" s="70" t="str">
        <f>IFERROR(VLOOKUP(A32,[1]wms_iv_f!$A$1:$E$136,4,FALSE),"")</f>
        <v/>
      </c>
      <c r="H32" s="95" t="str">
        <f>IFERROR(VLOOKUP(A32,[2]wms_lc_f!$A$1:$B$156,2,FALSE),"")</f>
        <v/>
      </c>
    </row>
    <row r="33" spans="1:8" hidden="1">
      <c r="A33" s="77"/>
      <c r="B33" s="69" t="s">
        <v>2609</v>
      </c>
      <c r="C33" s="70" t="s">
        <v>31</v>
      </c>
      <c r="D33" s="70" t="s">
        <v>2610</v>
      </c>
      <c r="E33" s="72" t="s">
        <v>2611</v>
      </c>
      <c r="F33" s="70"/>
      <c r="G33" s="70" t="str">
        <f>IFERROR(VLOOKUP(A33,[1]wms_iv_f!$A$1:$E$136,4,FALSE),"")</f>
        <v/>
      </c>
      <c r="H33" s="95" t="str">
        <f>IFERROR(VLOOKUP(A33,[2]wms_lc_f!$A$1:$B$156,2,FALSE),"")</f>
        <v/>
      </c>
    </row>
    <row r="34" spans="1:8" hidden="1">
      <c r="A34" s="77"/>
      <c r="B34" s="69" t="s">
        <v>2609</v>
      </c>
      <c r="C34" s="70" t="s">
        <v>30</v>
      </c>
      <c r="D34" s="70" t="s">
        <v>2610</v>
      </c>
      <c r="E34" s="72" t="s">
        <v>2611</v>
      </c>
      <c r="F34" s="70"/>
      <c r="G34" s="70" t="str">
        <f>IFERROR(VLOOKUP(A34,[1]wms_iv_f!$A$1:$E$136,4,FALSE),"")</f>
        <v/>
      </c>
      <c r="H34" s="95" t="str">
        <f>IFERROR(VLOOKUP(A34,[2]wms_lc_f!$A$1:$B$156,2,FALSE),"")</f>
        <v/>
      </c>
    </row>
    <row r="35" spans="1:8" hidden="1">
      <c r="A35" s="77"/>
      <c r="B35" s="69" t="s">
        <v>2609</v>
      </c>
      <c r="C35" s="70" t="s">
        <v>29</v>
      </c>
      <c r="D35" s="70" t="s">
        <v>2610</v>
      </c>
      <c r="E35" s="72" t="s">
        <v>2611</v>
      </c>
      <c r="F35" s="70"/>
      <c r="G35" s="70" t="str">
        <f>IFERROR(VLOOKUP(A35,[1]wms_iv_f!$A$1:$E$136,4,FALSE),"")</f>
        <v/>
      </c>
      <c r="H35" s="95" t="str">
        <f>IFERROR(VLOOKUP(A35,[2]wms_lc_f!$A$1:$B$156,2,FALSE),"")</f>
        <v/>
      </c>
    </row>
    <row r="36" spans="1:8" hidden="1">
      <c r="A36" s="77"/>
      <c r="B36" s="69" t="s">
        <v>2609</v>
      </c>
      <c r="C36" s="70" t="s">
        <v>28</v>
      </c>
      <c r="D36" s="70" t="s">
        <v>2610</v>
      </c>
      <c r="E36" s="72" t="s">
        <v>2611</v>
      </c>
      <c r="F36" s="70"/>
      <c r="G36" s="70" t="str">
        <f>IFERROR(VLOOKUP(A36,[1]wms_iv_f!$A$1:$E$136,4,FALSE),"")</f>
        <v/>
      </c>
      <c r="H36" s="95" t="str">
        <f>IFERROR(VLOOKUP(A36,[2]wms_lc_f!$A$1:$B$156,2,FALSE),"")</f>
        <v/>
      </c>
    </row>
    <row r="37" spans="1:8" hidden="1">
      <c r="A37" s="77"/>
      <c r="B37" s="69" t="s">
        <v>2609</v>
      </c>
      <c r="C37" s="70" t="s">
        <v>27</v>
      </c>
      <c r="D37" s="70" t="s">
        <v>2610</v>
      </c>
      <c r="E37" s="72" t="s">
        <v>2611</v>
      </c>
      <c r="F37" s="70"/>
      <c r="G37" s="70" t="str">
        <f>IFERROR(VLOOKUP(A37,[1]wms_iv_f!$A$1:$E$136,4,FALSE),"")</f>
        <v/>
      </c>
      <c r="H37" s="95" t="str">
        <f>IFERROR(VLOOKUP(A37,[2]wms_lc_f!$A$1:$B$156,2,FALSE),"")</f>
        <v/>
      </c>
    </row>
    <row r="38" spans="1:8" hidden="1">
      <c r="A38" s="77"/>
      <c r="B38" s="69" t="s">
        <v>2609</v>
      </c>
      <c r="C38" s="70" t="s">
        <v>242</v>
      </c>
      <c r="D38" s="70" t="s">
        <v>2610</v>
      </c>
      <c r="E38" s="72" t="s">
        <v>2611</v>
      </c>
      <c r="F38" s="70"/>
      <c r="G38" s="70" t="str">
        <f>IFERROR(VLOOKUP(A38,[1]wms_iv_f!$A$1:$E$136,4,FALSE),"")</f>
        <v/>
      </c>
      <c r="H38" s="95" t="str">
        <f>IFERROR(VLOOKUP(A38,[2]wms_lc_f!$A$1:$B$156,2,FALSE),"")</f>
        <v/>
      </c>
    </row>
    <row r="39" spans="1:8" hidden="1">
      <c r="A39" s="77"/>
      <c r="B39" s="69" t="s">
        <v>2609</v>
      </c>
      <c r="C39" s="70" t="s">
        <v>241</v>
      </c>
      <c r="D39" s="70" t="s">
        <v>2610</v>
      </c>
      <c r="E39" s="72" t="s">
        <v>2611</v>
      </c>
      <c r="F39" s="70"/>
      <c r="G39" s="70" t="str">
        <f>IFERROR(VLOOKUP(A39,[1]wms_iv_f!$A$1:$E$136,4,FALSE),"")</f>
        <v/>
      </c>
      <c r="H39" s="95" t="str">
        <f>IFERROR(VLOOKUP(A39,[2]wms_lc_f!$A$1:$B$156,2,FALSE),"")</f>
        <v/>
      </c>
    </row>
    <row r="40" spans="1:8" hidden="1">
      <c r="A40" s="77"/>
      <c r="B40" s="69" t="s">
        <v>2609</v>
      </c>
      <c r="C40" s="70" t="s">
        <v>240</v>
      </c>
      <c r="D40" s="70" t="s">
        <v>2610</v>
      </c>
      <c r="E40" s="72" t="s">
        <v>2611</v>
      </c>
      <c r="F40" s="70"/>
      <c r="G40" s="70" t="str">
        <f>IFERROR(VLOOKUP(A40,[1]wms_iv_f!$A$1:$E$136,4,FALSE),"")</f>
        <v/>
      </c>
      <c r="H40" s="95" t="str">
        <f>IFERROR(VLOOKUP(A40,[2]wms_lc_f!$A$1:$B$156,2,FALSE),"")</f>
        <v/>
      </c>
    </row>
    <row r="41" spans="1:8" hidden="1">
      <c r="A41" s="77"/>
      <c r="B41" s="69" t="s">
        <v>2609</v>
      </c>
      <c r="C41" s="70" t="s">
        <v>239</v>
      </c>
      <c r="D41" s="70" t="s">
        <v>2610</v>
      </c>
      <c r="E41" s="72" t="s">
        <v>2611</v>
      </c>
      <c r="F41" s="70"/>
      <c r="G41" s="70" t="str">
        <f>IFERROR(VLOOKUP(A41,[1]wms_iv_f!$A$1:$E$136,4,FALSE),"")</f>
        <v/>
      </c>
      <c r="H41" s="95" t="str">
        <f>IFERROR(VLOOKUP(A41,[2]wms_lc_f!$A$1:$B$156,2,FALSE),"")</f>
        <v/>
      </c>
    </row>
    <row r="42" spans="1:8" hidden="1">
      <c r="A42" s="77"/>
      <c r="B42" s="69" t="s">
        <v>2609</v>
      </c>
      <c r="C42" s="70" t="s">
        <v>238</v>
      </c>
      <c r="D42" s="70" t="s">
        <v>2610</v>
      </c>
      <c r="E42" s="72" t="s">
        <v>2611</v>
      </c>
      <c r="F42" s="70"/>
      <c r="G42" s="70" t="str">
        <f>IFERROR(VLOOKUP(A42,[1]wms_iv_f!$A$1:$E$136,4,FALSE),"")</f>
        <v/>
      </c>
      <c r="H42" s="95" t="str">
        <f>IFERROR(VLOOKUP(A42,[2]wms_lc_f!$A$1:$B$156,2,FALSE),"")</f>
        <v/>
      </c>
    </row>
    <row r="43" spans="1:8" hidden="1">
      <c r="A43" s="77"/>
      <c r="B43" s="69" t="s">
        <v>2609</v>
      </c>
      <c r="C43" s="70" t="s">
        <v>237</v>
      </c>
      <c r="D43" s="70" t="s">
        <v>2610</v>
      </c>
      <c r="E43" s="72" t="s">
        <v>2611</v>
      </c>
      <c r="F43" s="70"/>
      <c r="G43" s="70" t="str">
        <f>IFERROR(VLOOKUP(A43,[1]wms_iv_f!$A$1:$E$136,4,FALSE),"")</f>
        <v/>
      </c>
      <c r="H43" s="95" t="str">
        <f>IFERROR(VLOOKUP(A43,[2]wms_lc_f!$A$1:$B$156,2,FALSE),"")</f>
        <v/>
      </c>
    </row>
    <row r="44" spans="1:8" hidden="1">
      <c r="A44" s="77"/>
      <c r="B44" s="69" t="s">
        <v>2609</v>
      </c>
      <c r="C44" s="70" t="s">
        <v>135</v>
      </c>
      <c r="D44" s="70" t="s">
        <v>2610</v>
      </c>
      <c r="E44" s="72" t="s">
        <v>2611</v>
      </c>
      <c r="F44" s="70" t="s">
        <v>2612</v>
      </c>
      <c r="G44" s="70" t="str">
        <f>IFERROR(VLOOKUP(A44,[1]wms_iv_f!$A$1:$E$136,4,FALSE),"")</f>
        <v/>
      </c>
      <c r="H44" s="95" t="str">
        <f>IFERROR(VLOOKUP(A44,[2]wms_lc_f!$A$1:$B$156,2,FALSE),"")</f>
        <v/>
      </c>
    </row>
    <row r="45" spans="1:8" hidden="1">
      <c r="A45" s="77"/>
      <c r="B45" s="69" t="s">
        <v>2609</v>
      </c>
      <c r="C45" s="70" t="s">
        <v>134</v>
      </c>
      <c r="D45" s="70" t="s">
        <v>2610</v>
      </c>
      <c r="E45" s="72" t="s">
        <v>2611</v>
      </c>
      <c r="F45" s="70" t="s">
        <v>2612</v>
      </c>
      <c r="G45" s="70" t="str">
        <f>IFERROR(VLOOKUP(A45,[1]wms_iv_f!$A$1:$E$136,4,FALSE),"")</f>
        <v/>
      </c>
      <c r="H45" s="95" t="str">
        <f>IFERROR(VLOOKUP(A45,[2]wms_lc_f!$A$1:$B$156,2,FALSE),"")</f>
        <v/>
      </c>
    </row>
    <row r="46" spans="1:8" hidden="1">
      <c r="A46" s="77"/>
      <c r="B46" s="69" t="s">
        <v>2609</v>
      </c>
      <c r="C46" s="70" t="s">
        <v>133</v>
      </c>
      <c r="D46" s="70" t="s">
        <v>2610</v>
      </c>
      <c r="E46" s="72" t="s">
        <v>2611</v>
      </c>
      <c r="F46" s="70" t="s">
        <v>2612</v>
      </c>
      <c r="G46" s="70" t="str">
        <f>IFERROR(VLOOKUP(A46,[1]wms_iv_f!$A$1:$E$136,4,FALSE),"")</f>
        <v/>
      </c>
      <c r="H46" s="95" t="str">
        <f>IFERROR(VLOOKUP(A46,[2]wms_lc_f!$A$1:$B$156,2,FALSE),"")</f>
        <v/>
      </c>
    </row>
    <row r="47" spans="1:8" hidden="1">
      <c r="A47" s="86"/>
      <c r="B47" s="69" t="s">
        <v>2609</v>
      </c>
      <c r="C47" s="70" t="s">
        <v>132</v>
      </c>
      <c r="D47" s="70" t="s">
        <v>2610</v>
      </c>
      <c r="E47" s="72" t="s">
        <v>2611</v>
      </c>
      <c r="F47" s="70" t="s">
        <v>2612</v>
      </c>
      <c r="G47" s="70" t="str">
        <f>IFERROR(VLOOKUP(A47,[1]wms_iv_f!$A$1:$E$136,4,FALSE),"")</f>
        <v/>
      </c>
      <c r="H47" s="95" t="str">
        <f>IFERROR(VLOOKUP(A47,[2]wms_lc_f!$A$1:$B$156,2,FALSE),"")</f>
        <v/>
      </c>
    </row>
    <row r="48" spans="1:8" hidden="1">
      <c r="A48" s="77"/>
      <c r="B48" s="69" t="s">
        <v>2609</v>
      </c>
      <c r="C48" s="70" t="s">
        <v>131</v>
      </c>
      <c r="D48" s="70" t="s">
        <v>2610</v>
      </c>
      <c r="E48" s="72" t="s">
        <v>2611</v>
      </c>
      <c r="F48" s="70" t="s">
        <v>2612</v>
      </c>
      <c r="G48" s="70" t="str">
        <f>IFERROR(VLOOKUP(A48,[1]wms_iv_f!$A$1:$E$136,4,FALSE),"")</f>
        <v/>
      </c>
      <c r="H48" s="95" t="str">
        <f>IFERROR(VLOOKUP(A48,[2]wms_lc_f!$A$1:$B$156,2,FALSE),"")</f>
        <v/>
      </c>
    </row>
    <row r="49" spans="1:8" hidden="1">
      <c r="A49" s="77"/>
      <c r="B49" s="69" t="s">
        <v>2609</v>
      </c>
      <c r="C49" s="70" t="s">
        <v>130</v>
      </c>
      <c r="D49" s="70" t="s">
        <v>2610</v>
      </c>
      <c r="E49" s="72" t="s">
        <v>2611</v>
      </c>
      <c r="F49" s="70" t="s">
        <v>2612</v>
      </c>
      <c r="G49" s="70" t="str">
        <f>IFERROR(VLOOKUP(A49,[1]wms_iv_f!$A$1:$E$136,4,FALSE),"")</f>
        <v/>
      </c>
      <c r="H49" s="95" t="str">
        <f>IFERROR(VLOOKUP(A49,[2]wms_lc_f!$A$1:$B$156,2,FALSE),"")</f>
        <v/>
      </c>
    </row>
    <row r="50" spans="1:8" hidden="1">
      <c r="A50" s="93"/>
      <c r="B50" s="69" t="s">
        <v>2609</v>
      </c>
      <c r="C50" s="70" t="s">
        <v>26</v>
      </c>
      <c r="D50" s="70" t="s">
        <v>2610</v>
      </c>
      <c r="E50" s="72" t="s">
        <v>2611</v>
      </c>
      <c r="F50" s="70"/>
      <c r="G50" s="70" t="str">
        <f>IFERROR(VLOOKUP(A50,[1]wms_iv_f!$A$1:$E$136,4,FALSE),"")</f>
        <v/>
      </c>
      <c r="H50" s="95" t="str">
        <f>IFERROR(VLOOKUP(A50,[2]wms_lc_f!$A$1:$B$156,2,FALSE),"")</f>
        <v/>
      </c>
    </row>
    <row r="51" spans="1:8" hidden="1">
      <c r="A51" s="77"/>
      <c r="B51" s="69" t="s">
        <v>2609</v>
      </c>
      <c r="C51" s="70" t="s">
        <v>25</v>
      </c>
      <c r="D51" s="70" t="s">
        <v>2610</v>
      </c>
      <c r="E51" s="72" t="s">
        <v>2611</v>
      </c>
      <c r="F51" s="70"/>
      <c r="G51" s="70" t="str">
        <f>IFERROR(VLOOKUP(A51,[1]wms_iv_f!$A$1:$E$136,4,FALSE),"")</f>
        <v/>
      </c>
      <c r="H51" s="95" t="str">
        <f>IFERROR(VLOOKUP(A51,[2]wms_lc_f!$A$1:$B$156,2,FALSE),"")</f>
        <v/>
      </c>
    </row>
    <row r="52" spans="1:8" hidden="1">
      <c r="A52" s="77"/>
      <c r="B52" s="69" t="s">
        <v>2609</v>
      </c>
      <c r="C52" s="70" t="s">
        <v>24</v>
      </c>
      <c r="D52" s="70" t="s">
        <v>2610</v>
      </c>
      <c r="E52" s="72" t="s">
        <v>2611</v>
      </c>
      <c r="F52" s="70"/>
      <c r="G52" s="70" t="str">
        <f>IFERROR(VLOOKUP(A52,[1]wms_iv_f!$A$1:$E$136,4,FALSE),"")</f>
        <v/>
      </c>
      <c r="H52" s="95" t="str">
        <f>IFERROR(VLOOKUP(A52,[2]wms_lc_f!$A$1:$B$156,2,FALSE),"")</f>
        <v/>
      </c>
    </row>
    <row r="53" spans="1:8" hidden="1">
      <c r="A53" s="77"/>
      <c r="B53" s="69" t="s">
        <v>2609</v>
      </c>
      <c r="C53" s="70" t="s">
        <v>23</v>
      </c>
      <c r="D53" s="70" t="s">
        <v>2610</v>
      </c>
      <c r="E53" s="72" t="s">
        <v>2611</v>
      </c>
      <c r="F53" s="70"/>
      <c r="G53" s="70" t="str">
        <f>IFERROR(VLOOKUP(A53,[1]wms_iv_f!$A$1:$E$136,4,FALSE),"")</f>
        <v/>
      </c>
      <c r="H53" s="95" t="str">
        <f>IFERROR(VLOOKUP(A53,[2]wms_lc_f!$A$1:$B$156,2,FALSE),"")</f>
        <v/>
      </c>
    </row>
    <row r="54" spans="1:8" hidden="1">
      <c r="A54" s="77"/>
      <c r="B54" s="69" t="s">
        <v>2609</v>
      </c>
      <c r="C54" s="70" t="s">
        <v>22</v>
      </c>
      <c r="D54" s="70" t="s">
        <v>2610</v>
      </c>
      <c r="E54" s="72" t="s">
        <v>2611</v>
      </c>
      <c r="F54" s="70"/>
      <c r="G54" s="70" t="str">
        <f>IFERROR(VLOOKUP(A54,[1]wms_iv_f!$A$1:$E$136,4,FALSE),"")</f>
        <v/>
      </c>
      <c r="H54" s="95" t="str">
        <f>IFERROR(VLOOKUP(A54,[2]wms_lc_f!$A$1:$B$156,2,FALSE),"")</f>
        <v/>
      </c>
    </row>
    <row r="55" spans="1:8" hidden="1">
      <c r="A55" s="77"/>
      <c r="B55" s="69" t="s">
        <v>2609</v>
      </c>
      <c r="C55" s="70" t="s">
        <v>21</v>
      </c>
      <c r="D55" s="70" t="s">
        <v>2610</v>
      </c>
      <c r="E55" s="72" t="s">
        <v>2611</v>
      </c>
      <c r="F55" s="70"/>
      <c r="G55" s="70" t="str">
        <f>IFERROR(VLOOKUP(A55,[1]wms_iv_f!$A$1:$E$136,4,FALSE),"")</f>
        <v/>
      </c>
      <c r="H55" s="95" t="str">
        <f>IFERROR(VLOOKUP(A55,[2]wms_lc_f!$A$1:$B$156,2,FALSE),"")</f>
        <v/>
      </c>
    </row>
    <row r="56" spans="1:8" hidden="1">
      <c r="A56" s="77"/>
      <c r="B56" s="69" t="s">
        <v>2609</v>
      </c>
      <c r="C56" s="70" t="s">
        <v>236</v>
      </c>
      <c r="D56" s="70" t="s">
        <v>2610</v>
      </c>
      <c r="E56" s="72" t="s">
        <v>2611</v>
      </c>
      <c r="F56" s="70"/>
      <c r="G56" s="70" t="str">
        <f>IFERROR(VLOOKUP(A56,[1]wms_iv_f!$A$1:$E$136,4,FALSE),"")</f>
        <v/>
      </c>
      <c r="H56" s="95" t="str">
        <f>IFERROR(VLOOKUP(A56,[2]wms_lc_f!$A$1:$B$156,2,FALSE),"")</f>
        <v/>
      </c>
    </row>
    <row r="57" spans="1:8" hidden="1">
      <c r="A57" s="77"/>
      <c r="B57" s="69" t="s">
        <v>2609</v>
      </c>
      <c r="C57" s="70" t="s">
        <v>235</v>
      </c>
      <c r="D57" s="70" t="s">
        <v>2610</v>
      </c>
      <c r="E57" s="72" t="s">
        <v>2611</v>
      </c>
      <c r="F57" s="70"/>
      <c r="G57" s="70" t="str">
        <f>IFERROR(VLOOKUP(A57,[1]wms_iv_f!$A$1:$E$136,4,FALSE),"")</f>
        <v/>
      </c>
      <c r="H57" s="95" t="str">
        <f>IFERROR(VLOOKUP(A57,[2]wms_lc_f!$A$1:$B$156,2,FALSE),"")</f>
        <v/>
      </c>
    </row>
    <row r="58" spans="1:8" hidden="1">
      <c r="A58" s="77"/>
      <c r="B58" s="69" t="s">
        <v>2609</v>
      </c>
      <c r="C58" s="70" t="s">
        <v>234</v>
      </c>
      <c r="D58" s="70" t="s">
        <v>2610</v>
      </c>
      <c r="E58" s="72" t="s">
        <v>2611</v>
      </c>
      <c r="F58" s="70"/>
      <c r="G58" s="70" t="str">
        <f>IFERROR(VLOOKUP(A58,[1]wms_iv_f!$A$1:$E$136,4,FALSE),"")</f>
        <v/>
      </c>
      <c r="H58" s="95" t="str">
        <f>IFERROR(VLOOKUP(A58,[2]wms_lc_f!$A$1:$B$156,2,FALSE),"")</f>
        <v/>
      </c>
    </row>
    <row r="59" spans="1:8" hidden="1">
      <c r="A59" s="77"/>
      <c r="B59" s="69" t="s">
        <v>2609</v>
      </c>
      <c r="C59" s="70" t="s">
        <v>233</v>
      </c>
      <c r="D59" s="70" t="s">
        <v>2610</v>
      </c>
      <c r="E59" s="72" t="s">
        <v>2611</v>
      </c>
      <c r="F59" s="70"/>
      <c r="G59" s="70" t="str">
        <f>IFERROR(VLOOKUP(A59,[1]wms_iv_f!$A$1:$E$136,4,FALSE),"")</f>
        <v/>
      </c>
      <c r="H59" s="95" t="str">
        <f>IFERROR(VLOOKUP(A59,[2]wms_lc_f!$A$1:$B$156,2,FALSE),"")</f>
        <v/>
      </c>
    </row>
    <row r="60" spans="1:8" hidden="1">
      <c r="A60" s="77"/>
      <c r="B60" s="69" t="s">
        <v>2609</v>
      </c>
      <c r="C60" s="70" t="s">
        <v>232</v>
      </c>
      <c r="D60" s="70" t="s">
        <v>2610</v>
      </c>
      <c r="E60" s="72" t="s">
        <v>2611</v>
      </c>
      <c r="F60" s="70"/>
      <c r="G60" s="70" t="str">
        <f>IFERROR(VLOOKUP(A60,[1]wms_iv_f!$A$1:$E$136,4,FALSE),"")</f>
        <v/>
      </c>
      <c r="H60" s="95" t="str">
        <f>IFERROR(VLOOKUP(A60,[2]wms_lc_f!$A$1:$B$156,2,FALSE),"")</f>
        <v/>
      </c>
    </row>
    <row r="61" spans="1:8" hidden="1">
      <c r="A61" s="77"/>
      <c r="B61" s="69" t="s">
        <v>2609</v>
      </c>
      <c r="C61" s="70" t="s">
        <v>231</v>
      </c>
      <c r="D61" s="70" t="s">
        <v>2610</v>
      </c>
      <c r="E61" s="72" t="s">
        <v>2611</v>
      </c>
      <c r="F61" s="70"/>
      <c r="G61" s="70" t="str">
        <f>IFERROR(VLOOKUP(A61,[1]wms_iv_f!$A$1:$E$136,4,FALSE),"")</f>
        <v/>
      </c>
      <c r="H61" s="95" t="str">
        <f>IFERROR(VLOOKUP(A61,[2]wms_lc_f!$A$1:$B$156,2,FALSE),"")</f>
        <v/>
      </c>
    </row>
    <row r="62" spans="1:8" hidden="1">
      <c r="A62" s="77"/>
      <c r="B62" s="69" t="s">
        <v>2609</v>
      </c>
      <c r="C62" s="70" t="s">
        <v>129</v>
      </c>
      <c r="D62" s="70" t="s">
        <v>2610</v>
      </c>
      <c r="E62" s="72" t="s">
        <v>2611</v>
      </c>
      <c r="F62" s="70"/>
      <c r="G62" s="70" t="str">
        <f>IFERROR(VLOOKUP(A62,[1]wms_iv_f!$A$1:$E$136,4,FALSE),"")</f>
        <v/>
      </c>
      <c r="H62" s="95" t="str">
        <f>IFERROR(VLOOKUP(A62,[2]wms_lc_f!$A$1:$B$156,2,FALSE),"")</f>
        <v/>
      </c>
    </row>
    <row r="63" spans="1:8" hidden="1">
      <c r="A63" s="77"/>
      <c r="B63" s="69" t="s">
        <v>2609</v>
      </c>
      <c r="C63" s="70" t="s">
        <v>128</v>
      </c>
      <c r="D63" s="70" t="s">
        <v>2610</v>
      </c>
      <c r="E63" s="72" t="s">
        <v>2611</v>
      </c>
      <c r="F63" s="70"/>
      <c r="G63" s="70" t="str">
        <f>IFERROR(VLOOKUP(A63,[1]wms_iv_f!$A$1:$E$136,4,FALSE),"")</f>
        <v/>
      </c>
      <c r="H63" s="95" t="str">
        <f>IFERROR(VLOOKUP(A63,[2]wms_lc_f!$A$1:$B$156,2,FALSE),"")</f>
        <v/>
      </c>
    </row>
    <row r="64" spans="1:8" hidden="1">
      <c r="A64" s="77"/>
      <c r="B64" s="69" t="s">
        <v>2609</v>
      </c>
      <c r="C64" s="70" t="s">
        <v>127</v>
      </c>
      <c r="D64" s="70" t="s">
        <v>2610</v>
      </c>
      <c r="E64" s="72" t="s">
        <v>2611</v>
      </c>
      <c r="F64" s="70"/>
      <c r="G64" s="70" t="str">
        <f>IFERROR(VLOOKUP(A64,[1]wms_iv_f!$A$1:$E$136,4,FALSE),"")</f>
        <v/>
      </c>
      <c r="H64" s="95" t="str">
        <f>IFERROR(VLOOKUP(A64,[2]wms_lc_f!$A$1:$B$156,2,FALSE),"")</f>
        <v/>
      </c>
    </row>
    <row r="65" spans="1:8" hidden="1">
      <c r="A65" s="87"/>
      <c r="B65" s="69" t="s">
        <v>2609</v>
      </c>
      <c r="C65" s="70" t="s">
        <v>126</v>
      </c>
      <c r="D65" s="70" t="s">
        <v>2610</v>
      </c>
      <c r="E65" s="72" t="s">
        <v>2611</v>
      </c>
      <c r="F65" s="70"/>
      <c r="G65" s="70" t="str">
        <f>IFERROR(VLOOKUP(A65,[1]wms_iv_f!$A$1:$E$136,4,FALSE),"")</f>
        <v/>
      </c>
      <c r="H65" s="95" t="str">
        <f>IFERROR(VLOOKUP(A65,[2]wms_lc_f!$A$1:$B$156,2,FALSE),"")</f>
        <v/>
      </c>
    </row>
    <row r="66" spans="1:8" hidden="1">
      <c r="A66" s="87"/>
      <c r="B66" s="69" t="s">
        <v>2609</v>
      </c>
      <c r="C66" s="70" t="s">
        <v>125</v>
      </c>
      <c r="D66" s="70" t="s">
        <v>2610</v>
      </c>
      <c r="E66" s="72" t="s">
        <v>2611</v>
      </c>
      <c r="F66" s="70"/>
      <c r="G66" s="70" t="str">
        <f>IFERROR(VLOOKUP(A66,[1]wms_iv_f!$A$1:$E$136,4,FALSE),"")</f>
        <v/>
      </c>
      <c r="H66" s="95" t="str">
        <f>IFERROR(VLOOKUP(A66,[2]wms_lc_f!$A$1:$B$156,2,FALSE),"")</f>
        <v/>
      </c>
    </row>
    <row r="67" spans="1:8" hidden="1">
      <c r="A67" s="87"/>
      <c r="B67" s="69" t="s">
        <v>2609</v>
      </c>
      <c r="C67" s="70" t="s">
        <v>124</v>
      </c>
      <c r="D67" s="70" t="s">
        <v>2610</v>
      </c>
      <c r="E67" s="72" t="s">
        <v>2611</v>
      </c>
      <c r="F67" s="70"/>
      <c r="G67" s="70" t="str">
        <f>IFERROR(VLOOKUP(A67,[1]wms_iv_f!$A$1:$E$136,4,FALSE),"")</f>
        <v/>
      </c>
      <c r="H67" s="95" t="str">
        <f>IFERROR(VLOOKUP(A67,[2]wms_lc_f!$A$1:$B$156,2,FALSE),"")</f>
        <v/>
      </c>
    </row>
    <row r="68" spans="1:8" hidden="1">
      <c r="A68" s="77"/>
      <c r="B68" s="69" t="s">
        <v>2609</v>
      </c>
      <c r="C68" s="70" t="s">
        <v>20</v>
      </c>
      <c r="D68" s="70" t="s">
        <v>2610</v>
      </c>
      <c r="E68" s="72" t="s">
        <v>2611</v>
      </c>
      <c r="F68" s="70"/>
      <c r="G68" s="70" t="str">
        <f>IFERROR(VLOOKUP(A68,[1]wms_iv_f!$A$1:$E$136,4,FALSE),"")</f>
        <v/>
      </c>
      <c r="H68" s="95" t="str">
        <f>IFERROR(VLOOKUP(A68,[2]wms_lc_f!$A$1:$B$156,2,FALSE),"")</f>
        <v/>
      </c>
    </row>
    <row r="69" spans="1:8" hidden="1">
      <c r="A69" s="77"/>
      <c r="B69" s="69" t="s">
        <v>2609</v>
      </c>
      <c r="C69" s="70" t="s">
        <v>19</v>
      </c>
      <c r="D69" s="70" t="s">
        <v>2610</v>
      </c>
      <c r="E69" s="72" t="s">
        <v>2611</v>
      </c>
      <c r="F69" s="70"/>
      <c r="G69" s="70" t="str">
        <f>IFERROR(VLOOKUP(A69,[1]wms_iv_f!$A$1:$E$136,4,FALSE),"")</f>
        <v/>
      </c>
      <c r="H69" s="95" t="str">
        <f>IFERROR(VLOOKUP(A69,[2]wms_lc_f!$A$1:$B$156,2,FALSE),"")</f>
        <v/>
      </c>
    </row>
    <row r="70" spans="1:8" hidden="1">
      <c r="A70" s="77"/>
      <c r="B70" s="69" t="s">
        <v>2609</v>
      </c>
      <c r="C70" s="70" t="s">
        <v>18</v>
      </c>
      <c r="D70" s="70" t="s">
        <v>2610</v>
      </c>
      <c r="E70" s="72" t="s">
        <v>2611</v>
      </c>
      <c r="F70" s="70"/>
      <c r="G70" s="70" t="str">
        <f>IFERROR(VLOOKUP(A70,[1]wms_iv_f!$A$1:$E$136,4,FALSE),"")</f>
        <v/>
      </c>
      <c r="H70" s="95" t="str">
        <f>IFERROR(VLOOKUP(A70,[2]wms_lc_f!$A$1:$B$156,2,FALSE),"")</f>
        <v/>
      </c>
    </row>
    <row r="71" spans="1:8" hidden="1">
      <c r="A71" s="77"/>
      <c r="B71" s="69" t="s">
        <v>2609</v>
      </c>
      <c r="C71" s="70" t="s">
        <v>17</v>
      </c>
      <c r="D71" s="70" t="s">
        <v>2610</v>
      </c>
      <c r="E71" s="72" t="s">
        <v>2611</v>
      </c>
      <c r="F71" s="70"/>
      <c r="G71" s="70" t="str">
        <f>IFERROR(VLOOKUP(A71,[1]wms_iv_f!$A$1:$E$136,4,FALSE),"")</f>
        <v/>
      </c>
      <c r="H71" s="95" t="str">
        <f>IFERROR(VLOOKUP(A71,[2]wms_lc_f!$A$1:$B$156,2,FALSE),"")</f>
        <v/>
      </c>
    </row>
    <row r="72" spans="1:8" hidden="1">
      <c r="A72" s="77"/>
      <c r="B72" s="69" t="s">
        <v>2609</v>
      </c>
      <c r="C72" s="70" t="s">
        <v>16</v>
      </c>
      <c r="D72" s="70" t="s">
        <v>2610</v>
      </c>
      <c r="E72" s="72" t="s">
        <v>2611</v>
      </c>
      <c r="F72" s="70"/>
      <c r="G72" s="70" t="str">
        <f>IFERROR(VLOOKUP(A72,[1]wms_iv_f!$A$1:$E$136,4,FALSE),"")</f>
        <v/>
      </c>
      <c r="H72" s="95" t="str">
        <f>IFERROR(VLOOKUP(A72,[2]wms_lc_f!$A$1:$B$156,2,FALSE),"")</f>
        <v/>
      </c>
    </row>
    <row r="73" spans="1:8" hidden="1">
      <c r="A73" s="77"/>
      <c r="B73" s="69" t="s">
        <v>2609</v>
      </c>
      <c r="C73" s="70" t="s">
        <v>15</v>
      </c>
      <c r="D73" s="70" t="s">
        <v>2610</v>
      </c>
      <c r="E73" s="72" t="s">
        <v>2611</v>
      </c>
      <c r="F73" s="70"/>
      <c r="G73" s="70" t="str">
        <f>IFERROR(VLOOKUP(A73,[1]wms_iv_f!$A$1:$E$136,4,FALSE),"")</f>
        <v/>
      </c>
      <c r="H73" s="95" t="str">
        <f>IFERROR(VLOOKUP(A73,[2]wms_lc_f!$A$1:$B$156,2,FALSE),"")</f>
        <v/>
      </c>
    </row>
    <row r="74" spans="1:8" hidden="1">
      <c r="A74" s="77"/>
      <c r="B74" s="69" t="s">
        <v>2609</v>
      </c>
      <c r="C74" s="70" t="s">
        <v>230</v>
      </c>
      <c r="D74" s="70" t="s">
        <v>2610</v>
      </c>
      <c r="E74" s="72" t="s">
        <v>2611</v>
      </c>
      <c r="F74" s="70"/>
      <c r="G74" s="70" t="str">
        <f>IFERROR(VLOOKUP(A74,[1]wms_iv_f!$A$1:$E$136,4,FALSE),"")</f>
        <v/>
      </c>
      <c r="H74" s="95" t="str">
        <f>IFERROR(VLOOKUP(A74,[2]wms_lc_f!$A$1:$B$156,2,FALSE),"")</f>
        <v/>
      </c>
    </row>
    <row r="75" spans="1:8" hidden="1">
      <c r="A75" s="77"/>
      <c r="B75" s="69" t="s">
        <v>2609</v>
      </c>
      <c r="C75" s="70" t="s">
        <v>229</v>
      </c>
      <c r="D75" s="70" t="s">
        <v>2610</v>
      </c>
      <c r="E75" s="72" t="s">
        <v>2611</v>
      </c>
      <c r="F75" s="70"/>
      <c r="G75" s="70" t="str">
        <f>IFERROR(VLOOKUP(A75,[1]wms_iv_f!$A$1:$E$136,4,FALSE),"")</f>
        <v/>
      </c>
      <c r="H75" s="95" t="str">
        <f>IFERROR(VLOOKUP(A75,[2]wms_lc_f!$A$1:$B$156,2,FALSE),"")</f>
        <v/>
      </c>
    </row>
    <row r="76" spans="1:8" hidden="1">
      <c r="A76" s="77"/>
      <c r="B76" s="69" t="s">
        <v>2609</v>
      </c>
      <c r="C76" s="70" t="s">
        <v>228</v>
      </c>
      <c r="D76" s="70" t="s">
        <v>2610</v>
      </c>
      <c r="E76" s="72" t="s">
        <v>2611</v>
      </c>
      <c r="F76" s="70"/>
      <c r="G76" s="70" t="str">
        <f>IFERROR(VLOOKUP(A76,[1]wms_iv_f!$A$1:$E$136,4,FALSE),"")</f>
        <v/>
      </c>
      <c r="H76" s="95" t="str">
        <f>IFERROR(VLOOKUP(A76,[2]wms_lc_f!$A$1:$B$156,2,FALSE),"")</f>
        <v/>
      </c>
    </row>
    <row r="77" spans="1:8" hidden="1">
      <c r="A77" s="77"/>
      <c r="B77" s="69" t="s">
        <v>2609</v>
      </c>
      <c r="C77" s="70" t="s">
        <v>227</v>
      </c>
      <c r="D77" s="70" t="s">
        <v>2610</v>
      </c>
      <c r="E77" s="72" t="s">
        <v>2611</v>
      </c>
      <c r="F77" s="70"/>
      <c r="G77" s="70" t="str">
        <f>IFERROR(VLOOKUP(A77,[1]wms_iv_f!$A$1:$E$136,4,FALSE),"")</f>
        <v/>
      </c>
      <c r="H77" s="95" t="str">
        <f>IFERROR(VLOOKUP(A77,[2]wms_lc_f!$A$1:$B$156,2,FALSE),"")</f>
        <v/>
      </c>
    </row>
    <row r="78" spans="1:8" hidden="1">
      <c r="A78" s="77"/>
      <c r="B78" s="69" t="s">
        <v>2609</v>
      </c>
      <c r="C78" s="70" t="s">
        <v>226</v>
      </c>
      <c r="D78" s="70" t="s">
        <v>2610</v>
      </c>
      <c r="E78" s="72" t="s">
        <v>2611</v>
      </c>
      <c r="F78" s="70"/>
      <c r="G78" s="70" t="str">
        <f>IFERROR(VLOOKUP(A78,[1]wms_iv_f!$A$1:$E$136,4,FALSE),"")</f>
        <v/>
      </c>
      <c r="H78" s="95" t="str">
        <f>IFERROR(VLOOKUP(A78,[2]wms_lc_f!$A$1:$B$156,2,FALSE),"")</f>
        <v/>
      </c>
    </row>
    <row r="79" spans="1:8" hidden="1">
      <c r="A79" s="77"/>
      <c r="B79" s="69" t="s">
        <v>2609</v>
      </c>
      <c r="C79" s="70" t="s">
        <v>123</v>
      </c>
      <c r="D79" s="70" t="s">
        <v>2610</v>
      </c>
      <c r="E79" s="72" t="s">
        <v>2611</v>
      </c>
      <c r="F79" s="70"/>
      <c r="G79" s="70" t="str">
        <f>IFERROR(VLOOKUP(A79,[1]wms_iv_f!$A$1:$E$136,4,FALSE),"")</f>
        <v/>
      </c>
      <c r="H79" s="95" t="str">
        <f>IFERROR(VLOOKUP(A79,[2]wms_lc_f!$A$1:$B$156,2,FALSE),"")</f>
        <v/>
      </c>
    </row>
    <row r="80" spans="1:8" hidden="1">
      <c r="A80" s="77"/>
      <c r="B80" s="69" t="s">
        <v>2609</v>
      </c>
      <c r="C80" s="70" t="s">
        <v>122</v>
      </c>
      <c r="D80" s="70" t="s">
        <v>2610</v>
      </c>
      <c r="E80" s="72" t="s">
        <v>2611</v>
      </c>
      <c r="F80" s="70"/>
      <c r="G80" s="70" t="str">
        <f>IFERROR(VLOOKUP(A80,[1]wms_iv_f!$A$1:$E$136,4,FALSE),"")</f>
        <v/>
      </c>
      <c r="H80" s="95" t="str">
        <f>IFERROR(VLOOKUP(A80,[2]wms_lc_f!$A$1:$B$156,2,FALSE),"")</f>
        <v/>
      </c>
    </row>
    <row r="81" spans="1:8" hidden="1">
      <c r="A81" s="87"/>
      <c r="B81" s="69" t="s">
        <v>2609</v>
      </c>
      <c r="C81" s="70" t="s">
        <v>121</v>
      </c>
      <c r="D81" s="70" t="s">
        <v>2610</v>
      </c>
      <c r="E81" s="72" t="s">
        <v>2611</v>
      </c>
      <c r="F81" s="70"/>
      <c r="G81" s="70" t="str">
        <f>IFERROR(VLOOKUP(A81,[1]wms_iv_f!$A$1:$E$136,4,FALSE),"")</f>
        <v/>
      </c>
      <c r="H81" s="95" t="str">
        <f>IFERROR(VLOOKUP(A81,[2]wms_lc_f!$A$1:$B$156,2,FALSE),"")</f>
        <v/>
      </c>
    </row>
    <row r="82" spans="1:8" hidden="1">
      <c r="A82" s="77"/>
      <c r="B82" s="69" t="s">
        <v>2609</v>
      </c>
      <c r="C82" s="70" t="s">
        <v>120</v>
      </c>
      <c r="D82" s="70" t="s">
        <v>2610</v>
      </c>
      <c r="E82" s="72" t="s">
        <v>2611</v>
      </c>
      <c r="F82" s="70"/>
      <c r="G82" s="70" t="str">
        <f>IFERROR(VLOOKUP(A82,[1]wms_iv_f!$A$1:$E$136,4,FALSE),"")</f>
        <v/>
      </c>
      <c r="H82" s="95" t="str">
        <f>IFERROR(VLOOKUP(A82,[2]wms_lc_f!$A$1:$B$156,2,FALSE),"")</f>
        <v/>
      </c>
    </row>
    <row r="83" spans="1:8" hidden="1">
      <c r="A83" s="86"/>
      <c r="B83" s="69" t="s">
        <v>2609</v>
      </c>
      <c r="C83" s="70" t="s">
        <v>119</v>
      </c>
      <c r="D83" s="70" t="s">
        <v>2610</v>
      </c>
      <c r="E83" s="72" t="s">
        <v>2611</v>
      </c>
      <c r="F83" s="70"/>
      <c r="G83" s="70" t="str">
        <f>IFERROR(VLOOKUP(A83,[1]wms_iv_f!$A$1:$E$136,4,FALSE),"")</f>
        <v/>
      </c>
      <c r="H83" s="95" t="str">
        <f>IFERROR(VLOOKUP(A83,[2]wms_lc_f!$A$1:$B$156,2,FALSE),"")</f>
        <v/>
      </c>
    </row>
    <row r="84" spans="1:8" hidden="1">
      <c r="A84" s="87"/>
      <c r="B84" s="69" t="s">
        <v>2609</v>
      </c>
      <c r="C84" s="70" t="s">
        <v>14</v>
      </c>
      <c r="D84" s="70" t="s">
        <v>2610</v>
      </c>
      <c r="E84" s="72" t="s">
        <v>2611</v>
      </c>
      <c r="F84" s="70"/>
      <c r="G84" s="70" t="str">
        <f>IFERROR(VLOOKUP(A84,[1]wms_iv_f!$A$1:$E$136,4,FALSE),"")</f>
        <v/>
      </c>
      <c r="H84" s="95" t="str">
        <f>IFERROR(VLOOKUP(A84,[2]wms_lc_f!$A$1:$B$156,2,FALSE),"")</f>
        <v/>
      </c>
    </row>
    <row r="85" spans="1:8" hidden="1">
      <c r="A85" s="87"/>
      <c r="B85" s="69" t="s">
        <v>2609</v>
      </c>
      <c r="C85" s="70" t="s">
        <v>12</v>
      </c>
      <c r="D85" s="70" t="s">
        <v>2610</v>
      </c>
      <c r="E85" s="72" t="s">
        <v>2611</v>
      </c>
      <c r="F85" s="70"/>
      <c r="G85" s="70" t="str">
        <f>IFERROR(VLOOKUP(A85,[1]wms_iv_f!$A$1:$E$136,4,FALSE),"")</f>
        <v/>
      </c>
      <c r="H85" s="95" t="str">
        <f>IFERROR(VLOOKUP(A85,[2]wms_lc_f!$A$1:$B$156,2,FALSE),"")</f>
        <v/>
      </c>
    </row>
    <row r="86" spans="1:8" hidden="1">
      <c r="A86" s="93"/>
      <c r="B86" s="69" t="s">
        <v>2609</v>
      </c>
      <c r="C86" s="70" t="s">
        <v>11</v>
      </c>
      <c r="D86" s="70" t="s">
        <v>2610</v>
      </c>
      <c r="E86" s="72" t="s">
        <v>2611</v>
      </c>
      <c r="F86" s="70"/>
      <c r="G86" s="70" t="str">
        <f>IFERROR(VLOOKUP(A86,[1]wms_iv_f!$A$1:$E$136,4,FALSE),"")</f>
        <v/>
      </c>
      <c r="H86" s="95" t="str">
        <f>IFERROR(VLOOKUP(A86,[2]wms_lc_f!$A$1:$B$156,2,FALSE),"")</f>
        <v/>
      </c>
    </row>
    <row r="87" spans="1:8" hidden="1">
      <c r="A87" s="77"/>
      <c r="B87" s="69" t="s">
        <v>2609</v>
      </c>
      <c r="C87" s="70" t="s">
        <v>10</v>
      </c>
      <c r="D87" s="70" t="s">
        <v>2610</v>
      </c>
      <c r="E87" s="72" t="s">
        <v>2611</v>
      </c>
      <c r="F87" s="70"/>
      <c r="G87" s="70" t="str">
        <f>IFERROR(VLOOKUP(A87,[1]wms_iv_f!$A$1:$E$136,4,FALSE),"")</f>
        <v/>
      </c>
      <c r="H87" s="95" t="str">
        <f>IFERROR(VLOOKUP(A87,[2]wms_lc_f!$A$1:$B$156,2,FALSE),"")</f>
        <v/>
      </c>
    </row>
    <row r="88" spans="1:8" hidden="1">
      <c r="A88" s="77"/>
      <c r="B88" s="69" t="s">
        <v>2609</v>
      </c>
      <c r="C88" s="70" t="s">
        <v>9</v>
      </c>
      <c r="D88" s="70" t="s">
        <v>2610</v>
      </c>
      <c r="E88" s="72" t="s">
        <v>2611</v>
      </c>
      <c r="F88" s="70"/>
      <c r="G88" s="70" t="str">
        <f>IFERROR(VLOOKUP(A88,[1]wms_iv_f!$A$1:$E$136,4,FALSE),"")</f>
        <v/>
      </c>
      <c r="H88" s="95" t="str">
        <f>IFERROR(VLOOKUP(A88,[2]wms_lc_f!$A$1:$B$156,2,FALSE),"")</f>
        <v/>
      </c>
    </row>
    <row r="89" spans="1:8" hidden="1">
      <c r="A89" s="77"/>
      <c r="B89" s="69" t="s">
        <v>2609</v>
      </c>
      <c r="C89" s="70" t="s">
        <v>225</v>
      </c>
      <c r="D89" s="70" t="s">
        <v>2610</v>
      </c>
      <c r="E89" s="72" t="s">
        <v>2611</v>
      </c>
      <c r="F89" s="70"/>
      <c r="G89" s="70" t="str">
        <f>IFERROR(VLOOKUP(A89,[1]wms_iv_f!$A$1:$E$136,4,FALSE),"")</f>
        <v/>
      </c>
      <c r="H89" s="95" t="str">
        <f>IFERROR(VLOOKUP(A89,[2]wms_lc_f!$A$1:$B$156,2,FALSE),"")</f>
        <v/>
      </c>
    </row>
    <row r="90" spans="1:8" hidden="1">
      <c r="A90" s="77"/>
      <c r="B90" s="69" t="s">
        <v>2609</v>
      </c>
      <c r="C90" s="70" t="s">
        <v>223</v>
      </c>
      <c r="D90" s="70" t="s">
        <v>2610</v>
      </c>
      <c r="E90" s="72" t="s">
        <v>2611</v>
      </c>
      <c r="F90" s="70"/>
      <c r="G90" s="70" t="str">
        <f>IFERROR(VLOOKUP(A90,[1]wms_iv_f!$A$1:$E$136,4,FALSE),"")</f>
        <v/>
      </c>
      <c r="H90" s="95" t="str">
        <f>IFERROR(VLOOKUP(A90,[2]wms_lc_f!$A$1:$B$156,2,FALSE),"")</f>
        <v/>
      </c>
    </row>
    <row r="91" spans="1:8" hidden="1">
      <c r="A91" s="87"/>
      <c r="B91" s="69" t="s">
        <v>2609</v>
      </c>
      <c r="C91" s="70" t="s">
        <v>222</v>
      </c>
      <c r="D91" s="70" t="s">
        <v>2610</v>
      </c>
      <c r="E91" s="72" t="s">
        <v>2611</v>
      </c>
      <c r="F91" s="70"/>
      <c r="G91" s="70" t="str">
        <f>IFERROR(VLOOKUP(A91,[1]wms_iv_f!$A$1:$E$136,4,FALSE),"")</f>
        <v/>
      </c>
      <c r="H91" s="95" t="str">
        <f>IFERROR(VLOOKUP(A91,[2]wms_lc_f!$A$1:$B$156,2,FALSE),"")</f>
        <v/>
      </c>
    </row>
    <row r="92" spans="1:8" hidden="1">
      <c r="A92" s="77"/>
      <c r="B92" s="69" t="s">
        <v>2609</v>
      </c>
      <c r="C92" s="70" t="s">
        <v>221</v>
      </c>
      <c r="D92" s="70" t="s">
        <v>2610</v>
      </c>
      <c r="E92" s="72" t="s">
        <v>2611</v>
      </c>
      <c r="F92" s="70"/>
      <c r="G92" s="70" t="str">
        <f>IFERROR(VLOOKUP(A92,[1]wms_iv_f!$A$1:$E$136,4,FALSE),"")</f>
        <v/>
      </c>
      <c r="H92" s="95" t="str">
        <f>IFERROR(VLOOKUP(A92,[2]wms_lc_f!$A$1:$B$156,2,FALSE),"")</f>
        <v/>
      </c>
    </row>
    <row r="93" spans="1:8" hidden="1">
      <c r="A93" s="77"/>
      <c r="B93" s="69" t="s">
        <v>2609</v>
      </c>
      <c r="C93" s="70" t="s">
        <v>220</v>
      </c>
      <c r="D93" s="70" t="s">
        <v>2610</v>
      </c>
      <c r="E93" s="72" t="s">
        <v>2611</v>
      </c>
      <c r="F93" s="70"/>
      <c r="G93" s="70" t="str">
        <f>IFERROR(VLOOKUP(A93,[1]wms_iv_f!$A$1:$E$136,4,FALSE),"")</f>
        <v/>
      </c>
      <c r="H93" s="95" t="str">
        <f>IFERROR(VLOOKUP(A93,[2]wms_lc_f!$A$1:$B$156,2,FALSE),"")</f>
        <v/>
      </c>
    </row>
    <row r="94" spans="1:8" hidden="1">
      <c r="A94" s="77"/>
      <c r="B94" s="69" t="s">
        <v>2609</v>
      </c>
      <c r="C94" s="70" t="s">
        <v>118</v>
      </c>
      <c r="D94" s="70" t="s">
        <v>2610</v>
      </c>
      <c r="E94" s="72" t="s">
        <v>2611</v>
      </c>
      <c r="F94" s="70"/>
      <c r="G94" s="70" t="str">
        <f>IFERROR(VLOOKUP(A94,[1]wms_iv_f!$A$1:$E$136,4,FALSE),"")</f>
        <v/>
      </c>
      <c r="H94" s="95" t="str">
        <f>IFERROR(VLOOKUP(A94,[2]wms_lc_f!$A$1:$B$156,2,FALSE),"")</f>
        <v/>
      </c>
    </row>
    <row r="95" spans="1:8" hidden="1">
      <c r="A95" s="77"/>
      <c r="B95" s="69" t="s">
        <v>2609</v>
      </c>
      <c r="C95" s="70" t="s">
        <v>116</v>
      </c>
      <c r="D95" s="70" t="s">
        <v>2610</v>
      </c>
      <c r="E95" s="72" t="s">
        <v>2611</v>
      </c>
      <c r="F95" s="70"/>
      <c r="G95" s="70" t="str">
        <f>IFERROR(VLOOKUP(A95,[1]wms_iv_f!$A$1:$E$136,4,FALSE),"")</f>
        <v/>
      </c>
      <c r="H95" s="95" t="str">
        <f>IFERROR(VLOOKUP(A95,[2]wms_lc_f!$A$1:$B$156,2,FALSE),"")</f>
        <v/>
      </c>
    </row>
    <row r="96" spans="1:8" hidden="1">
      <c r="A96" s="77"/>
      <c r="B96" s="69" t="s">
        <v>2609</v>
      </c>
      <c r="C96" s="70" t="s">
        <v>115</v>
      </c>
      <c r="D96" s="70" t="s">
        <v>2610</v>
      </c>
      <c r="E96" s="72" t="s">
        <v>2611</v>
      </c>
      <c r="F96" s="70"/>
      <c r="G96" s="70" t="str">
        <f>IFERROR(VLOOKUP(A96,[1]wms_iv_f!$A$1:$E$136,4,FALSE),"")</f>
        <v/>
      </c>
      <c r="H96" s="95" t="str">
        <f>IFERROR(VLOOKUP(A96,[2]wms_lc_f!$A$1:$B$156,2,FALSE),"")</f>
        <v/>
      </c>
    </row>
    <row r="97" spans="1:8" hidden="1">
      <c r="A97" s="77"/>
      <c r="B97" s="69" t="s">
        <v>2609</v>
      </c>
      <c r="C97" s="70" t="s">
        <v>114</v>
      </c>
      <c r="D97" s="70" t="s">
        <v>2610</v>
      </c>
      <c r="E97" s="72" t="s">
        <v>2611</v>
      </c>
      <c r="F97" s="70"/>
      <c r="G97" s="70" t="str">
        <f>IFERROR(VLOOKUP(A97,[1]wms_iv_f!$A$1:$E$136,4,FALSE),"")</f>
        <v/>
      </c>
      <c r="H97" s="95" t="str">
        <f>IFERROR(VLOOKUP(A97,[2]wms_lc_f!$A$1:$B$156,2,FALSE),"")</f>
        <v/>
      </c>
    </row>
    <row r="98" spans="1:8" hidden="1">
      <c r="A98" s="86"/>
      <c r="B98" s="69" t="s">
        <v>2609</v>
      </c>
      <c r="C98" s="70" t="s">
        <v>113</v>
      </c>
      <c r="D98" s="70" t="s">
        <v>2610</v>
      </c>
      <c r="E98" s="72" t="s">
        <v>2611</v>
      </c>
      <c r="F98" s="70"/>
      <c r="G98" s="70" t="str">
        <f>IFERROR(VLOOKUP(A98,[1]wms_iv_f!$A$1:$E$136,4,FALSE),"")</f>
        <v/>
      </c>
      <c r="H98" s="95" t="str">
        <f>IFERROR(VLOOKUP(A98,[2]wms_lc_f!$A$1:$B$156,2,FALSE),"")</f>
        <v/>
      </c>
    </row>
    <row r="99" spans="1:8" hidden="1">
      <c r="A99" s="87"/>
      <c r="B99" s="69" t="s">
        <v>2609</v>
      </c>
      <c r="C99" s="92" t="s">
        <v>8</v>
      </c>
      <c r="D99" s="88" t="s">
        <v>2610</v>
      </c>
      <c r="E99" s="72" t="s">
        <v>2611</v>
      </c>
      <c r="F99" s="70"/>
      <c r="G99" s="70" t="str">
        <f>IFERROR(VLOOKUP(A99,[1]wms_iv_f!$A$1:$E$136,4,FALSE),"")</f>
        <v/>
      </c>
      <c r="H99" s="95" t="str">
        <f>IFERROR(VLOOKUP(A99,[2]wms_lc_f!$A$1:$B$156,2,FALSE),"")</f>
        <v/>
      </c>
    </row>
    <row r="100" spans="1:8" hidden="1">
      <c r="A100" s="77"/>
      <c r="B100" s="69" t="s">
        <v>2609</v>
      </c>
      <c r="C100" s="70" t="s">
        <v>6</v>
      </c>
      <c r="D100" s="70" t="s">
        <v>2610</v>
      </c>
      <c r="E100" s="72" t="s">
        <v>2611</v>
      </c>
      <c r="F100" s="70"/>
      <c r="G100" s="70" t="str">
        <f>IFERROR(VLOOKUP(A100,[1]wms_iv_f!$A$1:$E$136,4,FALSE),"")</f>
        <v/>
      </c>
      <c r="H100" s="95" t="str">
        <f>IFERROR(VLOOKUP(A100,[2]wms_lc_f!$A$1:$B$156,2,FALSE),"")</f>
        <v/>
      </c>
    </row>
    <row r="101" spans="1:8" hidden="1">
      <c r="A101" s="77"/>
      <c r="B101" s="69" t="s">
        <v>2609</v>
      </c>
      <c r="C101" s="70" t="s">
        <v>5</v>
      </c>
      <c r="D101" s="70" t="s">
        <v>2610</v>
      </c>
      <c r="E101" s="72" t="s">
        <v>2611</v>
      </c>
      <c r="F101" s="70"/>
      <c r="G101" s="70" t="str">
        <f>IFERROR(VLOOKUP(A101,[1]wms_iv_f!$A$1:$E$136,4,FALSE),"")</f>
        <v/>
      </c>
      <c r="H101" s="95" t="str">
        <f>IFERROR(VLOOKUP(A101,[2]wms_lc_f!$A$1:$B$156,2,FALSE),"")</f>
        <v/>
      </c>
    </row>
    <row r="102" spans="1:8" hidden="1">
      <c r="A102" s="77"/>
      <c r="B102" s="69" t="s">
        <v>2609</v>
      </c>
      <c r="C102" s="70" t="s">
        <v>4</v>
      </c>
      <c r="D102" s="70" t="s">
        <v>2610</v>
      </c>
      <c r="E102" s="72" t="s">
        <v>2611</v>
      </c>
      <c r="F102" s="70"/>
      <c r="G102" s="70" t="str">
        <f>IFERROR(VLOOKUP(A102,[1]wms_iv_f!$A$1:$E$136,4,FALSE),"")</f>
        <v/>
      </c>
      <c r="H102" s="95" t="str">
        <f>IFERROR(VLOOKUP(A102,[2]wms_lc_f!$A$1:$B$156,2,FALSE),"")</f>
        <v/>
      </c>
    </row>
    <row r="103" spans="1:8" hidden="1">
      <c r="A103" s="77"/>
      <c r="B103" s="69" t="s">
        <v>2609</v>
      </c>
      <c r="C103" s="70" t="s">
        <v>3</v>
      </c>
      <c r="D103" s="70" t="s">
        <v>2610</v>
      </c>
      <c r="E103" s="72" t="s">
        <v>2611</v>
      </c>
      <c r="F103" s="70"/>
      <c r="G103" s="70" t="str">
        <f>IFERROR(VLOOKUP(A103,[1]wms_iv_f!$A$1:$E$136,4,FALSE),"")</f>
        <v/>
      </c>
      <c r="H103" s="95" t="str">
        <f>IFERROR(VLOOKUP(A103,[2]wms_lc_f!$A$1:$B$156,2,FALSE),"")</f>
        <v/>
      </c>
    </row>
    <row r="104" spans="1:8" hidden="1">
      <c r="A104" s="77">
        <v>35266</v>
      </c>
      <c r="B104" s="69" t="s">
        <v>2613</v>
      </c>
      <c r="C104" s="70" t="s">
        <v>977</v>
      </c>
      <c r="D104" s="70" t="s">
        <v>2614</v>
      </c>
      <c r="E104" s="72" t="s">
        <v>2611</v>
      </c>
      <c r="F104" s="70"/>
      <c r="G104" s="70" t="str">
        <f>IFERROR(VLOOKUP(A104,[1]wms_iv_f!$A$1:$E$136,4,FALSE),"")</f>
        <v/>
      </c>
      <c r="H104" s="95" t="str">
        <f>IFERROR(VLOOKUP(A104,[2]wms_lc_f!$A$1:$B$156,2,FALSE),"")</f>
        <v/>
      </c>
    </row>
    <row r="105" spans="1:8" hidden="1">
      <c r="A105" s="77">
        <v>7896</v>
      </c>
      <c r="B105" s="69" t="s">
        <v>2613</v>
      </c>
      <c r="C105" s="70" t="s">
        <v>985</v>
      </c>
      <c r="D105" s="70" t="s">
        <v>2614</v>
      </c>
      <c r="E105" s="72" t="s">
        <v>2611</v>
      </c>
      <c r="F105" s="70"/>
      <c r="G105" s="70" t="str">
        <f>IFERROR(VLOOKUP(A105,[1]wms_iv_f!$A$1:$E$136,4,FALSE),"")</f>
        <v/>
      </c>
      <c r="H105" s="95" t="str">
        <f>IFERROR(VLOOKUP(A105,[2]wms_lc_f!$A$1:$B$156,2,FALSE),"")</f>
        <v/>
      </c>
    </row>
    <row r="106" spans="1:8" hidden="1">
      <c r="A106" s="77">
        <v>6079</v>
      </c>
      <c r="B106" s="69" t="s">
        <v>2613</v>
      </c>
      <c r="C106" s="70" t="s">
        <v>1031</v>
      </c>
      <c r="D106" s="70" t="s">
        <v>2614</v>
      </c>
      <c r="E106" s="72" t="s">
        <v>2611</v>
      </c>
      <c r="F106" s="70"/>
      <c r="G106" s="70" t="str">
        <f>IFERROR(VLOOKUP(A106,[1]wms_iv_f!$A$1:$E$136,4,FALSE),"")</f>
        <v/>
      </c>
      <c r="H106" s="95" t="str">
        <f>IFERROR(VLOOKUP(A106,[2]wms_lc_f!$A$1:$B$156,2,FALSE),"")</f>
        <v/>
      </c>
    </row>
    <row r="107" spans="1:8" hidden="1">
      <c r="A107" s="77">
        <v>115227</v>
      </c>
      <c r="B107" s="69" t="s">
        <v>2613</v>
      </c>
      <c r="C107" s="70" t="s">
        <v>1085</v>
      </c>
      <c r="D107" s="70" t="s">
        <v>2614</v>
      </c>
      <c r="E107" s="72" t="s">
        <v>2611</v>
      </c>
      <c r="F107" s="70"/>
      <c r="G107" s="70" t="str">
        <f>IFERROR(VLOOKUP(A107,[1]wms_iv_f!$A$1:$E$136,4,FALSE),"")</f>
        <v/>
      </c>
      <c r="H107" s="95" t="str">
        <f>IFERROR(VLOOKUP(A107,[2]wms_lc_f!$A$1:$B$156,2,FALSE),"")</f>
        <v/>
      </c>
    </row>
    <row r="108" spans="1:8" hidden="1">
      <c r="A108" s="77">
        <v>85780</v>
      </c>
      <c r="B108" s="69" t="s">
        <v>2613</v>
      </c>
      <c r="C108" s="70" t="s">
        <v>1097</v>
      </c>
      <c r="D108" s="70" t="s">
        <v>2614</v>
      </c>
      <c r="E108" s="72" t="s">
        <v>2611</v>
      </c>
      <c r="F108" s="70"/>
      <c r="G108" s="70" t="str">
        <f>IFERROR(VLOOKUP(A108,[1]wms_iv_f!$A$1:$E$136,4,FALSE),"")</f>
        <v/>
      </c>
      <c r="H108" s="95" t="str">
        <f>IFERROR(VLOOKUP(A108,[2]wms_lc_f!$A$1:$B$156,2,FALSE),"")</f>
        <v/>
      </c>
    </row>
    <row r="109" spans="1:8" hidden="1">
      <c r="A109" s="77">
        <v>35297</v>
      </c>
      <c r="B109" s="69" t="s">
        <v>2613</v>
      </c>
      <c r="C109" s="74" t="s">
        <v>1145</v>
      </c>
      <c r="D109" s="74" t="s">
        <v>2614</v>
      </c>
      <c r="E109" s="72" t="s">
        <v>2611</v>
      </c>
      <c r="F109" s="70"/>
      <c r="G109" s="70" t="str">
        <f>IFERROR(VLOOKUP(A109,[1]wms_iv_f!$A$1:$E$136,4,FALSE),"")</f>
        <v/>
      </c>
      <c r="H109" s="95" t="str">
        <f>IFERROR(VLOOKUP(A109,[2]wms_lc_f!$A$1:$B$156,2,FALSE),"")</f>
        <v/>
      </c>
    </row>
    <row r="110" spans="1:8" hidden="1">
      <c r="A110" s="77">
        <v>38297</v>
      </c>
      <c r="B110" s="69" t="s">
        <v>2613</v>
      </c>
      <c r="C110" s="70" t="s">
        <v>1199</v>
      </c>
      <c r="D110" s="70" t="s">
        <v>2614</v>
      </c>
      <c r="E110" s="72" t="s">
        <v>2611</v>
      </c>
      <c r="F110" s="70"/>
      <c r="G110" s="70" t="str">
        <f>IFERROR(VLOOKUP(A110,[1]wms_iv_f!$A$1:$E$136,4,FALSE),"")</f>
        <v/>
      </c>
      <c r="H110" s="95" t="str">
        <f>IFERROR(VLOOKUP(A110,[2]wms_lc_f!$A$1:$B$156,2,FALSE),"")</f>
        <v/>
      </c>
    </row>
    <row r="111" spans="1:8" hidden="1">
      <c r="A111" s="77">
        <v>131593</v>
      </c>
      <c r="B111" s="69" t="s">
        <v>2613</v>
      </c>
      <c r="C111" s="70" t="s">
        <v>1211</v>
      </c>
      <c r="D111" s="70" t="s">
        <v>2614</v>
      </c>
      <c r="E111" s="72" t="s">
        <v>2611</v>
      </c>
      <c r="F111" s="70"/>
      <c r="G111" s="70" t="str">
        <f>IFERROR(VLOOKUP(A111,[1]wms_iv_f!$A$1:$E$136,4,FALSE),"")</f>
        <v/>
      </c>
      <c r="H111" s="95" t="str">
        <f>IFERROR(VLOOKUP(A111,[2]wms_lc_f!$A$1:$B$156,2,FALSE),"")</f>
        <v/>
      </c>
    </row>
    <row r="112" spans="1:8" hidden="1">
      <c r="A112" s="77">
        <v>78505</v>
      </c>
      <c r="B112" s="69" t="s">
        <v>2613</v>
      </c>
      <c r="C112" s="70" t="s">
        <v>1259</v>
      </c>
      <c r="D112" s="70" t="s">
        <v>2614</v>
      </c>
      <c r="E112" s="72" t="s">
        <v>2611</v>
      </c>
      <c r="F112" s="70"/>
      <c r="G112" s="70" t="str">
        <f>IFERROR(VLOOKUP(A112,[1]wms_iv_f!$A$1:$E$136,4,FALSE),"")</f>
        <v/>
      </c>
      <c r="H112" s="95" t="str">
        <f>IFERROR(VLOOKUP(A112,[2]wms_lc_f!$A$1:$B$156,2,FALSE),"")</f>
        <v/>
      </c>
    </row>
    <row r="113" spans="1:8" hidden="1">
      <c r="A113" s="77">
        <v>6250</v>
      </c>
      <c r="B113" s="69" t="s">
        <v>2613</v>
      </c>
      <c r="C113" s="70" t="s">
        <v>978</v>
      </c>
      <c r="D113" s="70" t="s">
        <v>2614</v>
      </c>
      <c r="E113" s="72" t="s">
        <v>2611</v>
      </c>
      <c r="F113" s="70"/>
      <c r="G113" s="70" t="str">
        <f>IFERROR(VLOOKUP(A113,[1]wms_iv_f!$A$1:$E$136,4,FALSE),"")</f>
        <v/>
      </c>
      <c r="H113" s="95" t="str">
        <f>IFERROR(VLOOKUP(A113,[2]wms_lc_f!$A$1:$B$156,2,FALSE),"")</f>
        <v/>
      </c>
    </row>
    <row r="114" spans="1:8" hidden="1">
      <c r="A114" s="77">
        <f>IFERROR(VLOOKUP(C114,[3]wms_iv_f!$A$1:$D$135,2,FALSE),"")</f>
        <v>20673</v>
      </c>
      <c r="B114" s="69" t="s">
        <v>2613</v>
      </c>
      <c r="C114" s="70" t="s">
        <v>986</v>
      </c>
      <c r="D114" s="70" t="s">
        <v>2614</v>
      </c>
      <c r="E114" s="72" t="s">
        <v>2611</v>
      </c>
      <c r="F114" s="70"/>
      <c r="G114" s="70" t="str">
        <f>IFERROR(VLOOKUP(A114,[1]wms_iv_f!$A$1:$E$136,4,FALSE),"")</f>
        <v>M15-2-1B01</v>
      </c>
      <c r="H114" s="95" t="str">
        <f>IFERROR(VLOOKUP(A114,[2]wms_lc_f!$A$1:$B$156,2,FALSE),"")</f>
        <v/>
      </c>
    </row>
    <row r="115" spans="1:8" hidden="1">
      <c r="A115" s="77">
        <f>IFERROR(VLOOKUP(C115,[3]wms_iv_f!$A$1:$D$135,2,FALSE),"")</f>
        <v>115008</v>
      </c>
      <c r="B115" s="69" t="s">
        <v>2613</v>
      </c>
      <c r="C115" s="70" t="s">
        <v>1032</v>
      </c>
      <c r="D115" s="70" t="s">
        <v>2614</v>
      </c>
      <c r="E115" s="72" t="s">
        <v>2611</v>
      </c>
      <c r="F115" s="70"/>
      <c r="G115" s="70" t="str">
        <f>IFERROR(VLOOKUP(A115,[1]wms_iv_f!$A$1:$E$136,4,FALSE),"")</f>
        <v>M15-2-1B02</v>
      </c>
      <c r="H115" s="95" t="str">
        <f>IFERROR(VLOOKUP(A115,[2]wms_lc_f!$A$1:$B$156,2,FALSE),"")</f>
        <v/>
      </c>
    </row>
    <row r="116" spans="1:8" hidden="1">
      <c r="A116" s="77">
        <v>24143</v>
      </c>
      <c r="B116" s="69" t="s">
        <v>2613</v>
      </c>
      <c r="C116" s="70" t="s">
        <v>1086</v>
      </c>
      <c r="D116" s="70" t="s">
        <v>2614</v>
      </c>
      <c r="E116" s="72" t="s">
        <v>2611</v>
      </c>
      <c r="F116" s="70"/>
      <c r="G116" s="70" t="str">
        <f>IFERROR(VLOOKUP(A116,[1]wms_iv_f!$A$1:$E$136,4,FALSE),"")</f>
        <v/>
      </c>
      <c r="H116" s="95" t="str">
        <f>IFERROR(VLOOKUP(A116,[2]wms_lc_f!$A$1:$B$156,2,FALSE),"")</f>
        <v/>
      </c>
    </row>
    <row r="117" spans="1:8" hidden="1">
      <c r="A117" s="77">
        <v>96316</v>
      </c>
      <c r="B117" s="69" t="s">
        <v>2613</v>
      </c>
      <c r="C117" s="70" t="s">
        <v>1098</v>
      </c>
      <c r="D117" s="70" t="s">
        <v>2614</v>
      </c>
      <c r="E117" s="72" t="s">
        <v>2611</v>
      </c>
      <c r="F117" s="70"/>
      <c r="G117" s="70" t="str">
        <f>IFERROR(VLOOKUP(A117,[1]wms_iv_f!$A$1:$E$136,4,FALSE),"")</f>
        <v/>
      </c>
      <c r="H117" s="95" t="str">
        <f>IFERROR(VLOOKUP(A117,[2]wms_lc_f!$A$1:$B$156,2,FALSE),"")</f>
        <v/>
      </c>
    </row>
    <row r="118" spans="1:8" hidden="1">
      <c r="A118" s="77">
        <v>101189</v>
      </c>
      <c r="B118" s="69" t="s">
        <v>2613</v>
      </c>
      <c r="C118" s="70" t="s">
        <v>1146</v>
      </c>
      <c r="D118" s="70" t="s">
        <v>2614</v>
      </c>
      <c r="E118" s="72" t="s">
        <v>2611</v>
      </c>
      <c r="F118" s="70"/>
      <c r="G118" s="70" t="str">
        <f>IFERROR(VLOOKUP(A118,[1]wms_iv_f!$A$1:$E$136,4,FALSE),"")</f>
        <v/>
      </c>
      <c r="H118" s="95" t="str">
        <f>IFERROR(VLOOKUP(A118,[2]wms_lc_f!$A$1:$B$156,2,FALSE),"")</f>
        <v/>
      </c>
    </row>
    <row r="119" spans="1:8" hidden="1">
      <c r="A119" s="77">
        <v>1930</v>
      </c>
      <c r="B119" s="69" t="s">
        <v>2613</v>
      </c>
      <c r="C119" s="70" t="s">
        <v>1200</v>
      </c>
      <c r="D119" s="70" t="s">
        <v>2614</v>
      </c>
      <c r="E119" s="72" t="s">
        <v>2611</v>
      </c>
      <c r="F119" s="70"/>
      <c r="G119" s="70" t="str">
        <f>IFERROR(VLOOKUP(A119,[1]wms_iv_f!$A$1:$E$136,4,FALSE),"")</f>
        <v/>
      </c>
      <c r="H119" s="95" t="str">
        <f>IFERROR(VLOOKUP(A119,[2]wms_lc_f!$A$1:$B$156,2,FALSE),"")</f>
        <v/>
      </c>
    </row>
    <row r="120" spans="1:8" hidden="1">
      <c r="A120" s="77">
        <v>6832</v>
      </c>
      <c r="B120" s="69" t="s">
        <v>2613</v>
      </c>
      <c r="C120" s="70" t="s">
        <v>1212</v>
      </c>
      <c r="D120" s="70" t="s">
        <v>2614</v>
      </c>
      <c r="E120" s="72" t="s">
        <v>2611</v>
      </c>
      <c r="F120" s="70"/>
      <c r="G120" s="70" t="str">
        <f>IFERROR(VLOOKUP(A120,[1]wms_iv_f!$A$1:$E$136,4,FALSE),"")</f>
        <v/>
      </c>
      <c r="H120" s="95" t="str">
        <f>IFERROR(VLOOKUP(A120,[2]wms_lc_f!$A$1:$B$156,2,FALSE),"")</f>
        <v/>
      </c>
    </row>
    <row r="121" spans="1:8" hidden="1">
      <c r="A121" s="77">
        <v>3653</v>
      </c>
      <c r="B121" s="69" t="s">
        <v>2613</v>
      </c>
      <c r="C121" s="70" t="s">
        <v>1260</v>
      </c>
      <c r="D121" s="70" t="s">
        <v>2614</v>
      </c>
      <c r="E121" s="72" t="s">
        <v>2611</v>
      </c>
      <c r="F121" s="70"/>
      <c r="G121" s="70" t="str">
        <f>IFERROR(VLOOKUP(A121,[1]wms_iv_f!$A$1:$E$136,4,FALSE),"")</f>
        <v/>
      </c>
      <c r="H121" s="95" t="str">
        <f>IFERROR(VLOOKUP(A121,[2]wms_lc_f!$A$1:$B$156,2,FALSE),"")</f>
        <v/>
      </c>
    </row>
    <row r="122" spans="1:8" hidden="1">
      <c r="A122" s="77">
        <f>IFERROR(VLOOKUP(C122,[3]wms_iv_f!$A$1:$D$135,2,FALSE),"")</f>
        <v>87497</v>
      </c>
      <c r="B122" s="69" t="s">
        <v>2613</v>
      </c>
      <c r="C122" s="70" t="s">
        <v>1033</v>
      </c>
      <c r="D122" s="70" t="s">
        <v>2614</v>
      </c>
      <c r="E122" s="72" t="s">
        <v>2611</v>
      </c>
      <c r="F122" s="70"/>
      <c r="G122" s="70" t="str">
        <f>IFERROR(VLOOKUP(A122,[1]wms_iv_f!$A$1:$E$136,4,FALSE),"")</f>
        <v>M15-2-1B09</v>
      </c>
      <c r="H122" s="95" t="str">
        <f>IFERROR(VLOOKUP(A122,[2]wms_lc_f!$A$1:$B$156,2,FALSE),"")</f>
        <v/>
      </c>
    </row>
    <row r="123" spans="1:8" hidden="1">
      <c r="A123" s="77">
        <f>IFERROR(VLOOKUP(C123,[3]wms_iv_f!$A$1:$D$135,2,FALSE),"")</f>
        <v>33833</v>
      </c>
      <c r="B123" s="69" t="s">
        <v>2613</v>
      </c>
      <c r="C123" s="70" t="s">
        <v>1087</v>
      </c>
      <c r="D123" s="70" t="s">
        <v>2614</v>
      </c>
      <c r="E123" s="72" t="s">
        <v>2611</v>
      </c>
      <c r="F123" s="70"/>
      <c r="G123" s="70" t="str">
        <f>IFERROR(VLOOKUP(A123,[1]wms_iv_f!$A$1:$E$136,4,FALSE),"")</f>
        <v>M15-2-1B10</v>
      </c>
      <c r="H123" s="95" t="str">
        <f>IFERROR(VLOOKUP(A123,[2]wms_lc_f!$A$1:$B$156,2,FALSE),"")</f>
        <v/>
      </c>
    </row>
    <row r="124" spans="1:8" hidden="1">
      <c r="A124" s="77">
        <f>IFERROR(VLOOKUP(C124,[3]wms_iv_f!$A$1:$D$135,2,FALSE),"")</f>
        <v>83919</v>
      </c>
      <c r="B124" s="69" t="s">
        <v>2613</v>
      </c>
      <c r="C124" s="70" t="s">
        <v>1099</v>
      </c>
      <c r="D124" s="70" t="s">
        <v>2614</v>
      </c>
      <c r="E124" s="72" t="s">
        <v>2611</v>
      </c>
      <c r="F124" s="70"/>
      <c r="G124" s="70" t="str">
        <f>IFERROR(VLOOKUP(A124,[1]wms_iv_f!$A$1:$E$136,4,FALSE),"")</f>
        <v>M15-2-1C01</v>
      </c>
      <c r="H124" s="95" t="str">
        <f>IFERROR(VLOOKUP(A124,[2]wms_lc_f!$A$1:$B$156,2,FALSE),"")</f>
        <v/>
      </c>
    </row>
    <row r="125" spans="1:8" hidden="1">
      <c r="A125" s="77">
        <f>IFERROR(VLOOKUP(C125,[3]wms_iv_f!$A$1:$D$135,2,FALSE),"")</f>
        <v>118836</v>
      </c>
      <c r="B125" s="69" t="s">
        <v>2613</v>
      </c>
      <c r="C125" s="70" t="s">
        <v>1147</v>
      </c>
      <c r="D125" s="70" t="s">
        <v>2614</v>
      </c>
      <c r="E125" s="72" t="s">
        <v>2611</v>
      </c>
      <c r="F125" s="70"/>
      <c r="G125" s="70" t="str">
        <f>IFERROR(VLOOKUP(A125,[1]wms_iv_f!$A$1:$E$136,4,FALSE),"")</f>
        <v>M15-2-1C02</v>
      </c>
      <c r="H125" s="95" t="str">
        <f>IFERROR(VLOOKUP(A125,[2]wms_lc_f!$A$1:$B$156,2,FALSE),"")</f>
        <v/>
      </c>
    </row>
    <row r="126" spans="1:8" hidden="1">
      <c r="A126" s="77">
        <f>IFERROR(VLOOKUP(C126,[3]wms_iv_f!$A$1:$D$135,2,FALSE),"")</f>
        <v>11895</v>
      </c>
      <c r="B126" s="69" t="s">
        <v>2613</v>
      </c>
      <c r="C126" s="70" t="s">
        <v>1201</v>
      </c>
      <c r="D126" s="70" t="s">
        <v>2614</v>
      </c>
      <c r="E126" s="72" t="s">
        <v>2611</v>
      </c>
      <c r="F126" s="70"/>
      <c r="G126" s="70" t="str">
        <f>IFERROR(VLOOKUP(A126,[1]wms_iv_f!$A$1:$E$136,4,FALSE),"")</f>
        <v>M15-2-1C03</v>
      </c>
      <c r="H126" s="95" t="str">
        <f>IFERROR(VLOOKUP(A126,[2]wms_lc_f!$A$1:$B$156,2,FALSE),"")</f>
        <v/>
      </c>
    </row>
    <row r="127" spans="1:8" hidden="1">
      <c r="A127" s="77">
        <v>1190</v>
      </c>
      <c r="B127" s="69" t="s">
        <v>2613</v>
      </c>
      <c r="C127" s="70" t="s">
        <v>1213</v>
      </c>
      <c r="D127" s="70" t="s">
        <v>2614</v>
      </c>
      <c r="E127" s="72" t="s">
        <v>2611</v>
      </c>
      <c r="F127" s="70"/>
      <c r="G127" s="70" t="str">
        <f>IFERROR(VLOOKUP(A127,[1]wms_iv_f!$A$1:$E$136,4,FALSE),"")</f>
        <v/>
      </c>
      <c r="H127" s="95" t="str">
        <f>IFERROR(VLOOKUP(A127,[2]wms_lc_f!$A$1:$B$156,2,FALSE),"")</f>
        <v/>
      </c>
    </row>
    <row r="128" spans="1:8" hidden="1">
      <c r="A128" s="77">
        <v>19671</v>
      </c>
      <c r="B128" s="69" t="s">
        <v>2613</v>
      </c>
      <c r="C128" s="70" t="s">
        <v>1261</v>
      </c>
      <c r="D128" s="70" t="s">
        <v>2614</v>
      </c>
      <c r="E128" s="72" t="s">
        <v>2611</v>
      </c>
      <c r="F128" s="70"/>
      <c r="G128" s="70" t="str">
        <f>IFERROR(VLOOKUP(A128,[1]wms_iv_f!$A$1:$E$136,4,FALSE),"")</f>
        <v/>
      </c>
      <c r="H128" s="95" t="str">
        <f>IFERROR(VLOOKUP(A128,[2]wms_lc_f!$A$1:$B$156,2,FALSE),"")</f>
        <v/>
      </c>
    </row>
    <row r="129" spans="1:8" hidden="1">
      <c r="A129" s="77">
        <v>95216</v>
      </c>
      <c r="B129" s="69" t="s">
        <v>2613</v>
      </c>
      <c r="C129" s="70" t="s">
        <v>1034</v>
      </c>
      <c r="D129" s="70" t="s">
        <v>2614</v>
      </c>
      <c r="E129" s="72" t="s">
        <v>2611</v>
      </c>
      <c r="F129" s="70"/>
      <c r="G129" s="70" t="str">
        <f>IFERROR(VLOOKUP(A129,[1]wms_iv_f!$A$1:$E$136,4,FALSE),"")</f>
        <v/>
      </c>
      <c r="H129" s="95" t="str">
        <f>IFERROR(VLOOKUP(A129,[2]wms_lc_f!$A$1:$B$156,2,FALSE),"")</f>
        <v/>
      </c>
    </row>
    <row r="130" spans="1:8" hidden="1">
      <c r="A130" s="77">
        <f>IFERROR(VLOOKUP(C130,[3]wms_iv_f!$A$1:$D$135,2,FALSE),"")</f>
        <v>1974</v>
      </c>
      <c r="B130" s="69" t="s">
        <v>2613</v>
      </c>
      <c r="C130" s="70" t="s">
        <v>1088</v>
      </c>
      <c r="D130" s="70" t="s">
        <v>2614</v>
      </c>
      <c r="E130" s="72" t="s">
        <v>2611</v>
      </c>
      <c r="F130" s="70"/>
      <c r="G130" s="70" t="str">
        <f>IFERROR(VLOOKUP(A130,[1]wms_iv_f!$A$1:$E$136,4,FALSE),"")</f>
        <v>M15-2-1C07</v>
      </c>
      <c r="H130" s="95" t="str">
        <f>IFERROR(VLOOKUP(A130,[2]wms_lc_f!$A$1:$B$156,2,FALSE),"")</f>
        <v/>
      </c>
    </row>
    <row r="131" spans="1:8" hidden="1">
      <c r="A131" s="77">
        <f>IFERROR(VLOOKUP(C131,[3]wms_iv_f!$A$1:$D$135,2,FALSE),"")</f>
        <v>18603</v>
      </c>
      <c r="B131" s="69" t="s">
        <v>2613</v>
      </c>
      <c r="C131" s="70" t="s">
        <v>1100</v>
      </c>
      <c r="D131" s="70" t="s">
        <v>2614</v>
      </c>
      <c r="E131" s="72" t="s">
        <v>2611</v>
      </c>
      <c r="F131" s="70"/>
      <c r="G131" s="70" t="str">
        <f>IFERROR(VLOOKUP(A131,[1]wms_iv_f!$A$1:$E$136,4,FALSE),"")</f>
        <v>M15-2-1C08</v>
      </c>
      <c r="H131" s="95" t="str">
        <f>IFERROR(VLOOKUP(A131,[2]wms_lc_f!$A$1:$B$156,2,FALSE),"")</f>
        <v/>
      </c>
    </row>
    <row r="132" spans="1:8" hidden="1">
      <c r="A132" s="77">
        <v>17489</v>
      </c>
      <c r="B132" s="69" t="s">
        <v>2613</v>
      </c>
      <c r="C132" s="70" t="s">
        <v>1148</v>
      </c>
      <c r="D132" s="70" t="s">
        <v>2614</v>
      </c>
      <c r="E132" s="72" t="s">
        <v>2611</v>
      </c>
      <c r="F132" s="70"/>
      <c r="G132" s="70" t="str">
        <f>IFERROR(VLOOKUP(A132,[1]wms_iv_f!$A$1:$E$136,4,FALSE),"")</f>
        <v/>
      </c>
      <c r="H132" s="95" t="str">
        <f>IFERROR(VLOOKUP(A132,[2]wms_lc_f!$A$1:$B$156,2,FALSE),"")</f>
        <v/>
      </c>
    </row>
    <row r="133" spans="1:8" hidden="1">
      <c r="A133" s="77">
        <f>IFERROR(VLOOKUP(C133,[3]wms_iv_f!$A$1:$D$135,2,FALSE),"")</f>
        <v>214</v>
      </c>
      <c r="B133" s="69" t="s">
        <v>2613</v>
      </c>
      <c r="C133" s="70" t="s">
        <v>1202</v>
      </c>
      <c r="D133" s="70" t="s">
        <v>2614</v>
      </c>
      <c r="E133" s="72" t="s">
        <v>2611</v>
      </c>
      <c r="F133" s="70"/>
      <c r="G133" s="70" t="str">
        <f>IFERROR(VLOOKUP(A133,[1]wms_iv_f!$A$1:$E$136,4,FALSE),"")</f>
        <v>M15-2-1C10</v>
      </c>
      <c r="H133" s="95" t="str">
        <f>IFERROR(VLOOKUP(A133,[2]wms_lc_f!$A$1:$B$156,2,FALSE),"")</f>
        <v/>
      </c>
    </row>
    <row r="134" spans="1:8" hidden="1">
      <c r="A134" s="77">
        <v>129746</v>
      </c>
      <c r="B134" s="69" t="s">
        <v>2613</v>
      </c>
      <c r="C134" s="70" t="s">
        <v>1214</v>
      </c>
      <c r="D134" s="70" t="s">
        <v>2614</v>
      </c>
      <c r="E134" s="72" t="s">
        <v>2611</v>
      </c>
      <c r="F134" s="70"/>
      <c r="G134" s="70" t="str">
        <f>IFERROR(VLOOKUP(A134,[1]wms_iv_f!$A$1:$E$136,4,FALSE),"")</f>
        <v/>
      </c>
      <c r="H134" s="95" t="str">
        <f>IFERROR(VLOOKUP(A134,[2]wms_lc_f!$A$1:$B$156,2,FALSE),"")</f>
        <v/>
      </c>
    </row>
    <row r="135" spans="1:8" hidden="1">
      <c r="A135" s="77">
        <v>92079</v>
      </c>
      <c r="B135" s="69" t="s">
        <v>2613</v>
      </c>
      <c r="C135" s="70" t="s">
        <v>1262</v>
      </c>
      <c r="D135" s="70" t="s">
        <v>2614</v>
      </c>
      <c r="E135" s="72" t="s">
        <v>2611</v>
      </c>
      <c r="F135" s="70"/>
      <c r="G135" s="70" t="str">
        <f>IFERROR(VLOOKUP(A135,[1]wms_iv_f!$A$1:$E$136,4,FALSE),"")</f>
        <v/>
      </c>
      <c r="H135" s="95" t="str">
        <f>IFERROR(VLOOKUP(A135,[2]wms_lc_f!$A$1:$B$156,2,FALSE),"")</f>
        <v/>
      </c>
    </row>
    <row r="136" spans="1:8" hidden="1">
      <c r="A136" s="77"/>
      <c r="B136" s="69" t="s">
        <v>2613</v>
      </c>
      <c r="C136" s="70" t="s">
        <v>1046</v>
      </c>
      <c r="D136" s="70" t="s">
        <v>2610</v>
      </c>
      <c r="E136" s="72" t="s">
        <v>2611</v>
      </c>
      <c r="F136" s="70"/>
      <c r="G136" s="70" t="str">
        <f>IFERROR(VLOOKUP(A136,[1]wms_iv_f!$A$1:$E$136,4,FALSE),"")</f>
        <v/>
      </c>
      <c r="H136" s="95" t="str">
        <f>IFERROR(VLOOKUP(A136,[2]wms_lc_f!$A$1:$B$156,2,FALSE),"")</f>
        <v/>
      </c>
    </row>
    <row r="137" spans="1:8" hidden="1">
      <c r="A137" s="77"/>
      <c r="B137" s="69" t="s">
        <v>2613</v>
      </c>
      <c r="C137" s="70" t="s">
        <v>703</v>
      </c>
      <c r="D137" s="70" t="s">
        <v>2610</v>
      </c>
      <c r="E137" s="72" t="s">
        <v>2611</v>
      </c>
      <c r="F137" s="70"/>
      <c r="G137" s="70" t="str">
        <f>IFERROR(VLOOKUP(A137,[1]wms_iv_f!$A$1:$E$136,4,FALSE),"")</f>
        <v/>
      </c>
      <c r="H137" s="95" t="str">
        <f>IFERROR(VLOOKUP(A137,[2]wms_lc_f!$A$1:$B$156,2,FALSE),"")</f>
        <v/>
      </c>
    </row>
    <row r="138" spans="1:8" hidden="1">
      <c r="A138" s="77"/>
      <c r="B138" s="69" t="s">
        <v>2613</v>
      </c>
      <c r="C138" s="70" t="s">
        <v>704</v>
      </c>
      <c r="D138" s="70" t="s">
        <v>2610</v>
      </c>
      <c r="E138" s="72" t="s">
        <v>2611</v>
      </c>
      <c r="F138" s="70"/>
      <c r="G138" s="70" t="str">
        <f>IFERROR(VLOOKUP(A138,[1]wms_iv_f!$A$1:$E$136,4,FALSE),"")</f>
        <v/>
      </c>
      <c r="H138" s="95" t="str">
        <f>IFERROR(VLOOKUP(A138,[2]wms_lc_f!$A$1:$B$156,2,FALSE),"")</f>
        <v/>
      </c>
    </row>
    <row r="139" spans="1:8" hidden="1">
      <c r="A139" s="77"/>
      <c r="B139" s="69" t="s">
        <v>2613</v>
      </c>
      <c r="C139" s="70" t="s">
        <v>705</v>
      </c>
      <c r="D139" s="70" t="s">
        <v>2610</v>
      </c>
      <c r="E139" s="72" t="s">
        <v>2611</v>
      </c>
      <c r="F139" s="70"/>
      <c r="G139" s="70" t="str">
        <f>IFERROR(VLOOKUP(A139,[1]wms_iv_f!$A$1:$E$136,4,FALSE),"")</f>
        <v/>
      </c>
      <c r="H139" s="95" t="str">
        <f>IFERROR(VLOOKUP(A139,[2]wms_lc_f!$A$1:$B$156,2,FALSE),"")</f>
        <v/>
      </c>
    </row>
    <row r="140" spans="1:8" hidden="1">
      <c r="A140" s="77"/>
      <c r="B140" s="69" t="s">
        <v>2613</v>
      </c>
      <c r="C140" s="70" t="s">
        <v>924</v>
      </c>
      <c r="D140" s="70" t="s">
        <v>2610</v>
      </c>
      <c r="E140" s="72" t="s">
        <v>2611</v>
      </c>
      <c r="F140" s="70"/>
      <c r="G140" s="70" t="str">
        <f>IFERROR(VLOOKUP(A140,[1]wms_iv_f!$A$1:$E$136,4,FALSE),"")</f>
        <v/>
      </c>
      <c r="H140" s="95" t="str">
        <f>IFERROR(VLOOKUP(A140,[2]wms_lc_f!$A$1:$B$156,2,FALSE),"")</f>
        <v/>
      </c>
    </row>
    <row r="141" spans="1:8" hidden="1">
      <c r="A141" s="77"/>
      <c r="B141" s="69" t="s">
        <v>2613</v>
      </c>
      <c r="C141" s="70" t="s">
        <v>925</v>
      </c>
      <c r="D141" s="70" t="s">
        <v>2610</v>
      </c>
      <c r="E141" s="72" t="s">
        <v>2611</v>
      </c>
      <c r="F141" s="70"/>
      <c r="G141" s="70" t="str">
        <f>IFERROR(VLOOKUP(A141,[1]wms_iv_f!$A$1:$E$136,4,FALSE),"")</f>
        <v/>
      </c>
      <c r="H141" s="95" t="str">
        <f>IFERROR(VLOOKUP(A141,[2]wms_lc_f!$A$1:$B$156,2,FALSE),"")</f>
        <v/>
      </c>
    </row>
    <row r="142" spans="1:8" hidden="1">
      <c r="A142" s="77"/>
      <c r="B142" s="69" t="s">
        <v>2613</v>
      </c>
      <c r="C142" s="70" t="s">
        <v>926</v>
      </c>
      <c r="D142" s="70" t="s">
        <v>2610</v>
      </c>
      <c r="E142" s="72" t="s">
        <v>2611</v>
      </c>
      <c r="F142" s="70"/>
      <c r="G142" s="70" t="str">
        <f>IFERROR(VLOOKUP(A142,[1]wms_iv_f!$A$1:$E$136,4,FALSE),"")</f>
        <v/>
      </c>
      <c r="H142" s="95" t="str">
        <f>IFERROR(VLOOKUP(A142,[2]wms_lc_f!$A$1:$B$156,2,FALSE),"")</f>
        <v/>
      </c>
    </row>
    <row r="143" spans="1:8" hidden="1">
      <c r="A143" s="77"/>
      <c r="B143" s="69" t="s">
        <v>2613</v>
      </c>
      <c r="C143" s="70" t="s">
        <v>927</v>
      </c>
      <c r="D143" s="70" t="s">
        <v>2610</v>
      </c>
      <c r="E143" s="72" t="s">
        <v>2611</v>
      </c>
      <c r="F143" s="70"/>
      <c r="G143" s="70" t="str">
        <f>IFERROR(VLOOKUP(A143,[1]wms_iv_f!$A$1:$E$136,4,FALSE),"")</f>
        <v/>
      </c>
      <c r="H143" s="95" t="str">
        <f>IFERROR(VLOOKUP(A143,[2]wms_lc_f!$A$1:$B$156,2,FALSE),"")</f>
        <v/>
      </c>
    </row>
    <row r="144" spans="1:8" hidden="1">
      <c r="A144" s="77"/>
      <c r="B144" s="69" t="s">
        <v>2613</v>
      </c>
      <c r="C144" s="70" t="s">
        <v>706</v>
      </c>
      <c r="D144" s="70" t="s">
        <v>2610</v>
      </c>
      <c r="E144" s="72" t="s">
        <v>2611</v>
      </c>
      <c r="F144" s="70"/>
      <c r="G144" s="70" t="str">
        <f>IFERROR(VLOOKUP(A144,[1]wms_iv_f!$A$1:$E$136,4,FALSE),"")</f>
        <v/>
      </c>
      <c r="H144" s="95" t="str">
        <f>IFERROR(VLOOKUP(A144,[2]wms_lc_f!$A$1:$B$156,2,FALSE),"")</f>
        <v/>
      </c>
    </row>
    <row r="145" spans="1:8" hidden="1">
      <c r="A145" s="77"/>
      <c r="B145" s="69" t="s">
        <v>2613</v>
      </c>
      <c r="C145" s="70" t="s">
        <v>707</v>
      </c>
      <c r="D145" s="70" t="s">
        <v>2610</v>
      </c>
      <c r="E145" s="72" t="s">
        <v>2611</v>
      </c>
      <c r="F145" s="70"/>
      <c r="G145" s="70" t="str">
        <f>IFERROR(VLOOKUP(A145,[1]wms_iv_f!$A$1:$E$136,4,FALSE),"")</f>
        <v/>
      </c>
      <c r="H145" s="95" t="str">
        <f>IFERROR(VLOOKUP(A145,[2]wms_lc_f!$A$1:$B$156,2,FALSE),"")</f>
        <v/>
      </c>
    </row>
    <row r="146" spans="1:8" hidden="1">
      <c r="A146" s="77"/>
      <c r="B146" s="69" t="s">
        <v>2613</v>
      </c>
      <c r="C146" s="70" t="s">
        <v>708</v>
      </c>
      <c r="D146" s="70" t="s">
        <v>2610</v>
      </c>
      <c r="E146" s="72" t="s">
        <v>2611</v>
      </c>
      <c r="F146" s="70"/>
      <c r="G146" s="70" t="str">
        <f>IFERROR(VLOOKUP(A146,[1]wms_iv_f!$A$1:$E$136,4,FALSE),"")</f>
        <v/>
      </c>
      <c r="H146" s="95" t="str">
        <f>IFERROR(VLOOKUP(A146,[2]wms_lc_f!$A$1:$B$156,2,FALSE),"")</f>
        <v/>
      </c>
    </row>
    <row r="147" spans="1:8" hidden="1">
      <c r="A147" s="77"/>
      <c r="B147" s="69" t="s">
        <v>2613</v>
      </c>
      <c r="C147" s="70" t="s">
        <v>709</v>
      </c>
      <c r="D147" s="70" t="s">
        <v>2610</v>
      </c>
      <c r="E147" s="72" t="s">
        <v>2611</v>
      </c>
      <c r="F147" s="70"/>
      <c r="G147" s="70" t="str">
        <f>IFERROR(VLOOKUP(A147,[1]wms_iv_f!$A$1:$E$136,4,FALSE),"")</f>
        <v/>
      </c>
      <c r="H147" s="95" t="str">
        <f>IFERROR(VLOOKUP(A147,[2]wms_lc_f!$A$1:$B$156,2,FALSE),"")</f>
        <v/>
      </c>
    </row>
    <row r="148" spans="1:8" hidden="1">
      <c r="A148" s="77"/>
      <c r="B148" s="69" t="s">
        <v>2613</v>
      </c>
      <c r="C148" s="70" t="s">
        <v>710</v>
      </c>
      <c r="D148" s="70" t="s">
        <v>2610</v>
      </c>
      <c r="E148" s="72" t="s">
        <v>2611</v>
      </c>
      <c r="F148" s="70"/>
      <c r="G148" s="70" t="str">
        <f>IFERROR(VLOOKUP(A148,[1]wms_iv_f!$A$1:$E$136,4,FALSE),"")</f>
        <v/>
      </c>
      <c r="H148" s="95" t="str">
        <f>IFERROR(VLOOKUP(A148,[2]wms_lc_f!$A$1:$B$156,2,FALSE),"")</f>
        <v/>
      </c>
    </row>
    <row r="149" spans="1:8" hidden="1">
      <c r="A149" s="77"/>
      <c r="B149" s="69" t="s">
        <v>2613</v>
      </c>
      <c r="C149" s="70" t="s">
        <v>711</v>
      </c>
      <c r="D149" s="70" t="s">
        <v>2610</v>
      </c>
      <c r="E149" s="72" t="s">
        <v>2611</v>
      </c>
      <c r="F149" s="70"/>
      <c r="G149" s="70" t="str">
        <f>IFERROR(VLOOKUP(A149,[1]wms_iv_f!$A$1:$E$136,4,FALSE),"")</f>
        <v/>
      </c>
      <c r="H149" s="95" t="str">
        <f>IFERROR(VLOOKUP(A149,[2]wms_lc_f!$A$1:$B$156,2,FALSE),"")</f>
        <v/>
      </c>
    </row>
    <row r="150" spans="1:8" hidden="1">
      <c r="A150" s="77"/>
      <c r="B150" s="69" t="s">
        <v>2613</v>
      </c>
      <c r="C150" s="70" t="s">
        <v>821</v>
      </c>
      <c r="D150" s="70" t="s">
        <v>2610</v>
      </c>
      <c r="E150" s="72" t="s">
        <v>2611</v>
      </c>
      <c r="F150" s="70"/>
      <c r="G150" s="70" t="str">
        <f>IFERROR(VLOOKUP(A150,[1]wms_iv_f!$A$1:$E$136,4,FALSE),"")</f>
        <v/>
      </c>
      <c r="H150" s="95" t="str">
        <f>IFERROR(VLOOKUP(A150,[2]wms_lc_f!$A$1:$B$156,2,FALSE),"")</f>
        <v/>
      </c>
    </row>
    <row r="151" spans="1:8" hidden="1">
      <c r="A151" s="77"/>
      <c r="B151" s="69" t="s">
        <v>2613</v>
      </c>
      <c r="C151" s="70" t="s">
        <v>822</v>
      </c>
      <c r="D151" s="70" t="s">
        <v>2610</v>
      </c>
      <c r="E151" s="72" t="s">
        <v>2611</v>
      </c>
      <c r="F151" s="70"/>
      <c r="G151" s="70" t="str">
        <f>IFERROR(VLOOKUP(A151,[1]wms_iv_f!$A$1:$E$136,4,FALSE),"")</f>
        <v/>
      </c>
      <c r="H151" s="95" t="str">
        <f>IFERROR(VLOOKUP(A151,[2]wms_lc_f!$A$1:$B$156,2,FALSE),"")</f>
        <v/>
      </c>
    </row>
    <row r="152" spans="1:8" hidden="1">
      <c r="A152" s="77"/>
      <c r="B152" s="69" t="s">
        <v>2613</v>
      </c>
      <c r="C152" s="70" t="s">
        <v>823</v>
      </c>
      <c r="D152" s="70" t="s">
        <v>2610</v>
      </c>
      <c r="E152" s="72" t="s">
        <v>2611</v>
      </c>
      <c r="F152" s="70"/>
      <c r="G152" s="70" t="str">
        <f>IFERROR(VLOOKUP(A152,[1]wms_iv_f!$A$1:$E$136,4,FALSE),"")</f>
        <v/>
      </c>
      <c r="H152" s="95" t="str">
        <f>IFERROR(VLOOKUP(A152,[2]wms_lc_f!$A$1:$B$156,2,FALSE),"")</f>
        <v/>
      </c>
    </row>
    <row r="153" spans="1:8" hidden="1">
      <c r="A153" s="77"/>
      <c r="B153" s="69" t="s">
        <v>2609</v>
      </c>
      <c r="C153" s="70" t="s">
        <v>1450</v>
      </c>
      <c r="D153" s="70" t="s">
        <v>2610</v>
      </c>
      <c r="E153" s="72" t="s">
        <v>2611</v>
      </c>
      <c r="F153" s="70" t="s">
        <v>2612</v>
      </c>
      <c r="G153" s="70" t="str">
        <f>IFERROR(VLOOKUP(A153,[1]wms_iv_f!$A$1:$E$136,4,FALSE),"")</f>
        <v/>
      </c>
      <c r="H153" s="95" t="str">
        <f>IFERROR(VLOOKUP(A153,[2]wms_lc_f!$A$1:$B$156,2,FALSE),"")</f>
        <v/>
      </c>
    </row>
    <row r="154" spans="1:8" hidden="1">
      <c r="A154" s="77"/>
      <c r="B154" s="69" t="s">
        <v>2609</v>
      </c>
      <c r="C154" s="70" t="s">
        <v>1449</v>
      </c>
      <c r="D154" s="70" t="s">
        <v>2610</v>
      </c>
      <c r="E154" s="72" t="s">
        <v>2611</v>
      </c>
      <c r="F154" s="70" t="s">
        <v>2612</v>
      </c>
      <c r="G154" s="70" t="str">
        <f>IFERROR(VLOOKUP(A154,[1]wms_iv_f!$A$1:$E$136,4,FALSE),"")</f>
        <v/>
      </c>
      <c r="H154" s="95" t="str">
        <f>IFERROR(VLOOKUP(A154,[2]wms_lc_f!$A$1:$B$156,2,FALSE),"")</f>
        <v/>
      </c>
    </row>
    <row r="155" spans="1:8" hidden="1">
      <c r="A155" s="77"/>
      <c r="B155" s="69" t="s">
        <v>2609</v>
      </c>
      <c r="C155" s="70" t="s">
        <v>1347</v>
      </c>
      <c r="D155" s="70" t="s">
        <v>2610</v>
      </c>
      <c r="E155" s="72" t="s">
        <v>2611</v>
      </c>
      <c r="F155" s="70"/>
      <c r="G155" s="70" t="str">
        <f>IFERROR(VLOOKUP(A155,[1]wms_iv_f!$A$1:$E$136,4,FALSE),"")</f>
        <v/>
      </c>
      <c r="H155" s="95" t="str">
        <f>IFERROR(VLOOKUP(A155,[2]wms_lc_f!$A$1:$B$156,2,FALSE),"")</f>
        <v/>
      </c>
    </row>
    <row r="156" spans="1:8" hidden="1">
      <c r="A156" s="77"/>
      <c r="B156" s="69" t="s">
        <v>2609</v>
      </c>
      <c r="C156" s="70" t="s">
        <v>1346</v>
      </c>
      <c r="D156" s="70" t="s">
        <v>2610</v>
      </c>
      <c r="E156" s="72" t="s">
        <v>2611</v>
      </c>
      <c r="F156" s="70"/>
      <c r="G156" s="70" t="str">
        <f>IFERROR(VLOOKUP(A156,[1]wms_iv_f!$A$1:$E$136,4,FALSE),"")</f>
        <v/>
      </c>
      <c r="H156" s="95" t="str">
        <f>IFERROR(VLOOKUP(A156,[2]wms_lc_f!$A$1:$B$156,2,FALSE),"")</f>
        <v/>
      </c>
    </row>
    <row r="157" spans="1:8" hidden="1">
      <c r="A157" s="77"/>
      <c r="B157" s="69" t="s">
        <v>2609</v>
      </c>
      <c r="C157" s="70" t="s">
        <v>1345</v>
      </c>
      <c r="D157" s="70" t="s">
        <v>2610</v>
      </c>
      <c r="E157" s="72" t="s">
        <v>2611</v>
      </c>
      <c r="F157" s="70"/>
      <c r="G157" s="70" t="str">
        <f>IFERROR(VLOOKUP(A157,[1]wms_iv_f!$A$1:$E$136,4,FALSE),"")</f>
        <v/>
      </c>
      <c r="H157" s="95" t="str">
        <f>IFERROR(VLOOKUP(A157,[2]wms_lc_f!$A$1:$B$156,2,FALSE),"")</f>
        <v/>
      </c>
    </row>
    <row r="158" spans="1:8" hidden="1">
      <c r="A158" s="77"/>
      <c r="B158" s="69" t="s">
        <v>2609</v>
      </c>
      <c r="C158" s="70" t="s">
        <v>1344</v>
      </c>
      <c r="D158" s="70" t="s">
        <v>2610</v>
      </c>
      <c r="E158" s="72" t="s">
        <v>2611</v>
      </c>
      <c r="F158" s="70"/>
      <c r="G158" s="70" t="str">
        <f>IFERROR(VLOOKUP(A158,[1]wms_iv_f!$A$1:$E$136,4,FALSE),"")</f>
        <v/>
      </c>
      <c r="H158" s="95" t="str">
        <f>IFERROR(VLOOKUP(A158,[2]wms_lc_f!$A$1:$B$156,2,FALSE),"")</f>
        <v/>
      </c>
    </row>
    <row r="159" spans="1:8" hidden="1">
      <c r="A159" s="77"/>
      <c r="B159" s="69" t="s">
        <v>2609</v>
      </c>
      <c r="C159" s="70" t="s">
        <v>1343</v>
      </c>
      <c r="D159" s="70" t="s">
        <v>2610</v>
      </c>
      <c r="E159" s="72" t="s">
        <v>2611</v>
      </c>
      <c r="F159" s="70"/>
      <c r="G159" s="70" t="str">
        <f>IFERROR(VLOOKUP(A159,[1]wms_iv_f!$A$1:$E$136,4,FALSE),"")</f>
        <v/>
      </c>
      <c r="H159" s="95" t="str">
        <f>IFERROR(VLOOKUP(A159,[2]wms_lc_f!$A$1:$B$156,2,FALSE),"")</f>
        <v/>
      </c>
    </row>
    <row r="160" spans="1:8" hidden="1">
      <c r="A160" s="77"/>
      <c r="B160" s="69" t="s">
        <v>2609</v>
      </c>
      <c r="C160" s="76" t="s">
        <v>1342</v>
      </c>
      <c r="D160" s="76" t="s">
        <v>2610</v>
      </c>
      <c r="E160" s="72" t="s">
        <v>2611</v>
      </c>
      <c r="F160" s="70"/>
      <c r="G160" s="70" t="str">
        <f>IFERROR(VLOOKUP(A160,[1]wms_iv_f!$A$1:$E$136,4,FALSE),"")</f>
        <v/>
      </c>
      <c r="H160" s="95" t="str">
        <f>IFERROR(VLOOKUP(A160,[2]wms_lc_f!$A$1:$B$156,2,FALSE),"")</f>
        <v/>
      </c>
    </row>
    <row r="161" spans="1:8" hidden="1">
      <c r="A161" s="77"/>
      <c r="B161" s="69" t="s">
        <v>2609</v>
      </c>
      <c r="C161" s="70" t="s">
        <v>1554</v>
      </c>
      <c r="D161" s="70" t="s">
        <v>2610</v>
      </c>
      <c r="E161" s="72" t="s">
        <v>2611</v>
      </c>
      <c r="F161" s="70"/>
      <c r="G161" s="70" t="str">
        <f>IFERROR(VLOOKUP(A161,[1]wms_iv_f!$A$1:$E$136,4,FALSE),"")</f>
        <v/>
      </c>
      <c r="H161" s="95" t="str">
        <f>IFERROR(VLOOKUP(A161,[2]wms_lc_f!$A$1:$B$156,2,FALSE),"")</f>
        <v/>
      </c>
    </row>
    <row r="162" spans="1:8" hidden="1">
      <c r="A162" s="77"/>
      <c r="B162" s="69" t="s">
        <v>2609</v>
      </c>
      <c r="C162" s="70" t="s">
        <v>1553</v>
      </c>
      <c r="D162" s="70" t="s">
        <v>2610</v>
      </c>
      <c r="E162" s="72" t="s">
        <v>2611</v>
      </c>
      <c r="F162" s="70"/>
      <c r="G162" s="70" t="str">
        <f>IFERROR(VLOOKUP(A162,[1]wms_iv_f!$A$1:$E$136,4,FALSE),"")</f>
        <v/>
      </c>
      <c r="H162" s="95" t="str">
        <f>IFERROR(VLOOKUP(A162,[2]wms_lc_f!$A$1:$B$156,2,FALSE),"")</f>
        <v/>
      </c>
    </row>
    <row r="163" spans="1:8" hidden="1">
      <c r="A163" s="77"/>
      <c r="B163" s="69" t="s">
        <v>2609</v>
      </c>
      <c r="C163" s="70" t="s">
        <v>1552</v>
      </c>
      <c r="D163" s="70" t="s">
        <v>2610</v>
      </c>
      <c r="E163" s="72" t="s">
        <v>2611</v>
      </c>
      <c r="F163" s="70"/>
      <c r="G163" s="70" t="str">
        <f>IFERROR(VLOOKUP(A163,[1]wms_iv_f!$A$1:$E$136,4,FALSE),"")</f>
        <v/>
      </c>
      <c r="H163" s="95" t="str">
        <f>IFERROR(VLOOKUP(A163,[2]wms_lc_f!$A$1:$B$156,2,FALSE),"")</f>
        <v/>
      </c>
    </row>
    <row r="164" spans="1:8" hidden="1">
      <c r="A164" s="77"/>
      <c r="B164" s="69" t="s">
        <v>2609</v>
      </c>
      <c r="C164" s="70" t="s">
        <v>1551</v>
      </c>
      <c r="D164" s="70" t="s">
        <v>2610</v>
      </c>
      <c r="E164" s="72" t="s">
        <v>2611</v>
      </c>
      <c r="F164" s="70"/>
      <c r="G164" s="70" t="str">
        <f>IFERROR(VLOOKUP(A164,[1]wms_iv_f!$A$1:$E$136,4,FALSE),"")</f>
        <v/>
      </c>
      <c r="H164" s="95" t="str">
        <f>IFERROR(VLOOKUP(A164,[2]wms_lc_f!$A$1:$B$156,2,FALSE),"")</f>
        <v/>
      </c>
    </row>
    <row r="165" spans="1:8" hidden="1">
      <c r="A165" s="77"/>
      <c r="B165" s="69" t="s">
        <v>2609</v>
      </c>
      <c r="C165" s="70" t="s">
        <v>1550</v>
      </c>
      <c r="D165" s="70" t="s">
        <v>2610</v>
      </c>
      <c r="E165" s="72" t="s">
        <v>2611</v>
      </c>
      <c r="F165" s="70"/>
      <c r="G165" s="70" t="str">
        <f>IFERROR(VLOOKUP(A165,[1]wms_iv_f!$A$1:$E$136,4,FALSE),"")</f>
        <v/>
      </c>
      <c r="H165" s="95" t="str">
        <f>IFERROR(VLOOKUP(A165,[2]wms_lc_f!$A$1:$B$156,2,FALSE),"")</f>
        <v/>
      </c>
    </row>
    <row r="166" spans="1:8" hidden="1">
      <c r="A166" s="77"/>
      <c r="B166" s="69" t="s">
        <v>2609</v>
      </c>
      <c r="C166" s="70" t="s">
        <v>1549</v>
      </c>
      <c r="D166" s="70" t="s">
        <v>2610</v>
      </c>
      <c r="E166" s="72" t="s">
        <v>2611</v>
      </c>
      <c r="F166" s="70"/>
      <c r="G166" s="70" t="str">
        <f>IFERROR(VLOOKUP(A166,[1]wms_iv_f!$A$1:$E$136,4,FALSE),"")</f>
        <v/>
      </c>
      <c r="H166" s="95" t="str">
        <f>IFERROR(VLOOKUP(A166,[2]wms_lc_f!$A$1:$B$156,2,FALSE),"")</f>
        <v/>
      </c>
    </row>
    <row r="167" spans="1:8" hidden="1">
      <c r="A167" s="77"/>
      <c r="B167" s="69" t="s">
        <v>2609</v>
      </c>
      <c r="C167" s="70" t="s">
        <v>1448</v>
      </c>
      <c r="D167" s="70" t="s">
        <v>2610</v>
      </c>
      <c r="E167" s="72" t="s">
        <v>2611</v>
      </c>
      <c r="F167" s="70" t="s">
        <v>2612</v>
      </c>
      <c r="G167" s="70" t="str">
        <f>IFERROR(VLOOKUP(A167,[1]wms_iv_f!$A$1:$E$136,4,FALSE),"")</f>
        <v/>
      </c>
      <c r="H167" s="95" t="str">
        <f>IFERROR(VLOOKUP(A167,[2]wms_lc_f!$A$1:$B$156,2,FALSE),"")</f>
        <v/>
      </c>
    </row>
    <row r="168" spans="1:8" hidden="1">
      <c r="A168" s="77"/>
      <c r="B168" s="69" t="s">
        <v>2609</v>
      </c>
      <c r="C168" s="70" t="s">
        <v>1447</v>
      </c>
      <c r="D168" s="70" t="s">
        <v>2610</v>
      </c>
      <c r="E168" s="72" t="s">
        <v>2611</v>
      </c>
      <c r="F168" s="70" t="s">
        <v>2612</v>
      </c>
      <c r="G168" s="70" t="str">
        <f>IFERROR(VLOOKUP(A168,[1]wms_iv_f!$A$1:$E$136,4,FALSE),"")</f>
        <v/>
      </c>
      <c r="H168" s="95" t="str">
        <f>IFERROR(VLOOKUP(A168,[2]wms_lc_f!$A$1:$B$156,2,FALSE),"")</f>
        <v/>
      </c>
    </row>
    <row r="169" spans="1:8" hidden="1">
      <c r="A169" s="77"/>
      <c r="B169" s="69" t="s">
        <v>2609</v>
      </c>
      <c r="C169" s="70" t="s">
        <v>1446</v>
      </c>
      <c r="D169" s="70" t="s">
        <v>2610</v>
      </c>
      <c r="E169" s="72" t="s">
        <v>2611</v>
      </c>
      <c r="F169" s="70" t="s">
        <v>2612</v>
      </c>
      <c r="G169" s="70" t="str">
        <f>IFERROR(VLOOKUP(A169,[1]wms_iv_f!$A$1:$E$136,4,FALSE),"")</f>
        <v/>
      </c>
      <c r="H169" s="95" t="str">
        <f>IFERROR(VLOOKUP(A169,[2]wms_lc_f!$A$1:$B$156,2,FALSE),"")</f>
        <v/>
      </c>
    </row>
    <row r="170" spans="1:8" hidden="1">
      <c r="A170" s="77"/>
      <c r="B170" s="69" t="s">
        <v>2609</v>
      </c>
      <c r="C170" s="70" t="s">
        <v>1445</v>
      </c>
      <c r="D170" s="70" t="s">
        <v>2610</v>
      </c>
      <c r="E170" s="72" t="s">
        <v>2611</v>
      </c>
      <c r="F170" s="70" t="s">
        <v>2612</v>
      </c>
      <c r="G170" s="70" t="str">
        <f>IFERROR(VLOOKUP(A170,[1]wms_iv_f!$A$1:$E$136,4,FALSE),"")</f>
        <v/>
      </c>
      <c r="H170" s="95" t="str">
        <f>IFERROR(VLOOKUP(A170,[2]wms_lc_f!$A$1:$B$156,2,FALSE),"")</f>
        <v/>
      </c>
    </row>
    <row r="171" spans="1:8" hidden="1">
      <c r="A171" s="77"/>
      <c r="B171" s="69" t="s">
        <v>2609</v>
      </c>
      <c r="C171" s="70" t="s">
        <v>1444</v>
      </c>
      <c r="D171" s="70" t="s">
        <v>2610</v>
      </c>
      <c r="E171" s="72" t="s">
        <v>2611</v>
      </c>
      <c r="F171" s="70" t="s">
        <v>2612</v>
      </c>
      <c r="G171" s="70" t="str">
        <f>IFERROR(VLOOKUP(A171,[1]wms_iv_f!$A$1:$E$136,4,FALSE),"")</f>
        <v/>
      </c>
      <c r="H171" s="95" t="str">
        <f>IFERROR(VLOOKUP(A171,[2]wms_lc_f!$A$1:$B$156,2,FALSE),"")</f>
        <v/>
      </c>
    </row>
    <row r="172" spans="1:8" hidden="1">
      <c r="A172" s="77"/>
      <c r="B172" s="69" t="s">
        <v>2609</v>
      </c>
      <c r="C172" s="70" t="s">
        <v>1443</v>
      </c>
      <c r="D172" s="70" t="s">
        <v>2610</v>
      </c>
      <c r="E172" s="72" t="s">
        <v>2611</v>
      </c>
      <c r="F172" s="70" t="s">
        <v>2612</v>
      </c>
      <c r="G172" s="70" t="str">
        <f>IFERROR(VLOOKUP(A172,[1]wms_iv_f!$A$1:$E$136,4,FALSE),"")</f>
        <v/>
      </c>
      <c r="H172" s="95" t="str">
        <f>IFERROR(VLOOKUP(A172,[2]wms_lc_f!$A$1:$B$156,2,FALSE),"")</f>
        <v/>
      </c>
    </row>
    <row r="173" spans="1:8" hidden="1">
      <c r="A173" s="71"/>
      <c r="B173" s="69" t="s">
        <v>2609</v>
      </c>
      <c r="C173" s="70" t="s">
        <v>1341</v>
      </c>
      <c r="D173" s="70" t="s">
        <v>2610</v>
      </c>
      <c r="E173" s="72" t="s">
        <v>2611</v>
      </c>
      <c r="F173" s="70"/>
      <c r="G173" s="70" t="str">
        <f>IFERROR(VLOOKUP(A173,[1]wms_iv_f!$A$1:$E$136,4,FALSE),"")</f>
        <v/>
      </c>
      <c r="H173" s="95" t="str">
        <f>IFERROR(VLOOKUP(A173,[2]wms_lc_f!$A$1:$B$156,2,FALSE),"")</f>
        <v/>
      </c>
    </row>
    <row r="174" spans="1:8" hidden="1">
      <c r="A174" s="71"/>
      <c r="B174" s="69" t="s">
        <v>2609</v>
      </c>
      <c r="C174" s="70" t="s">
        <v>1340</v>
      </c>
      <c r="D174" s="70" t="s">
        <v>2610</v>
      </c>
      <c r="E174" s="72" t="s">
        <v>2611</v>
      </c>
      <c r="F174" s="70"/>
      <c r="G174" s="70" t="str">
        <f>IFERROR(VLOOKUP(A174,[1]wms_iv_f!$A$1:$E$136,4,FALSE),"")</f>
        <v/>
      </c>
      <c r="H174" s="95" t="str">
        <f>IFERROR(VLOOKUP(A174,[2]wms_lc_f!$A$1:$B$156,2,FALSE),"")</f>
        <v/>
      </c>
    </row>
    <row r="175" spans="1:8" hidden="1">
      <c r="A175" s="71"/>
      <c r="B175" s="69" t="s">
        <v>2609</v>
      </c>
      <c r="C175" s="70" t="s">
        <v>1339</v>
      </c>
      <c r="D175" s="70" t="s">
        <v>2610</v>
      </c>
      <c r="E175" s="72" t="s">
        <v>2611</v>
      </c>
      <c r="F175" s="70"/>
      <c r="G175" s="70" t="str">
        <f>IFERROR(VLOOKUP(A175,[1]wms_iv_f!$A$1:$E$136,4,FALSE),"")</f>
        <v/>
      </c>
      <c r="H175" s="95" t="str">
        <f>IFERROR(VLOOKUP(A175,[2]wms_lc_f!$A$1:$B$156,2,FALSE),"")</f>
        <v/>
      </c>
    </row>
    <row r="176" spans="1:8" hidden="1">
      <c r="A176" s="71"/>
      <c r="B176" s="69" t="s">
        <v>2609</v>
      </c>
      <c r="C176" s="70" t="s">
        <v>1338</v>
      </c>
      <c r="D176" s="70" t="s">
        <v>2610</v>
      </c>
      <c r="E176" s="72" t="s">
        <v>2611</v>
      </c>
      <c r="F176" s="70"/>
      <c r="G176" s="70" t="str">
        <f>IFERROR(VLOOKUP(A176,[1]wms_iv_f!$A$1:$E$136,4,FALSE),"")</f>
        <v/>
      </c>
      <c r="H176" s="95" t="str">
        <f>IFERROR(VLOOKUP(A176,[2]wms_lc_f!$A$1:$B$156,2,FALSE),"")</f>
        <v/>
      </c>
    </row>
    <row r="177" spans="1:8" hidden="1">
      <c r="A177" s="71"/>
      <c r="B177" s="69" t="s">
        <v>2609</v>
      </c>
      <c r="C177" s="70" t="s">
        <v>1337</v>
      </c>
      <c r="D177" s="70" t="s">
        <v>2610</v>
      </c>
      <c r="E177" s="72" t="s">
        <v>2611</v>
      </c>
      <c r="F177" s="70"/>
      <c r="G177" s="70" t="str">
        <f>IFERROR(VLOOKUP(A177,[1]wms_iv_f!$A$1:$E$136,4,FALSE),"")</f>
        <v/>
      </c>
      <c r="H177" s="95" t="str">
        <f>IFERROR(VLOOKUP(A177,[2]wms_lc_f!$A$1:$B$156,2,FALSE),"")</f>
        <v/>
      </c>
    </row>
    <row r="178" spans="1:8" hidden="1">
      <c r="A178" s="71"/>
      <c r="B178" s="69" t="s">
        <v>2609</v>
      </c>
      <c r="C178" s="70" t="s">
        <v>1336</v>
      </c>
      <c r="D178" s="70" t="s">
        <v>2610</v>
      </c>
      <c r="E178" s="72" t="s">
        <v>2611</v>
      </c>
      <c r="F178" s="70"/>
      <c r="G178" s="70" t="str">
        <f>IFERROR(VLOOKUP(A178,[1]wms_iv_f!$A$1:$E$136,4,FALSE),"")</f>
        <v/>
      </c>
      <c r="H178" s="95" t="str">
        <f>IFERROR(VLOOKUP(A178,[2]wms_lc_f!$A$1:$B$156,2,FALSE),"")</f>
        <v/>
      </c>
    </row>
    <row r="179" spans="1:8" hidden="1">
      <c r="A179" s="71"/>
      <c r="B179" s="69" t="s">
        <v>2609</v>
      </c>
      <c r="C179" s="70" t="s">
        <v>1548</v>
      </c>
      <c r="D179" s="70" t="s">
        <v>2610</v>
      </c>
      <c r="E179" s="72" t="s">
        <v>2611</v>
      </c>
      <c r="F179" s="70"/>
      <c r="G179" s="70" t="str">
        <f>IFERROR(VLOOKUP(A179,[1]wms_iv_f!$A$1:$E$136,4,FALSE),"")</f>
        <v/>
      </c>
      <c r="H179" s="95" t="str">
        <f>IFERROR(VLOOKUP(A179,[2]wms_lc_f!$A$1:$B$156,2,FALSE),"")</f>
        <v/>
      </c>
    </row>
    <row r="180" spans="1:8" hidden="1">
      <c r="A180" s="71"/>
      <c r="B180" s="69" t="s">
        <v>2609</v>
      </c>
      <c r="C180" s="70" t="s">
        <v>1547</v>
      </c>
      <c r="D180" s="70" t="s">
        <v>2610</v>
      </c>
      <c r="E180" s="72" t="s">
        <v>2611</v>
      </c>
      <c r="F180" s="70"/>
      <c r="G180" s="70" t="str">
        <f>IFERROR(VLOOKUP(A180,[1]wms_iv_f!$A$1:$E$136,4,FALSE),"")</f>
        <v/>
      </c>
      <c r="H180" s="95" t="str">
        <f>IFERROR(VLOOKUP(A180,[2]wms_lc_f!$A$1:$B$156,2,FALSE),"")</f>
        <v/>
      </c>
    </row>
    <row r="181" spans="1:8" hidden="1">
      <c r="A181" s="71"/>
      <c r="B181" s="69" t="s">
        <v>2609</v>
      </c>
      <c r="C181" s="70" t="s">
        <v>1546</v>
      </c>
      <c r="D181" s="70" t="s">
        <v>2610</v>
      </c>
      <c r="E181" s="72" t="s">
        <v>2611</v>
      </c>
      <c r="F181" s="70"/>
      <c r="G181" s="70" t="str">
        <f>IFERROR(VLOOKUP(A181,[1]wms_iv_f!$A$1:$E$136,4,FALSE),"")</f>
        <v/>
      </c>
      <c r="H181" s="95" t="str">
        <f>IFERROR(VLOOKUP(A181,[2]wms_lc_f!$A$1:$B$156,2,FALSE),"")</f>
        <v/>
      </c>
    </row>
    <row r="182" spans="1:8" hidden="1">
      <c r="A182" s="71"/>
      <c r="B182" s="69" t="s">
        <v>2609</v>
      </c>
      <c r="C182" s="70" t="s">
        <v>1545</v>
      </c>
      <c r="D182" s="70" t="s">
        <v>2610</v>
      </c>
      <c r="E182" s="72" t="s">
        <v>2611</v>
      </c>
      <c r="F182" s="70"/>
      <c r="G182" s="70" t="str">
        <f>IFERROR(VLOOKUP(A182,[1]wms_iv_f!$A$1:$E$136,4,FALSE),"")</f>
        <v/>
      </c>
      <c r="H182" s="95" t="str">
        <f>IFERROR(VLOOKUP(A182,[2]wms_lc_f!$A$1:$B$156,2,FALSE),"")</f>
        <v/>
      </c>
    </row>
    <row r="183" spans="1:8" hidden="1">
      <c r="A183" s="71"/>
      <c r="B183" s="69" t="s">
        <v>2609</v>
      </c>
      <c r="C183" s="70" t="s">
        <v>1544</v>
      </c>
      <c r="D183" s="70" t="s">
        <v>2610</v>
      </c>
      <c r="E183" s="72" t="s">
        <v>2611</v>
      </c>
      <c r="F183" s="70"/>
      <c r="G183" s="70" t="str">
        <f>IFERROR(VLOOKUP(A183,[1]wms_iv_f!$A$1:$E$136,4,FALSE),"")</f>
        <v/>
      </c>
      <c r="H183" s="95" t="str">
        <f>IFERROR(VLOOKUP(A183,[2]wms_lc_f!$A$1:$B$156,2,FALSE),"")</f>
        <v/>
      </c>
    </row>
    <row r="184" spans="1:8" hidden="1">
      <c r="A184" s="71"/>
      <c r="B184" s="69" t="s">
        <v>2609</v>
      </c>
      <c r="C184" s="70" t="s">
        <v>1543</v>
      </c>
      <c r="D184" s="70" t="s">
        <v>2610</v>
      </c>
      <c r="E184" s="72" t="s">
        <v>2611</v>
      </c>
      <c r="F184" s="70"/>
      <c r="G184" s="70" t="str">
        <f>IFERROR(VLOOKUP(A184,[1]wms_iv_f!$A$1:$E$136,4,FALSE),"")</f>
        <v/>
      </c>
      <c r="H184" s="95" t="str">
        <f>IFERROR(VLOOKUP(A184,[2]wms_lc_f!$A$1:$B$156,2,FALSE),"")</f>
        <v/>
      </c>
    </row>
    <row r="185" spans="1:8" hidden="1">
      <c r="A185" s="71"/>
      <c r="B185" s="69" t="s">
        <v>2609</v>
      </c>
      <c r="C185" s="70" t="s">
        <v>1442</v>
      </c>
      <c r="D185" s="70" t="s">
        <v>2610</v>
      </c>
      <c r="E185" s="72" t="s">
        <v>2611</v>
      </c>
      <c r="F185" s="70"/>
      <c r="G185" s="70" t="str">
        <f>IFERROR(VLOOKUP(A185,[1]wms_iv_f!$A$1:$E$136,4,FALSE),"")</f>
        <v/>
      </c>
      <c r="H185" s="95" t="str">
        <f>IFERROR(VLOOKUP(A185,[2]wms_lc_f!$A$1:$B$156,2,FALSE),"")</f>
        <v/>
      </c>
    </row>
    <row r="186" spans="1:8" hidden="1">
      <c r="A186" s="71"/>
      <c r="B186" s="69" t="s">
        <v>2609</v>
      </c>
      <c r="C186" s="70" t="s">
        <v>1441</v>
      </c>
      <c r="D186" s="70" t="s">
        <v>2610</v>
      </c>
      <c r="E186" s="72" t="s">
        <v>2611</v>
      </c>
      <c r="F186" s="70"/>
      <c r="G186" s="70" t="str">
        <f>IFERROR(VLOOKUP(A186,[1]wms_iv_f!$A$1:$E$136,4,FALSE),"")</f>
        <v/>
      </c>
      <c r="H186" s="95" t="str">
        <f>IFERROR(VLOOKUP(A186,[2]wms_lc_f!$A$1:$B$156,2,FALSE),"")</f>
        <v/>
      </c>
    </row>
    <row r="187" spans="1:8" hidden="1">
      <c r="A187" s="71"/>
      <c r="B187" s="69" t="s">
        <v>2609</v>
      </c>
      <c r="C187" s="70" t="s">
        <v>1440</v>
      </c>
      <c r="D187" s="70" t="s">
        <v>2610</v>
      </c>
      <c r="E187" s="72" t="s">
        <v>2611</v>
      </c>
      <c r="F187" s="70"/>
      <c r="G187" s="70" t="str">
        <f>IFERROR(VLOOKUP(A187,[1]wms_iv_f!$A$1:$E$136,4,FALSE),"")</f>
        <v/>
      </c>
      <c r="H187" s="95" t="str">
        <f>IFERROR(VLOOKUP(A187,[2]wms_lc_f!$A$1:$B$156,2,FALSE),"")</f>
        <v/>
      </c>
    </row>
    <row r="188" spans="1:8" hidden="1">
      <c r="A188" s="71"/>
      <c r="B188" s="69" t="s">
        <v>2609</v>
      </c>
      <c r="C188" s="70" t="s">
        <v>1439</v>
      </c>
      <c r="D188" s="70" t="s">
        <v>2610</v>
      </c>
      <c r="E188" s="72" t="s">
        <v>2611</v>
      </c>
      <c r="F188" s="70"/>
      <c r="G188" s="70" t="str">
        <f>IFERROR(VLOOKUP(A188,[1]wms_iv_f!$A$1:$E$136,4,FALSE),"")</f>
        <v/>
      </c>
      <c r="H188" s="95" t="str">
        <f>IFERROR(VLOOKUP(A188,[2]wms_lc_f!$A$1:$B$156,2,FALSE),"")</f>
        <v/>
      </c>
    </row>
    <row r="189" spans="1:8" hidden="1">
      <c r="A189" s="71"/>
      <c r="B189" s="69" t="s">
        <v>2609</v>
      </c>
      <c r="C189" s="70" t="s">
        <v>1438</v>
      </c>
      <c r="D189" s="70" t="s">
        <v>2610</v>
      </c>
      <c r="E189" s="72" t="s">
        <v>2611</v>
      </c>
      <c r="F189" s="70"/>
      <c r="G189" s="70" t="str">
        <f>IFERROR(VLOOKUP(A189,[1]wms_iv_f!$A$1:$E$136,4,FALSE),"")</f>
        <v/>
      </c>
      <c r="H189" s="95" t="str">
        <f>IFERROR(VLOOKUP(A189,[2]wms_lc_f!$A$1:$B$156,2,FALSE),"")</f>
        <v/>
      </c>
    </row>
    <row r="190" spans="1:8" hidden="1">
      <c r="A190" s="71"/>
      <c r="B190" s="69" t="s">
        <v>2609</v>
      </c>
      <c r="C190" s="70" t="s">
        <v>1437</v>
      </c>
      <c r="D190" s="70" t="s">
        <v>2610</v>
      </c>
      <c r="E190" s="72" t="s">
        <v>2611</v>
      </c>
      <c r="F190" s="70"/>
      <c r="G190" s="70" t="str">
        <f>IFERROR(VLOOKUP(A190,[1]wms_iv_f!$A$1:$E$136,4,FALSE),"")</f>
        <v/>
      </c>
      <c r="H190" s="95" t="str">
        <f>IFERROR(VLOOKUP(A190,[2]wms_lc_f!$A$1:$B$156,2,FALSE),"")</f>
        <v/>
      </c>
    </row>
    <row r="191" spans="1:8" hidden="1">
      <c r="A191" s="71"/>
      <c r="B191" s="69" t="s">
        <v>2609</v>
      </c>
      <c r="C191" s="70" t="s">
        <v>1335</v>
      </c>
      <c r="D191" s="70" t="s">
        <v>2610</v>
      </c>
      <c r="E191" s="72" t="s">
        <v>2611</v>
      </c>
      <c r="F191" s="70"/>
      <c r="G191" s="70" t="str">
        <f>IFERROR(VLOOKUP(A191,[1]wms_iv_f!$A$1:$E$136,4,FALSE),"")</f>
        <v/>
      </c>
      <c r="H191" s="95" t="str">
        <f>IFERROR(VLOOKUP(A191,[2]wms_lc_f!$A$1:$B$156,2,FALSE),"")</f>
        <v/>
      </c>
    </row>
    <row r="192" spans="1:8" hidden="1">
      <c r="A192" s="71"/>
      <c r="B192" s="69" t="s">
        <v>2609</v>
      </c>
      <c r="C192" s="70" t="s">
        <v>1334</v>
      </c>
      <c r="D192" s="70" t="s">
        <v>2610</v>
      </c>
      <c r="E192" s="72" t="s">
        <v>2611</v>
      </c>
      <c r="F192" s="70"/>
      <c r="G192" s="70" t="str">
        <f>IFERROR(VLOOKUP(A192,[1]wms_iv_f!$A$1:$E$136,4,FALSE),"")</f>
        <v/>
      </c>
      <c r="H192" s="95" t="str">
        <f>IFERROR(VLOOKUP(A192,[2]wms_lc_f!$A$1:$B$156,2,FALSE),"")</f>
        <v/>
      </c>
    </row>
    <row r="193" spans="1:8" hidden="1">
      <c r="A193" s="71"/>
      <c r="B193" s="69" t="s">
        <v>2609</v>
      </c>
      <c r="C193" s="70" t="s">
        <v>1333</v>
      </c>
      <c r="D193" s="70" t="s">
        <v>2610</v>
      </c>
      <c r="E193" s="72" t="s">
        <v>2611</v>
      </c>
      <c r="F193" s="70"/>
      <c r="G193" s="70" t="str">
        <f>IFERROR(VLOOKUP(A193,[1]wms_iv_f!$A$1:$E$136,4,FALSE),"")</f>
        <v/>
      </c>
      <c r="H193" s="95" t="str">
        <f>IFERROR(VLOOKUP(A193,[2]wms_lc_f!$A$1:$B$156,2,FALSE),"")</f>
        <v/>
      </c>
    </row>
    <row r="194" spans="1:8" hidden="1">
      <c r="A194" s="71"/>
      <c r="B194" s="69" t="s">
        <v>2609</v>
      </c>
      <c r="C194" s="70" t="s">
        <v>1332</v>
      </c>
      <c r="D194" s="70" t="s">
        <v>2610</v>
      </c>
      <c r="E194" s="72" t="s">
        <v>2611</v>
      </c>
      <c r="F194" s="70"/>
      <c r="G194" s="70" t="str">
        <f>IFERROR(VLOOKUP(A194,[1]wms_iv_f!$A$1:$E$136,4,FALSE),"")</f>
        <v/>
      </c>
      <c r="H194" s="95" t="str">
        <f>IFERROR(VLOOKUP(A194,[2]wms_lc_f!$A$1:$B$156,2,FALSE),"")</f>
        <v/>
      </c>
    </row>
    <row r="195" spans="1:8" hidden="1">
      <c r="A195" s="71"/>
      <c r="B195" s="69" t="s">
        <v>2609</v>
      </c>
      <c r="C195" s="70" t="s">
        <v>1331</v>
      </c>
      <c r="D195" s="70" t="s">
        <v>2610</v>
      </c>
      <c r="E195" s="72" t="s">
        <v>2611</v>
      </c>
      <c r="F195" s="70"/>
      <c r="G195" s="70" t="str">
        <f>IFERROR(VLOOKUP(A195,[1]wms_iv_f!$A$1:$E$136,4,FALSE),"")</f>
        <v/>
      </c>
      <c r="H195" s="95" t="str">
        <f>IFERROR(VLOOKUP(A195,[2]wms_lc_f!$A$1:$B$156,2,FALSE),"")</f>
        <v/>
      </c>
    </row>
    <row r="196" spans="1:8" hidden="1">
      <c r="A196" s="71"/>
      <c r="B196" s="69" t="s">
        <v>2609</v>
      </c>
      <c r="C196" s="70" t="s">
        <v>1330</v>
      </c>
      <c r="D196" s="70" t="s">
        <v>2610</v>
      </c>
      <c r="E196" s="72" t="s">
        <v>2611</v>
      </c>
      <c r="F196" s="70"/>
      <c r="G196" s="70" t="str">
        <f>IFERROR(VLOOKUP(A196,[1]wms_iv_f!$A$1:$E$136,4,FALSE),"")</f>
        <v/>
      </c>
      <c r="H196" s="95" t="str">
        <f>IFERROR(VLOOKUP(A196,[2]wms_lc_f!$A$1:$B$156,2,FALSE),"")</f>
        <v/>
      </c>
    </row>
    <row r="197" spans="1:8" hidden="1">
      <c r="A197" s="71"/>
      <c r="B197" s="69" t="s">
        <v>2609</v>
      </c>
      <c r="C197" s="70" t="s">
        <v>2615</v>
      </c>
      <c r="D197" s="70" t="s">
        <v>2610</v>
      </c>
      <c r="E197" s="72" t="s">
        <v>2611</v>
      </c>
      <c r="F197" s="70"/>
      <c r="G197" s="70" t="str">
        <f>IFERROR(VLOOKUP(A197,[1]wms_iv_f!$A$1:$E$136,4,FALSE),"")</f>
        <v/>
      </c>
      <c r="H197" s="95" t="str">
        <f>IFERROR(VLOOKUP(A197,[2]wms_lc_f!$A$1:$B$156,2,FALSE),"")</f>
        <v/>
      </c>
    </row>
    <row r="198" spans="1:8" hidden="1">
      <c r="A198" s="71"/>
      <c r="B198" s="69" t="s">
        <v>2609</v>
      </c>
      <c r="C198" s="70" t="s">
        <v>2616</v>
      </c>
      <c r="D198" s="70" t="s">
        <v>2610</v>
      </c>
      <c r="E198" s="72" t="s">
        <v>2611</v>
      </c>
      <c r="F198" s="70"/>
      <c r="G198" s="70" t="str">
        <f>IFERROR(VLOOKUP(A198,[1]wms_iv_f!$A$1:$E$136,4,FALSE),"")</f>
        <v/>
      </c>
      <c r="H198" s="95" t="str">
        <f>IFERROR(VLOOKUP(A198,[2]wms_lc_f!$A$1:$B$156,2,FALSE),"")</f>
        <v/>
      </c>
    </row>
    <row r="199" spans="1:8" hidden="1">
      <c r="A199" s="71"/>
      <c r="B199" s="69" t="s">
        <v>2609</v>
      </c>
      <c r="C199" s="70" t="s">
        <v>1542</v>
      </c>
      <c r="D199" s="70" t="s">
        <v>2610</v>
      </c>
      <c r="E199" s="72" t="s">
        <v>2611</v>
      </c>
      <c r="F199" s="70"/>
      <c r="G199" s="70" t="str">
        <f>IFERROR(VLOOKUP(A199,[1]wms_iv_f!$A$1:$E$136,4,FALSE),"")</f>
        <v/>
      </c>
      <c r="H199" s="95" t="str">
        <f>IFERROR(VLOOKUP(A199,[2]wms_lc_f!$A$1:$B$156,2,FALSE),"")</f>
        <v/>
      </c>
    </row>
    <row r="200" spans="1:8" hidden="1">
      <c r="A200" s="71"/>
      <c r="B200" s="69" t="s">
        <v>2609</v>
      </c>
      <c r="C200" s="70" t="s">
        <v>1541</v>
      </c>
      <c r="D200" s="70" t="s">
        <v>2610</v>
      </c>
      <c r="E200" s="72" t="s">
        <v>2611</v>
      </c>
      <c r="F200" s="70"/>
      <c r="G200" s="70" t="str">
        <f>IFERROR(VLOOKUP(A200,[1]wms_iv_f!$A$1:$E$136,4,FALSE),"")</f>
        <v/>
      </c>
      <c r="H200" s="95" t="str">
        <f>IFERROR(VLOOKUP(A200,[2]wms_lc_f!$A$1:$B$156,2,FALSE),"")</f>
        <v/>
      </c>
    </row>
    <row r="201" spans="1:8" hidden="1">
      <c r="A201" s="71"/>
      <c r="B201" s="69" t="s">
        <v>2609</v>
      </c>
      <c r="C201" s="70" t="s">
        <v>1540</v>
      </c>
      <c r="D201" s="70" t="s">
        <v>2610</v>
      </c>
      <c r="E201" s="72" t="s">
        <v>2611</v>
      </c>
      <c r="F201" s="70"/>
      <c r="G201" s="70" t="str">
        <f>IFERROR(VLOOKUP(A201,[1]wms_iv_f!$A$1:$E$136,4,FALSE),"")</f>
        <v/>
      </c>
      <c r="H201" s="95" t="str">
        <f>IFERROR(VLOOKUP(A201,[2]wms_lc_f!$A$1:$B$156,2,FALSE),"")</f>
        <v/>
      </c>
    </row>
    <row r="202" spans="1:8" hidden="1">
      <c r="A202" s="71"/>
      <c r="B202" s="69" t="s">
        <v>2609</v>
      </c>
      <c r="C202" s="70" t="s">
        <v>1539</v>
      </c>
      <c r="D202" s="70" t="s">
        <v>2610</v>
      </c>
      <c r="E202" s="72" t="s">
        <v>2611</v>
      </c>
      <c r="F202" s="70"/>
      <c r="G202" s="70" t="str">
        <f>IFERROR(VLOOKUP(A202,[1]wms_iv_f!$A$1:$E$136,4,FALSE),"")</f>
        <v/>
      </c>
      <c r="H202" s="95" t="str">
        <f>IFERROR(VLOOKUP(A202,[2]wms_lc_f!$A$1:$B$156,2,FALSE),"")</f>
        <v/>
      </c>
    </row>
    <row r="203" spans="1:8" hidden="1">
      <c r="A203" s="71"/>
      <c r="B203" s="69" t="s">
        <v>2609</v>
      </c>
      <c r="C203" s="70" t="s">
        <v>1436</v>
      </c>
      <c r="D203" s="70" t="s">
        <v>2610</v>
      </c>
      <c r="E203" s="72" t="s">
        <v>2611</v>
      </c>
      <c r="F203" s="70"/>
      <c r="G203" s="70" t="str">
        <f>IFERROR(VLOOKUP(A203,[1]wms_iv_f!$A$1:$E$136,4,FALSE),"")</f>
        <v/>
      </c>
      <c r="H203" s="95" t="str">
        <f>IFERROR(VLOOKUP(A203,[2]wms_lc_f!$A$1:$B$156,2,FALSE),"")</f>
        <v/>
      </c>
    </row>
    <row r="204" spans="1:8" hidden="1">
      <c r="A204" s="71"/>
      <c r="B204" s="69" t="s">
        <v>2609</v>
      </c>
      <c r="C204" s="70" t="s">
        <v>2617</v>
      </c>
      <c r="D204" s="70" t="s">
        <v>2610</v>
      </c>
      <c r="E204" s="72" t="s">
        <v>2611</v>
      </c>
      <c r="F204" s="70"/>
      <c r="G204" s="70" t="str">
        <f>IFERROR(VLOOKUP(A204,[1]wms_iv_f!$A$1:$E$136,4,FALSE),"")</f>
        <v/>
      </c>
      <c r="H204" s="95" t="str">
        <f>IFERROR(VLOOKUP(A204,[2]wms_lc_f!$A$1:$B$156,2,FALSE),"")</f>
        <v/>
      </c>
    </row>
    <row r="205" spans="1:8" hidden="1">
      <c r="A205" s="71"/>
      <c r="B205" s="69" t="s">
        <v>2609</v>
      </c>
      <c r="C205" s="70" t="s">
        <v>1435</v>
      </c>
      <c r="D205" s="70" t="s">
        <v>2610</v>
      </c>
      <c r="E205" s="72" t="s">
        <v>2611</v>
      </c>
      <c r="F205" s="70"/>
      <c r="G205" s="70" t="str">
        <f>IFERROR(VLOOKUP(A205,[1]wms_iv_f!$A$1:$E$136,4,FALSE),"")</f>
        <v/>
      </c>
      <c r="H205" s="95" t="str">
        <f>IFERROR(VLOOKUP(A205,[2]wms_lc_f!$A$1:$B$156,2,FALSE),"")</f>
        <v/>
      </c>
    </row>
    <row r="206" spans="1:8" hidden="1">
      <c r="A206" s="71"/>
      <c r="B206" s="69" t="s">
        <v>2609</v>
      </c>
      <c r="C206" s="70" t="s">
        <v>1434</v>
      </c>
      <c r="D206" s="70" t="s">
        <v>2610</v>
      </c>
      <c r="E206" s="72" t="s">
        <v>2611</v>
      </c>
      <c r="F206" s="70"/>
      <c r="G206" s="70" t="str">
        <f>IFERROR(VLOOKUP(A206,[1]wms_iv_f!$A$1:$E$136,4,FALSE),"")</f>
        <v/>
      </c>
      <c r="H206" s="95" t="str">
        <f>IFERROR(VLOOKUP(A206,[2]wms_lc_f!$A$1:$B$156,2,FALSE),"")</f>
        <v/>
      </c>
    </row>
    <row r="207" spans="1:8" hidden="1">
      <c r="A207" s="71"/>
      <c r="B207" s="69" t="s">
        <v>2609</v>
      </c>
      <c r="C207" s="70" t="s">
        <v>1433</v>
      </c>
      <c r="D207" s="70" t="s">
        <v>2610</v>
      </c>
      <c r="E207" s="72" t="s">
        <v>2611</v>
      </c>
      <c r="F207" s="70"/>
      <c r="G207" s="70" t="str">
        <f>IFERROR(VLOOKUP(A207,[1]wms_iv_f!$A$1:$E$136,4,FALSE),"")</f>
        <v/>
      </c>
      <c r="H207" s="95" t="str">
        <f>IFERROR(VLOOKUP(A207,[2]wms_lc_f!$A$1:$B$156,2,FALSE),"")</f>
        <v/>
      </c>
    </row>
    <row r="208" spans="1:8" hidden="1">
      <c r="A208" s="71"/>
      <c r="B208" s="69" t="s">
        <v>2609</v>
      </c>
      <c r="C208" s="70" t="s">
        <v>1432</v>
      </c>
      <c r="D208" s="70" t="s">
        <v>2610</v>
      </c>
      <c r="E208" s="72" t="s">
        <v>2611</v>
      </c>
      <c r="F208" s="70"/>
      <c r="G208" s="70" t="str">
        <f>IFERROR(VLOOKUP(A208,[1]wms_iv_f!$A$1:$E$136,4,FALSE),"")</f>
        <v/>
      </c>
      <c r="H208" s="95" t="str">
        <f>IFERROR(VLOOKUP(A208,[2]wms_lc_f!$A$1:$B$156,2,FALSE),"")</f>
        <v/>
      </c>
    </row>
    <row r="209" spans="1:8" hidden="1">
      <c r="A209" s="71"/>
      <c r="B209" s="69" t="s">
        <v>2609</v>
      </c>
      <c r="C209" s="70" t="s">
        <v>1329</v>
      </c>
      <c r="D209" s="70" t="s">
        <v>2610</v>
      </c>
      <c r="E209" s="72" t="s">
        <v>2611</v>
      </c>
      <c r="F209" s="70"/>
      <c r="G209" s="70" t="str">
        <f>IFERROR(VLOOKUP(A209,[1]wms_iv_f!$A$1:$E$136,4,FALSE),"")</f>
        <v/>
      </c>
      <c r="H209" s="95" t="str">
        <f>IFERROR(VLOOKUP(A209,[2]wms_lc_f!$A$1:$B$156,2,FALSE),"")</f>
        <v/>
      </c>
    </row>
    <row r="210" spans="1:8" hidden="1">
      <c r="A210" s="71"/>
      <c r="B210" s="69" t="s">
        <v>2609</v>
      </c>
      <c r="C210" s="70" t="s">
        <v>2618</v>
      </c>
      <c r="D210" s="70" t="s">
        <v>2610</v>
      </c>
      <c r="E210" s="72" t="s">
        <v>2611</v>
      </c>
      <c r="F210" s="70"/>
      <c r="G210" s="70" t="str">
        <f>IFERROR(VLOOKUP(A210,[1]wms_iv_f!$A$1:$E$136,4,FALSE),"")</f>
        <v/>
      </c>
      <c r="H210" s="95" t="str">
        <f>IFERROR(VLOOKUP(A210,[2]wms_lc_f!$A$1:$B$156,2,FALSE),"")</f>
        <v/>
      </c>
    </row>
    <row r="211" spans="1:8" hidden="1">
      <c r="A211" s="71"/>
      <c r="B211" s="69" t="s">
        <v>2609</v>
      </c>
      <c r="C211" s="70" t="s">
        <v>1328</v>
      </c>
      <c r="D211" s="70" t="s">
        <v>2610</v>
      </c>
      <c r="E211" s="72" t="s">
        <v>2611</v>
      </c>
      <c r="F211" s="70"/>
      <c r="G211" s="70" t="str">
        <f>IFERROR(VLOOKUP(A211,[1]wms_iv_f!$A$1:$E$136,4,FALSE),"")</f>
        <v/>
      </c>
      <c r="H211" s="95" t="str">
        <f>IFERROR(VLOOKUP(A211,[2]wms_lc_f!$A$1:$B$156,2,FALSE),"")</f>
        <v/>
      </c>
    </row>
    <row r="212" spans="1:8" hidden="1">
      <c r="A212" s="71"/>
      <c r="B212" s="69" t="s">
        <v>2609</v>
      </c>
      <c r="C212" s="70" t="s">
        <v>1327</v>
      </c>
      <c r="D212" s="70" t="s">
        <v>2610</v>
      </c>
      <c r="E212" s="72" t="s">
        <v>2611</v>
      </c>
      <c r="F212" s="70"/>
      <c r="G212" s="70" t="str">
        <f>IFERROR(VLOOKUP(A212,[1]wms_iv_f!$A$1:$E$136,4,FALSE),"")</f>
        <v/>
      </c>
      <c r="H212" s="95" t="str">
        <f>IFERROR(VLOOKUP(A212,[2]wms_lc_f!$A$1:$B$156,2,FALSE),"")</f>
        <v/>
      </c>
    </row>
    <row r="213" spans="1:8" hidden="1">
      <c r="A213" s="71"/>
      <c r="B213" s="69" t="s">
        <v>2609</v>
      </c>
      <c r="C213" s="70" t="s">
        <v>1326</v>
      </c>
      <c r="D213" s="70" t="s">
        <v>2610</v>
      </c>
      <c r="E213" s="72" t="s">
        <v>2611</v>
      </c>
      <c r="F213" s="70"/>
      <c r="G213" s="70" t="str">
        <f>IFERROR(VLOOKUP(A213,[1]wms_iv_f!$A$1:$E$136,4,FALSE),"")</f>
        <v/>
      </c>
      <c r="H213" s="95" t="str">
        <f>IFERROR(VLOOKUP(A213,[2]wms_lc_f!$A$1:$B$156,2,FALSE),"")</f>
        <v/>
      </c>
    </row>
    <row r="214" spans="1:8" hidden="1">
      <c r="A214" s="71"/>
      <c r="B214" s="69" t="s">
        <v>2609</v>
      </c>
      <c r="C214" s="70" t="s">
        <v>1325</v>
      </c>
      <c r="D214" s="70" t="s">
        <v>2610</v>
      </c>
      <c r="E214" s="72" t="s">
        <v>2611</v>
      </c>
      <c r="F214" s="70"/>
      <c r="G214" s="70" t="str">
        <f>IFERROR(VLOOKUP(A214,[1]wms_iv_f!$A$1:$E$136,4,FALSE),"")</f>
        <v/>
      </c>
      <c r="H214" s="95" t="str">
        <f>IFERROR(VLOOKUP(A214,[2]wms_lc_f!$A$1:$B$156,2,FALSE),"")</f>
        <v/>
      </c>
    </row>
    <row r="215" spans="1:8" hidden="1">
      <c r="A215" s="71"/>
      <c r="B215" s="69" t="s">
        <v>2609</v>
      </c>
      <c r="C215" s="70" t="s">
        <v>1538</v>
      </c>
      <c r="D215" s="70" t="s">
        <v>2610</v>
      </c>
      <c r="E215" s="72" t="s">
        <v>2611</v>
      </c>
      <c r="F215" s="70"/>
      <c r="G215" s="70" t="str">
        <f>IFERROR(VLOOKUP(A215,[1]wms_iv_f!$A$1:$E$136,4,FALSE),"")</f>
        <v/>
      </c>
      <c r="H215" s="95" t="str">
        <f>IFERROR(VLOOKUP(A215,[2]wms_lc_f!$A$1:$B$156,2,FALSE),"")</f>
        <v/>
      </c>
    </row>
    <row r="216" spans="1:8" hidden="1">
      <c r="A216" s="71"/>
      <c r="B216" s="69" t="s">
        <v>2609</v>
      </c>
      <c r="C216" s="70" t="s">
        <v>1536</v>
      </c>
      <c r="D216" s="70" t="s">
        <v>2610</v>
      </c>
      <c r="E216" s="72" t="s">
        <v>2611</v>
      </c>
      <c r="F216" s="70"/>
      <c r="G216" s="70" t="str">
        <f>IFERROR(VLOOKUP(A216,[1]wms_iv_f!$A$1:$E$136,4,FALSE),"")</f>
        <v/>
      </c>
      <c r="H216" s="95" t="str">
        <f>IFERROR(VLOOKUP(A216,[2]wms_lc_f!$A$1:$B$156,2,FALSE),"")</f>
        <v/>
      </c>
    </row>
    <row r="217" spans="1:8" hidden="1">
      <c r="A217" s="71"/>
      <c r="B217" s="69" t="s">
        <v>2609</v>
      </c>
      <c r="C217" s="70" t="s">
        <v>1535</v>
      </c>
      <c r="D217" s="70" t="s">
        <v>2610</v>
      </c>
      <c r="E217" s="72" t="s">
        <v>2611</v>
      </c>
      <c r="F217" s="70"/>
      <c r="G217" s="70" t="str">
        <f>IFERROR(VLOOKUP(A217,[1]wms_iv_f!$A$1:$E$136,4,FALSE),"")</f>
        <v/>
      </c>
      <c r="H217" s="95" t="str">
        <f>IFERROR(VLOOKUP(A217,[2]wms_lc_f!$A$1:$B$156,2,FALSE),"")</f>
        <v/>
      </c>
    </row>
    <row r="218" spans="1:8" hidden="1">
      <c r="A218" s="71"/>
      <c r="B218" s="69" t="s">
        <v>2609</v>
      </c>
      <c r="C218" s="70" t="s">
        <v>1534</v>
      </c>
      <c r="D218" s="70" t="s">
        <v>2610</v>
      </c>
      <c r="E218" s="72" t="s">
        <v>2611</v>
      </c>
      <c r="F218" s="70"/>
      <c r="G218" s="70" t="str">
        <f>IFERROR(VLOOKUP(A218,[1]wms_iv_f!$A$1:$E$136,4,FALSE),"")</f>
        <v/>
      </c>
      <c r="H218" s="95" t="str">
        <f>IFERROR(VLOOKUP(A218,[2]wms_lc_f!$A$1:$B$156,2,FALSE),"")</f>
        <v/>
      </c>
    </row>
    <row r="219" spans="1:8" hidden="1">
      <c r="A219" s="71"/>
      <c r="B219" s="69" t="s">
        <v>2609</v>
      </c>
      <c r="C219" s="70" t="s">
        <v>1533</v>
      </c>
      <c r="D219" s="70" t="s">
        <v>2610</v>
      </c>
      <c r="E219" s="72" t="s">
        <v>2611</v>
      </c>
      <c r="F219" s="70"/>
      <c r="G219" s="70" t="str">
        <f>IFERROR(VLOOKUP(A219,[1]wms_iv_f!$A$1:$E$136,4,FALSE),"")</f>
        <v/>
      </c>
      <c r="H219" s="95" t="str">
        <f>IFERROR(VLOOKUP(A219,[2]wms_lc_f!$A$1:$B$156,2,FALSE),"")</f>
        <v/>
      </c>
    </row>
    <row r="220" spans="1:8" hidden="1">
      <c r="A220" s="71"/>
      <c r="B220" s="69" t="s">
        <v>2609</v>
      </c>
      <c r="C220" s="70" t="s">
        <v>1431</v>
      </c>
      <c r="D220" s="70" t="s">
        <v>2610</v>
      </c>
      <c r="E220" s="72" t="s">
        <v>2611</v>
      </c>
      <c r="F220" s="70"/>
      <c r="G220" s="70" t="str">
        <f>IFERROR(VLOOKUP(A220,[1]wms_iv_f!$A$1:$E$136,4,FALSE),"")</f>
        <v/>
      </c>
      <c r="H220" s="95" t="str">
        <f>IFERROR(VLOOKUP(A220,[2]wms_lc_f!$A$1:$B$156,2,FALSE),"")</f>
        <v/>
      </c>
    </row>
    <row r="221" spans="1:8" hidden="1">
      <c r="A221" s="71"/>
      <c r="B221" s="69" t="s">
        <v>2609</v>
      </c>
      <c r="C221" s="70" t="s">
        <v>1429</v>
      </c>
      <c r="D221" s="70" t="s">
        <v>2610</v>
      </c>
      <c r="E221" s="72" t="s">
        <v>2611</v>
      </c>
      <c r="F221" s="70"/>
      <c r="G221" s="70" t="str">
        <f>IFERROR(VLOOKUP(A221,[1]wms_iv_f!$A$1:$E$136,4,FALSE),"")</f>
        <v/>
      </c>
      <c r="H221" s="95" t="str">
        <f>IFERROR(VLOOKUP(A221,[2]wms_lc_f!$A$1:$B$156,2,FALSE),"")</f>
        <v/>
      </c>
    </row>
    <row r="222" spans="1:8" hidden="1">
      <c r="A222" s="71"/>
      <c r="B222" s="69" t="s">
        <v>2609</v>
      </c>
      <c r="C222" s="70" t="s">
        <v>1428</v>
      </c>
      <c r="D222" s="70" t="s">
        <v>2610</v>
      </c>
      <c r="E222" s="72" t="s">
        <v>2611</v>
      </c>
      <c r="F222" s="70"/>
      <c r="G222" s="70" t="str">
        <f>IFERROR(VLOOKUP(A222,[1]wms_iv_f!$A$1:$E$136,4,FALSE),"")</f>
        <v/>
      </c>
      <c r="H222" s="95" t="str">
        <f>IFERROR(VLOOKUP(A222,[2]wms_lc_f!$A$1:$B$156,2,FALSE),"")</f>
        <v/>
      </c>
    </row>
    <row r="223" spans="1:8" hidden="1">
      <c r="A223" s="71"/>
      <c r="B223" s="69" t="s">
        <v>2609</v>
      </c>
      <c r="C223" s="70" t="s">
        <v>1427</v>
      </c>
      <c r="D223" s="70" t="s">
        <v>2610</v>
      </c>
      <c r="E223" s="72" t="s">
        <v>2611</v>
      </c>
      <c r="F223" s="70"/>
      <c r="G223" s="70" t="str">
        <f>IFERROR(VLOOKUP(A223,[1]wms_iv_f!$A$1:$E$136,4,FALSE),"")</f>
        <v/>
      </c>
      <c r="H223" s="95" t="str">
        <f>IFERROR(VLOOKUP(A223,[2]wms_lc_f!$A$1:$B$156,2,FALSE),"")</f>
        <v/>
      </c>
    </row>
    <row r="224" spans="1:8" hidden="1">
      <c r="A224" s="71"/>
      <c r="B224" s="69" t="s">
        <v>2609</v>
      </c>
      <c r="C224" s="70" t="s">
        <v>1426</v>
      </c>
      <c r="D224" s="70" t="s">
        <v>2610</v>
      </c>
      <c r="E224" s="72" t="s">
        <v>2611</v>
      </c>
      <c r="F224" s="70"/>
      <c r="G224" s="70" t="str">
        <f>IFERROR(VLOOKUP(A224,[1]wms_iv_f!$A$1:$E$136,4,FALSE),"")</f>
        <v/>
      </c>
      <c r="H224" s="95" t="str">
        <f>IFERROR(VLOOKUP(A224,[2]wms_lc_f!$A$1:$B$156,2,FALSE),"")</f>
        <v/>
      </c>
    </row>
    <row r="225" spans="1:8" hidden="1">
      <c r="A225" s="71"/>
      <c r="B225" s="69" t="s">
        <v>2609</v>
      </c>
      <c r="C225" s="70" t="s">
        <v>1324</v>
      </c>
      <c r="D225" s="70" t="s">
        <v>2610</v>
      </c>
      <c r="E225" s="72" t="s">
        <v>2611</v>
      </c>
      <c r="F225" s="70"/>
      <c r="G225" s="70" t="str">
        <f>IFERROR(VLOOKUP(A225,[1]wms_iv_f!$A$1:$E$136,4,FALSE),"")</f>
        <v/>
      </c>
      <c r="H225" s="95" t="str">
        <f>IFERROR(VLOOKUP(A225,[2]wms_lc_f!$A$1:$B$156,2,FALSE),"")</f>
        <v/>
      </c>
    </row>
    <row r="226" spans="1:8" hidden="1">
      <c r="A226" s="71"/>
      <c r="B226" s="69" t="s">
        <v>2609</v>
      </c>
      <c r="C226" s="70" t="s">
        <v>1322</v>
      </c>
      <c r="D226" s="70" t="s">
        <v>2610</v>
      </c>
      <c r="E226" s="72" t="s">
        <v>2611</v>
      </c>
      <c r="F226" s="70"/>
      <c r="G226" s="70" t="str">
        <f>IFERROR(VLOOKUP(A226,[1]wms_iv_f!$A$1:$E$136,4,FALSE),"")</f>
        <v/>
      </c>
      <c r="H226" s="95" t="str">
        <f>IFERROR(VLOOKUP(A226,[2]wms_lc_f!$A$1:$B$156,2,FALSE),"")</f>
        <v/>
      </c>
    </row>
    <row r="227" spans="1:8" hidden="1">
      <c r="A227" s="71"/>
      <c r="B227" s="69" t="s">
        <v>2609</v>
      </c>
      <c r="C227" s="70" t="s">
        <v>1321</v>
      </c>
      <c r="D227" s="70" t="s">
        <v>2610</v>
      </c>
      <c r="E227" s="72" t="s">
        <v>2611</v>
      </c>
      <c r="F227" s="70"/>
      <c r="G227" s="70" t="str">
        <f>IFERROR(VLOOKUP(A227,[1]wms_iv_f!$A$1:$E$136,4,FALSE),"")</f>
        <v/>
      </c>
      <c r="H227" s="95" t="str">
        <f>IFERROR(VLOOKUP(A227,[2]wms_lc_f!$A$1:$B$156,2,FALSE),"")</f>
        <v/>
      </c>
    </row>
    <row r="228" spans="1:8" hidden="1">
      <c r="A228" s="71"/>
      <c r="B228" s="69" t="s">
        <v>2609</v>
      </c>
      <c r="C228" s="70" t="s">
        <v>1320</v>
      </c>
      <c r="D228" s="70" t="s">
        <v>2610</v>
      </c>
      <c r="E228" s="72" t="s">
        <v>2611</v>
      </c>
      <c r="F228" s="70"/>
      <c r="G228" s="70" t="str">
        <f>IFERROR(VLOOKUP(A228,[1]wms_iv_f!$A$1:$E$136,4,FALSE),"")</f>
        <v/>
      </c>
      <c r="H228" s="95" t="str">
        <f>IFERROR(VLOOKUP(A228,[2]wms_lc_f!$A$1:$B$156,2,FALSE),"")</f>
        <v/>
      </c>
    </row>
    <row r="229" spans="1:8" hidden="1">
      <c r="A229" s="71"/>
      <c r="B229" s="69" t="s">
        <v>2609</v>
      </c>
      <c r="C229" s="70" t="s">
        <v>1319</v>
      </c>
      <c r="D229" s="70" t="s">
        <v>2610</v>
      </c>
      <c r="E229" s="72" t="s">
        <v>2611</v>
      </c>
      <c r="F229" s="70"/>
      <c r="G229" s="70" t="str">
        <f>IFERROR(VLOOKUP(A229,[1]wms_iv_f!$A$1:$E$136,4,FALSE),"")</f>
        <v/>
      </c>
      <c r="H229" s="95" t="str">
        <f>IFERROR(VLOOKUP(A229,[2]wms_lc_f!$A$1:$B$156,2,FALSE),"")</f>
        <v/>
      </c>
    </row>
    <row r="230" spans="1:8" hidden="1">
      <c r="A230" s="71"/>
      <c r="B230" s="69" t="s">
        <v>2613</v>
      </c>
      <c r="C230" s="70" t="s">
        <v>2349</v>
      </c>
      <c r="D230" s="70" t="s">
        <v>2610</v>
      </c>
      <c r="E230" s="72" t="s">
        <v>2611</v>
      </c>
      <c r="F230" s="70"/>
      <c r="G230" s="70" t="str">
        <f>IFERROR(VLOOKUP(A230,[1]wms_iv_f!$A$1:$E$136,4,FALSE),"")</f>
        <v/>
      </c>
      <c r="H230" s="95" t="str">
        <f>IFERROR(VLOOKUP(A230,[2]wms_lc_f!$A$1:$B$156,2,FALSE),"")</f>
        <v/>
      </c>
    </row>
    <row r="231" spans="1:8" hidden="1">
      <c r="A231" s="71"/>
      <c r="B231" s="69" t="s">
        <v>2613</v>
      </c>
      <c r="C231" s="70" t="s">
        <v>2350</v>
      </c>
      <c r="D231" s="70" t="s">
        <v>2610</v>
      </c>
      <c r="E231" s="72" t="s">
        <v>2611</v>
      </c>
      <c r="F231" s="70"/>
      <c r="G231" s="70" t="str">
        <f>IFERROR(VLOOKUP(A231,[1]wms_iv_f!$A$1:$E$136,4,FALSE),"")</f>
        <v/>
      </c>
      <c r="H231" s="95" t="str">
        <f>IFERROR(VLOOKUP(A231,[2]wms_lc_f!$A$1:$B$156,2,FALSE),"")</f>
        <v/>
      </c>
    </row>
    <row r="232" spans="1:8" hidden="1">
      <c r="A232" s="71"/>
      <c r="B232" s="69" t="s">
        <v>2613</v>
      </c>
      <c r="C232" s="70" t="s">
        <v>2351</v>
      </c>
      <c r="D232" s="70" t="s">
        <v>2610</v>
      </c>
      <c r="E232" s="72" t="s">
        <v>2611</v>
      </c>
      <c r="F232" s="70"/>
      <c r="G232" s="70" t="str">
        <f>IFERROR(VLOOKUP(A232,[1]wms_iv_f!$A$1:$E$136,4,FALSE),"")</f>
        <v/>
      </c>
      <c r="H232" s="95" t="str">
        <f>IFERROR(VLOOKUP(A232,[2]wms_lc_f!$A$1:$B$156,2,FALSE),"")</f>
        <v/>
      </c>
    </row>
    <row r="233" spans="1:8" hidden="1">
      <c r="A233" s="71"/>
      <c r="B233" s="69" t="s">
        <v>2613</v>
      </c>
      <c r="C233" s="70" t="s">
        <v>2352</v>
      </c>
      <c r="D233" s="70" t="s">
        <v>2610</v>
      </c>
      <c r="E233" s="72" t="s">
        <v>2611</v>
      </c>
      <c r="F233" s="70"/>
      <c r="G233" s="70" t="str">
        <f>IFERROR(VLOOKUP(A233,[1]wms_iv_f!$A$1:$E$136,4,FALSE),"")</f>
        <v/>
      </c>
      <c r="H233" s="95" t="str">
        <f>IFERROR(VLOOKUP(A233,[2]wms_lc_f!$A$1:$B$156,2,FALSE),"")</f>
        <v/>
      </c>
    </row>
    <row r="234" spans="1:8" hidden="1">
      <c r="A234" s="71"/>
      <c r="B234" s="69" t="s">
        <v>2613</v>
      </c>
      <c r="C234" s="70" t="s">
        <v>2353</v>
      </c>
      <c r="D234" s="70" t="s">
        <v>2610</v>
      </c>
      <c r="E234" s="72" t="s">
        <v>2611</v>
      </c>
      <c r="F234" s="70"/>
      <c r="G234" s="70" t="str">
        <f>IFERROR(VLOOKUP(A234,[1]wms_iv_f!$A$1:$E$136,4,FALSE),"")</f>
        <v/>
      </c>
      <c r="H234" s="95" t="str">
        <f>IFERROR(VLOOKUP(A234,[2]wms_lc_f!$A$1:$B$156,2,FALSE),"")</f>
        <v/>
      </c>
    </row>
    <row r="235" spans="1:8" hidden="1">
      <c r="A235" s="71"/>
      <c r="B235" s="69" t="s">
        <v>2613</v>
      </c>
      <c r="C235" s="70" t="s">
        <v>2354</v>
      </c>
      <c r="D235" s="70" t="s">
        <v>2610</v>
      </c>
      <c r="E235" s="72" t="s">
        <v>2611</v>
      </c>
      <c r="F235" s="70"/>
      <c r="G235" s="70" t="str">
        <f>IFERROR(VLOOKUP(A235,[1]wms_iv_f!$A$1:$E$136,4,FALSE),"")</f>
        <v/>
      </c>
      <c r="H235" s="95" t="str">
        <f>IFERROR(VLOOKUP(A235,[2]wms_lc_f!$A$1:$B$156,2,FALSE),"")</f>
        <v/>
      </c>
    </row>
    <row r="236" spans="1:8" hidden="1">
      <c r="A236" s="71"/>
      <c r="B236" s="69" t="s">
        <v>2613</v>
      </c>
      <c r="C236" s="70" t="s">
        <v>2355</v>
      </c>
      <c r="D236" s="70" t="s">
        <v>2610</v>
      </c>
      <c r="E236" s="72" t="s">
        <v>2611</v>
      </c>
      <c r="F236" s="70"/>
      <c r="G236" s="70" t="str">
        <f>IFERROR(VLOOKUP(A236,[1]wms_iv_f!$A$1:$E$136,4,FALSE),"")</f>
        <v/>
      </c>
      <c r="H236" s="95" t="str">
        <f>IFERROR(VLOOKUP(A236,[2]wms_lc_f!$A$1:$B$156,2,FALSE),"")</f>
        <v/>
      </c>
    </row>
    <row r="237" spans="1:8" hidden="1">
      <c r="A237" s="71"/>
      <c r="B237" s="69" t="s">
        <v>2613</v>
      </c>
      <c r="C237" s="70" t="s">
        <v>2356</v>
      </c>
      <c r="D237" s="70" t="s">
        <v>2610</v>
      </c>
      <c r="E237" s="79" t="s">
        <v>2611</v>
      </c>
      <c r="F237" s="70"/>
      <c r="G237" s="70" t="str">
        <f>IFERROR(VLOOKUP(A237,[1]wms_iv_f!$A$1:$E$136,4,FALSE),"")</f>
        <v/>
      </c>
      <c r="H237" s="95" t="str">
        <f>IFERROR(VLOOKUP(A237,[2]wms_lc_f!$A$1:$B$156,2,FALSE),"")</f>
        <v/>
      </c>
    </row>
    <row r="238" spans="1:8" hidden="1">
      <c r="A238" s="71"/>
      <c r="B238" s="69" t="s">
        <v>2613</v>
      </c>
      <c r="C238" s="92" t="s">
        <v>2359</v>
      </c>
      <c r="D238" s="88" t="s">
        <v>2610</v>
      </c>
      <c r="E238" s="72" t="s">
        <v>2611</v>
      </c>
      <c r="F238" s="70"/>
      <c r="G238" s="70" t="str">
        <f>IFERROR(VLOOKUP(A238,[1]wms_iv_f!$A$1:$E$136,4,FALSE),"")</f>
        <v/>
      </c>
      <c r="H238" s="95" t="str">
        <f>IFERROR(VLOOKUP(A238,[2]wms_lc_f!$A$1:$B$156,2,FALSE),"")</f>
        <v/>
      </c>
    </row>
    <row r="239" spans="1:8" hidden="1">
      <c r="A239" s="71"/>
      <c r="B239" s="69" t="s">
        <v>2613</v>
      </c>
      <c r="C239" s="92" t="s">
        <v>2360</v>
      </c>
      <c r="D239" s="88" t="s">
        <v>2610</v>
      </c>
      <c r="E239" s="72" t="s">
        <v>2611</v>
      </c>
      <c r="F239" s="70"/>
      <c r="G239" s="70" t="str">
        <f>IFERROR(VLOOKUP(A239,[1]wms_iv_f!$A$1:$E$136,4,FALSE),"")</f>
        <v/>
      </c>
      <c r="H239" s="95" t="str">
        <f>IFERROR(VLOOKUP(A239,[2]wms_lc_f!$A$1:$B$156,2,FALSE),"")</f>
        <v/>
      </c>
    </row>
    <row r="240" spans="1:8" hidden="1">
      <c r="A240" s="71"/>
      <c r="B240" s="69" t="s">
        <v>2613</v>
      </c>
      <c r="C240" s="70" t="s">
        <v>2469</v>
      </c>
      <c r="D240" s="70" t="s">
        <v>2610</v>
      </c>
      <c r="E240" s="80" t="s">
        <v>2611</v>
      </c>
      <c r="F240" s="70"/>
      <c r="G240" s="70" t="str">
        <f>IFERROR(VLOOKUP(A240,[1]wms_iv_f!$A$1:$E$136,4,FALSE),"")</f>
        <v/>
      </c>
      <c r="H240" s="95" t="str">
        <f>IFERROR(VLOOKUP(A240,[2]wms_lc_f!$A$1:$B$156,2,FALSE),"")</f>
        <v/>
      </c>
    </row>
    <row r="241" spans="1:8" hidden="1">
      <c r="A241" s="71"/>
      <c r="B241" s="69" t="s">
        <v>2613</v>
      </c>
      <c r="C241" s="70" t="s">
        <v>2577</v>
      </c>
      <c r="D241" s="70" t="s">
        <v>2610</v>
      </c>
      <c r="E241" s="72" t="s">
        <v>2611</v>
      </c>
      <c r="F241" s="70"/>
      <c r="G241" s="70" t="str">
        <f>IFERROR(VLOOKUP(A241,[1]wms_iv_f!$A$1:$E$136,4,FALSE),"")</f>
        <v/>
      </c>
      <c r="H241" s="95" t="str">
        <f>IFERROR(VLOOKUP(A241,[2]wms_lc_f!$A$1:$B$156,2,FALSE),"")</f>
        <v/>
      </c>
    </row>
    <row r="242" spans="1:8" hidden="1">
      <c r="A242" s="71"/>
      <c r="B242" s="69" t="s">
        <v>2613</v>
      </c>
      <c r="C242" s="70" t="s">
        <v>2578</v>
      </c>
      <c r="D242" s="70" t="s">
        <v>2610</v>
      </c>
      <c r="E242" s="72" t="s">
        <v>2611</v>
      </c>
      <c r="F242" s="70"/>
      <c r="G242" s="70" t="str">
        <f>IFERROR(VLOOKUP(A242,[1]wms_iv_f!$A$1:$E$136,4,FALSE),"")</f>
        <v/>
      </c>
      <c r="H242" s="95" t="str">
        <f>IFERROR(VLOOKUP(A242,[2]wms_lc_f!$A$1:$B$156,2,FALSE),"")</f>
        <v/>
      </c>
    </row>
    <row r="243" spans="1:8" hidden="1">
      <c r="A243" s="71"/>
      <c r="B243" s="69" t="s">
        <v>2613</v>
      </c>
      <c r="C243" s="70" t="s">
        <v>2579</v>
      </c>
      <c r="D243" s="70" t="s">
        <v>2610</v>
      </c>
      <c r="E243" s="72" t="s">
        <v>2611</v>
      </c>
      <c r="F243" s="70"/>
      <c r="G243" s="70" t="str">
        <f>IFERROR(VLOOKUP(A243,[1]wms_iv_f!$A$1:$E$136,4,FALSE),"")</f>
        <v/>
      </c>
      <c r="H243" s="95" t="str">
        <f>IFERROR(VLOOKUP(A243,[2]wms_lc_f!$A$1:$B$156,2,FALSE),"")</f>
        <v/>
      </c>
    </row>
    <row r="244" spans="1:8" hidden="1">
      <c r="A244" s="71"/>
      <c r="B244" s="69" t="s">
        <v>2613</v>
      </c>
      <c r="C244" s="70" t="s">
        <v>2580</v>
      </c>
      <c r="D244" s="70" t="s">
        <v>2610</v>
      </c>
      <c r="E244" s="72" t="s">
        <v>2611</v>
      </c>
      <c r="F244" s="70"/>
      <c r="G244" s="70" t="str">
        <f>IFERROR(VLOOKUP(A244,[1]wms_iv_f!$A$1:$E$136,4,FALSE),"")</f>
        <v/>
      </c>
      <c r="H244" s="95" t="str">
        <f>IFERROR(VLOOKUP(A244,[2]wms_lc_f!$A$1:$B$156,2,FALSE),"")</f>
        <v/>
      </c>
    </row>
    <row r="245" spans="1:8" hidden="1">
      <c r="A245" s="71"/>
      <c r="B245" s="69" t="s">
        <v>2613</v>
      </c>
      <c r="C245" s="70" t="s">
        <v>2581</v>
      </c>
      <c r="D245" s="70" t="s">
        <v>2610</v>
      </c>
      <c r="E245" s="72" t="s">
        <v>2611</v>
      </c>
      <c r="F245" s="70"/>
      <c r="G245" s="70" t="str">
        <f>IFERROR(VLOOKUP(A245,[1]wms_iv_f!$A$1:$E$136,4,FALSE),"")</f>
        <v/>
      </c>
      <c r="H245" s="95" t="str">
        <f>IFERROR(VLOOKUP(A245,[2]wms_lc_f!$A$1:$B$156,2,FALSE),"")</f>
        <v/>
      </c>
    </row>
    <row r="246" spans="1:8" hidden="1">
      <c r="A246" s="71"/>
      <c r="B246" s="69" t="s">
        <v>2613</v>
      </c>
      <c r="C246" s="70" t="s">
        <v>2619</v>
      </c>
      <c r="D246" s="70" t="s">
        <v>2610</v>
      </c>
      <c r="E246" s="72" t="s">
        <v>2611</v>
      </c>
      <c r="F246" s="70"/>
      <c r="G246" s="70" t="str">
        <f>IFERROR(VLOOKUP(A246,[1]wms_iv_f!$A$1:$E$136,4,FALSE),"")</f>
        <v/>
      </c>
      <c r="H246" s="95" t="str">
        <f>IFERROR(VLOOKUP(A246,[2]wms_lc_f!$A$1:$B$156,2,FALSE),"")</f>
        <v/>
      </c>
    </row>
    <row r="247" spans="1:8">
      <c r="A247" s="71">
        <v>113597</v>
      </c>
      <c r="B247" s="69" t="s">
        <v>2613</v>
      </c>
      <c r="C247" s="70" t="s">
        <v>765</v>
      </c>
      <c r="D247" s="70" t="s">
        <v>2610</v>
      </c>
      <c r="E247" s="72">
        <v>52</v>
      </c>
      <c r="F247" s="70" t="s">
        <v>2612</v>
      </c>
      <c r="G247" s="70" t="str">
        <f>IFERROR(VLOOKUP(A247,[1]wms_iv_f!$A$1:$E$136,4,FALSE),"")</f>
        <v/>
      </c>
      <c r="H247" s="95" t="str">
        <f>IFERROR(VLOOKUP(A247,[2]wms_lc_f!$A$1:$B$156,2,FALSE),"")</f>
        <v/>
      </c>
    </row>
    <row r="248" spans="1:8">
      <c r="A248" s="71">
        <v>113597</v>
      </c>
      <c r="B248" s="69" t="s">
        <v>2613</v>
      </c>
      <c r="C248" s="70" t="s">
        <v>766</v>
      </c>
      <c r="D248" s="70" t="s">
        <v>2610</v>
      </c>
      <c r="E248" s="72">
        <v>52</v>
      </c>
      <c r="F248" s="70" t="s">
        <v>2612</v>
      </c>
      <c r="G248" s="70" t="str">
        <f>IFERROR(VLOOKUP(A248,[1]wms_iv_f!$A$1:$E$136,4,FALSE),"")</f>
        <v/>
      </c>
      <c r="H248" s="95" t="str">
        <f>IFERROR(VLOOKUP(A248,[2]wms_lc_f!$A$1:$B$156,2,FALSE),"")</f>
        <v/>
      </c>
    </row>
    <row r="249" spans="1:8">
      <c r="A249" s="71">
        <v>156697</v>
      </c>
      <c r="B249" s="69" t="s">
        <v>2613</v>
      </c>
      <c r="C249" s="70" t="s">
        <v>2072</v>
      </c>
      <c r="D249" s="70" t="s">
        <v>2610</v>
      </c>
      <c r="E249" s="72">
        <v>37</v>
      </c>
      <c r="F249" s="70" t="s">
        <v>2612</v>
      </c>
      <c r="G249" s="70" t="str">
        <f>IFERROR(VLOOKUP(A249,[1]wms_iv_f!$A$1:$E$136,4,FALSE),"")</f>
        <v/>
      </c>
      <c r="H249" s="95" t="str">
        <f>IFERROR(VLOOKUP(A249,[2]wms_lc_f!$A$1:$B$156,2,FALSE),"")</f>
        <v/>
      </c>
    </row>
    <row r="250" spans="1:8">
      <c r="A250" s="71">
        <v>156697</v>
      </c>
      <c r="B250" s="69" t="s">
        <v>2613</v>
      </c>
      <c r="C250" s="70" t="s">
        <v>2073</v>
      </c>
      <c r="D250" s="70" t="s">
        <v>2610</v>
      </c>
      <c r="E250" s="72">
        <v>37</v>
      </c>
      <c r="F250" s="70" t="s">
        <v>2612</v>
      </c>
      <c r="G250" s="70" t="str">
        <f>IFERROR(VLOOKUP(A250,[1]wms_iv_f!$A$1:$E$136,4,FALSE),"")</f>
        <v/>
      </c>
      <c r="H250" s="95" t="str">
        <f>IFERROR(VLOOKUP(A250,[2]wms_lc_f!$A$1:$B$156,2,FALSE),"")</f>
        <v/>
      </c>
    </row>
    <row r="251" spans="1:8">
      <c r="A251" s="71">
        <v>156697</v>
      </c>
      <c r="B251" s="69" t="s">
        <v>2613</v>
      </c>
      <c r="C251" s="70" t="s">
        <v>2074</v>
      </c>
      <c r="D251" s="70" t="s">
        <v>2610</v>
      </c>
      <c r="E251" s="72">
        <v>37</v>
      </c>
      <c r="F251" s="70" t="s">
        <v>2612</v>
      </c>
      <c r="G251" s="70" t="str">
        <f>IFERROR(VLOOKUP(A251,[1]wms_iv_f!$A$1:$E$136,4,FALSE),"")</f>
        <v/>
      </c>
      <c r="H251" s="95" t="str">
        <f>IFERROR(VLOOKUP(A251,[2]wms_lc_f!$A$1:$B$156,2,FALSE),"")</f>
        <v/>
      </c>
    </row>
    <row r="252" spans="1:8">
      <c r="A252" s="71">
        <v>111867</v>
      </c>
      <c r="B252" s="69" t="s">
        <v>2613</v>
      </c>
      <c r="C252" s="70" t="s">
        <v>1109</v>
      </c>
      <c r="D252" s="70" t="s">
        <v>2610</v>
      </c>
      <c r="E252" s="72">
        <v>36</v>
      </c>
      <c r="F252" s="70" t="s">
        <v>2612</v>
      </c>
      <c r="G252" s="70" t="str">
        <f>IFERROR(VLOOKUP(A252,[1]wms_iv_f!$A$1:$E$136,4,FALSE),"")</f>
        <v/>
      </c>
      <c r="H252" s="95" t="str">
        <f>IFERROR(VLOOKUP(A252,[2]wms_lc_f!$A$1:$B$156,2,FALSE),"")</f>
        <v/>
      </c>
    </row>
    <row r="253" spans="1:8">
      <c r="A253" s="98">
        <v>111867</v>
      </c>
      <c r="B253" s="69" t="s">
        <v>2613</v>
      </c>
      <c r="C253" s="70" t="s">
        <v>1110</v>
      </c>
      <c r="D253" s="70" t="s">
        <v>2610</v>
      </c>
      <c r="E253" s="72">
        <v>36</v>
      </c>
      <c r="F253" s="70" t="s">
        <v>2612</v>
      </c>
      <c r="G253" s="70" t="str">
        <f>IFERROR(VLOOKUP(A253,[1]wms_iv_f!$A$1:$E$136,4,FALSE),"")</f>
        <v/>
      </c>
      <c r="H253" s="95" t="str">
        <f>IFERROR(VLOOKUP(A253,[2]wms_lc_f!$A$1:$B$156,2,FALSE),"")</f>
        <v/>
      </c>
    </row>
    <row r="254" spans="1:8">
      <c r="A254" s="71">
        <v>111</v>
      </c>
      <c r="B254" s="69" t="s">
        <v>2613</v>
      </c>
      <c r="C254" s="70" t="s">
        <v>2409</v>
      </c>
      <c r="D254" s="70" t="s">
        <v>2610</v>
      </c>
      <c r="E254" s="72">
        <v>36</v>
      </c>
      <c r="F254" s="70" t="s">
        <v>2612</v>
      </c>
      <c r="G254" s="70" t="str">
        <f>IFERROR(VLOOKUP(A254,[1]wms_iv_f!$A$1:$E$136,4,FALSE),"")</f>
        <v/>
      </c>
      <c r="H254" s="95" t="str">
        <f>IFERROR(VLOOKUP(A254,[2]wms_lc_f!$A$1:$B$156,2,FALSE),"")</f>
        <v/>
      </c>
    </row>
    <row r="255" spans="1:8">
      <c r="A255" s="71">
        <v>111</v>
      </c>
      <c r="B255" s="69" t="s">
        <v>2613</v>
      </c>
      <c r="C255" s="70" t="s">
        <v>2410</v>
      </c>
      <c r="D255" s="70" t="s">
        <v>2610</v>
      </c>
      <c r="E255" s="72">
        <v>36</v>
      </c>
      <c r="F255" s="70" t="s">
        <v>2612</v>
      </c>
      <c r="G255" s="70" t="str">
        <f>IFERROR(VLOOKUP(A255,[1]wms_iv_f!$A$1:$E$136,4,FALSE),"")</f>
        <v/>
      </c>
      <c r="H255" s="95" t="str">
        <f>IFERROR(VLOOKUP(A255,[2]wms_lc_f!$A$1:$B$156,2,FALSE),"")</f>
        <v/>
      </c>
    </row>
    <row r="256" spans="1:8">
      <c r="A256" s="71">
        <v>111</v>
      </c>
      <c r="B256" s="69" t="s">
        <v>2613</v>
      </c>
      <c r="C256" s="70" t="s">
        <v>2411</v>
      </c>
      <c r="D256" s="70" t="s">
        <v>2610</v>
      </c>
      <c r="E256" s="72">
        <v>36</v>
      </c>
      <c r="F256" s="70" t="s">
        <v>2612</v>
      </c>
      <c r="G256" s="70" t="str">
        <f>IFERROR(VLOOKUP(A256,[1]wms_iv_f!$A$1:$E$136,4,FALSE),"")</f>
        <v/>
      </c>
      <c r="H256" s="95" t="str">
        <f>IFERROR(VLOOKUP(A256,[2]wms_lc_f!$A$1:$B$156,2,FALSE),"")</f>
        <v/>
      </c>
    </row>
    <row r="257" spans="1:8">
      <c r="A257" s="71">
        <v>111869</v>
      </c>
      <c r="B257" s="69" t="s">
        <v>2613</v>
      </c>
      <c r="C257" s="70" t="s">
        <v>770</v>
      </c>
      <c r="D257" s="70" t="s">
        <v>2610</v>
      </c>
      <c r="E257" s="72">
        <v>34</v>
      </c>
      <c r="F257" s="70" t="s">
        <v>2612</v>
      </c>
      <c r="G257" s="70" t="str">
        <f>IFERROR(VLOOKUP(A257,[1]wms_iv_f!$A$1:$E$136,4,FALSE),"")</f>
        <v/>
      </c>
      <c r="H257" s="95" t="str">
        <f>IFERROR(VLOOKUP(A257,[2]wms_lc_f!$A$1:$B$156,2,FALSE),"")</f>
        <v/>
      </c>
    </row>
    <row r="258" spans="1:8">
      <c r="A258" s="71">
        <v>111869</v>
      </c>
      <c r="B258" s="69" t="s">
        <v>2613</v>
      </c>
      <c r="C258" s="70" t="s">
        <v>771</v>
      </c>
      <c r="D258" s="70" t="s">
        <v>2610</v>
      </c>
      <c r="E258" s="72">
        <v>34</v>
      </c>
      <c r="F258" s="70" t="s">
        <v>2612</v>
      </c>
      <c r="G258" s="70" t="str">
        <f>IFERROR(VLOOKUP(A258,[1]wms_iv_f!$A$1:$E$136,4,FALSE),"")</f>
        <v/>
      </c>
      <c r="H258" s="95" t="str">
        <f>IFERROR(VLOOKUP(A258,[2]wms_lc_f!$A$1:$B$156,2,FALSE),"")</f>
        <v/>
      </c>
    </row>
    <row r="259" spans="1:8">
      <c r="A259" s="71">
        <v>111869</v>
      </c>
      <c r="B259" s="69" t="s">
        <v>2613</v>
      </c>
      <c r="C259" s="70" t="s">
        <v>772</v>
      </c>
      <c r="D259" s="70" t="s">
        <v>2610</v>
      </c>
      <c r="E259" s="72">
        <v>34</v>
      </c>
      <c r="F259" s="70" t="s">
        <v>2612</v>
      </c>
      <c r="G259" s="70" t="str">
        <f>IFERROR(VLOOKUP(A259,[1]wms_iv_f!$A$1:$E$136,4,FALSE),"")</f>
        <v/>
      </c>
      <c r="H259" s="95" t="str">
        <f>IFERROR(VLOOKUP(A259,[2]wms_lc_f!$A$1:$B$156,2,FALSE),"")</f>
        <v/>
      </c>
    </row>
    <row r="260" spans="1:8">
      <c r="A260" s="71">
        <v>129751</v>
      </c>
      <c r="B260" s="69" t="s">
        <v>2613</v>
      </c>
      <c r="C260" s="70" t="s">
        <v>2077</v>
      </c>
      <c r="D260" s="70" t="s">
        <v>2610</v>
      </c>
      <c r="E260" s="72">
        <v>34</v>
      </c>
      <c r="F260" s="70" t="s">
        <v>2612</v>
      </c>
      <c r="G260" s="70" t="str">
        <f>IFERROR(VLOOKUP(A260,[1]wms_iv_f!$A$1:$E$136,4,FALSE),"")</f>
        <v/>
      </c>
      <c r="H260" s="95" t="str">
        <f>IFERROR(VLOOKUP(A260,[2]wms_lc_f!$A$1:$B$156,2,FALSE),"")</f>
        <v>12-111-B1</v>
      </c>
    </row>
    <row r="261" spans="1:8">
      <c r="A261" s="71">
        <v>129751</v>
      </c>
      <c r="B261" s="69" t="s">
        <v>2613</v>
      </c>
      <c r="C261" s="70" t="s">
        <v>2078</v>
      </c>
      <c r="D261" s="70" t="s">
        <v>2610</v>
      </c>
      <c r="E261" s="72">
        <v>34</v>
      </c>
      <c r="F261" s="70" t="s">
        <v>2612</v>
      </c>
      <c r="G261" s="70" t="str">
        <f>IFERROR(VLOOKUP(A261,[1]wms_iv_f!$A$1:$E$136,4,FALSE),"")</f>
        <v/>
      </c>
      <c r="H261" s="95" t="str">
        <f>IFERROR(VLOOKUP(A261,[2]wms_lc_f!$A$1:$B$156,2,FALSE),"")</f>
        <v>12-111-B1</v>
      </c>
    </row>
    <row r="262" spans="1:8">
      <c r="A262" s="71">
        <v>100938</v>
      </c>
      <c r="B262" s="69" t="s">
        <v>2613</v>
      </c>
      <c r="C262" s="70" t="s">
        <v>1115</v>
      </c>
      <c r="D262" s="70" t="s">
        <v>2610</v>
      </c>
      <c r="E262" s="72">
        <v>33</v>
      </c>
      <c r="F262" s="70" t="s">
        <v>2612</v>
      </c>
      <c r="G262" s="70" t="str">
        <f>IFERROR(VLOOKUP(A262,[1]wms_iv_f!$A$1:$E$136,4,FALSE),"")</f>
        <v/>
      </c>
      <c r="H262" s="95" t="str">
        <f>IFERROR(VLOOKUP(A262,[2]wms_lc_f!$A$1:$B$156,2,FALSE),"")</f>
        <v>12-117-B1</v>
      </c>
    </row>
    <row r="263" spans="1:8">
      <c r="A263" s="71">
        <v>138922</v>
      </c>
      <c r="B263" s="69" t="s">
        <v>2613</v>
      </c>
      <c r="C263" s="70" t="s">
        <v>2415</v>
      </c>
      <c r="D263" s="70" t="s">
        <v>2610</v>
      </c>
      <c r="E263" s="72">
        <v>31</v>
      </c>
      <c r="F263" s="70" t="s">
        <v>2612</v>
      </c>
      <c r="G263" s="70" t="str">
        <f>IFERROR(VLOOKUP(A263,[1]wms_iv_f!$A$1:$E$136,4,FALSE),"")</f>
        <v/>
      </c>
      <c r="H263" s="95" t="str">
        <f>IFERROR(VLOOKUP(A263,[2]wms_lc_f!$A$1:$B$156,2,FALSE),"")</f>
        <v/>
      </c>
    </row>
    <row r="264" spans="1:8">
      <c r="A264" s="71">
        <v>138922</v>
      </c>
      <c r="B264" s="69" t="s">
        <v>2613</v>
      </c>
      <c r="C264" s="74" t="s">
        <v>2416</v>
      </c>
      <c r="D264" s="74" t="s">
        <v>2610</v>
      </c>
      <c r="E264" s="72">
        <v>31</v>
      </c>
      <c r="F264" s="70" t="s">
        <v>2612</v>
      </c>
      <c r="G264" s="70" t="str">
        <f>IFERROR(VLOOKUP(A264,[1]wms_iv_f!$A$1:$E$136,4,FALSE),"")</f>
        <v/>
      </c>
      <c r="H264" s="95" t="str">
        <f>IFERROR(VLOOKUP(A264,[2]wms_lc_f!$A$1:$B$156,2,FALSE),"")</f>
        <v/>
      </c>
    </row>
    <row r="265" spans="1:8">
      <c r="A265" s="71">
        <v>135743</v>
      </c>
      <c r="B265" s="69" t="s">
        <v>2613</v>
      </c>
      <c r="C265" s="70" t="s">
        <v>1151</v>
      </c>
      <c r="D265" s="70" t="s">
        <v>2610</v>
      </c>
      <c r="E265" s="72">
        <v>30</v>
      </c>
      <c r="F265" s="70" t="s">
        <v>2612</v>
      </c>
      <c r="G265" s="70" t="str">
        <f>IFERROR(VLOOKUP(A265,[1]wms_iv_f!$A$1:$E$136,4,FALSE),"")</f>
        <v/>
      </c>
      <c r="H265" s="95" t="str">
        <f>IFERROR(VLOOKUP(A265,[2]wms_lc_f!$A$1:$B$156,2,FALSE),"")</f>
        <v/>
      </c>
    </row>
    <row r="266" spans="1:8">
      <c r="A266" s="71">
        <v>100907</v>
      </c>
      <c r="B266" s="69" t="s">
        <v>2613</v>
      </c>
      <c r="C266" s="70" t="s">
        <v>2620</v>
      </c>
      <c r="D266" s="70" t="s">
        <v>2610</v>
      </c>
      <c r="E266" s="72">
        <v>29</v>
      </c>
      <c r="F266" s="70" t="s">
        <v>2612</v>
      </c>
      <c r="G266" s="70" t="str">
        <f>IFERROR(VLOOKUP(A266,[1]wms_iv_f!$A$1:$E$136,4,FALSE),"")</f>
        <v/>
      </c>
      <c r="H266" s="95" t="str">
        <f>IFERROR(VLOOKUP(A266,[2]wms_lc_f!$A$1:$B$156,2,FALSE),"")</f>
        <v>12-115-C1</v>
      </c>
    </row>
    <row r="267" spans="1:8">
      <c r="A267" s="71">
        <v>136683</v>
      </c>
      <c r="B267" s="69" t="s">
        <v>2613</v>
      </c>
      <c r="C267" s="70" t="s">
        <v>1153</v>
      </c>
      <c r="D267" s="70" t="s">
        <v>2610</v>
      </c>
      <c r="E267" s="72">
        <v>27</v>
      </c>
      <c r="F267" s="70" t="s">
        <v>2612</v>
      </c>
      <c r="G267" s="70" t="str">
        <f>IFERROR(VLOOKUP(A267,[1]wms_iv_f!$A$1:$E$136,4,FALSE),"")</f>
        <v/>
      </c>
      <c r="H267" s="95" t="str">
        <f>IFERROR(VLOOKUP(A267,[2]wms_lc_f!$A$1:$B$156,2,FALSE),"")</f>
        <v>12-117-C1</v>
      </c>
    </row>
    <row r="268" spans="1:8">
      <c r="A268" s="71">
        <v>136683</v>
      </c>
      <c r="B268" s="69" t="s">
        <v>2613</v>
      </c>
      <c r="C268" s="70" t="s">
        <v>2113</v>
      </c>
      <c r="D268" s="70" t="s">
        <v>2610</v>
      </c>
      <c r="E268" s="72">
        <v>27</v>
      </c>
      <c r="F268" s="70" t="s">
        <v>2612</v>
      </c>
      <c r="G268" s="70" t="str">
        <f>IFERROR(VLOOKUP(A268,[1]wms_iv_f!$A$1:$E$136,4,FALSE),"")</f>
        <v/>
      </c>
      <c r="H268" s="95" t="str">
        <f>IFERROR(VLOOKUP(A268,[2]wms_lc_f!$A$1:$B$156,2,FALSE),"")</f>
        <v>12-117-C1</v>
      </c>
    </row>
    <row r="269" spans="1:8">
      <c r="A269" s="71">
        <v>136683</v>
      </c>
      <c r="B269" s="69" t="s">
        <v>2613</v>
      </c>
      <c r="C269" s="70" t="s">
        <v>2114</v>
      </c>
      <c r="D269" s="70" t="s">
        <v>2610</v>
      </c>
      <c r="E269" s="72">
        <v>27</v>
      </c>
      <c r="F269" s="70" t="s">
        <v>2612</v>
      </c>
      <c r="G269" s="70" t="str">
        <f>IFERROR(VLOOKUP(A269,[1]wms_iv_f!$A$1:$E$136,4,FALSE),"")</f>
        <v/>
      </c>
      <c r="H269" s="95" t="str">
        <f>IFERROR(VLOOKUP(A269,[2]wms_lc_f!$A$1:$B$156,2,FALSE),"")</f>
        <v>12-117-C1</v>
      </c>
    </row>
    <row r="270" spans="1:8">
      <c r="A270" s="71">
        <v>100875</v>
      </c>
      <c r="B270" s="69" t="s">
        <v>2613</v>
      </c>
      <c r="C270" s="70" t="s">
        <v>809</v>
      </c>
      <c r="D270" s="70" t="s">
        <v>2610</v>
      </c>
      <c r="E270" s="72">
        <v>26</v>
      </c>
      <c r="F270" s="70" t="s">
        <v>2612</v>
      </c>
      <c r="G270" s="70" t="str">
        <f>IFERROR(VLOOKUP(A270,[1]wms_iv_f!$A$1:$E$136,4,FALSE),"")</f>
        <v/>
      </c>
      <c r="H270" s="95" t="str">
        <f>IFERROR(VLOOKUP(A270,[2]wms_lc_f!$A$1:$B$156,2,FALSE),"")</f>
        <v>12-119-A1</v>
      </c>
    </row>
    <row r="271" spans="1:8">
      <c r="A271" s="71">
        <v>65585</v>
      </c>
      <c r="B271" s="69" t="s">
        <v>2613</v>
      </c>
      <c r="C271" s="70" t="s">
        <v>2116</v>
      </c>
      <c r="D271" s="70" t="s">
        <v>2610</v>
      </c>
      <c r="E271" s="72">
        <v>26</v>
      </c>
      <c r="F271" s="70" t="s">
        <v>2612</v>
      </c>
      <c r="G271" s="70" t="str">
        <f>IFERROR(VLOOKUP(A271,[1]wms_iv_f!$A$1:$E$136,4,FALSE),"")</f>
        <v/>
      </c>
      <c r="H271" s="95" t="str">
        <f>IFERROR(VLOOKUP(A271,[2]wms_lc_f!$A$1:$B$156,2,FALSE),"")</f>
        <v>12-113-E2</v>
      </c>
    </row>
    <row r="272" spans="1:8">
      <c r="A272" s="71">
        <v>3043</v>
      </c>
      <c r="B272" s="69" t="s">
        <v>2613</v>
      </c>
      <c r="C272" s="70" t="s">
        <v>774</v>
      </c>
      <c r="D272" s="70" t="s">
        <v>2610</v>
      </c>
      <c r="E272" s="72">
        <v>25</v>
      </c>
      <c r="F272" s="70" t="s">
        <v>2612</v>
      </c>
      <c r="G272" s="70" t="str">
        <f>IFERROR(VLOOKUP(A272,[1]wms_iv_f!$A$1:$E$136,4,FALSE),"")</f>
        <v/>
      </c>
      <c r="H272" s="95" t="str">
        <f>IFERROR(VLOOKUP(A272,[2]wms_lc_f!$A$1:$B$156,2,FALSE),"")</f>
        <v/>
      </c>
    </row>
    <row r="273" spans="1:8">
      <c r="A273" s="71">
        <v>3043</v>
      </c>
      <c r="B273" s="69" t="s">
        <v>2613</v>
      </c>
      <c r="C273" s="70" t="s">
        <v>775</v>
      </c>
      <c r="D273" s="70" t="s">
        <v>2610</v>
      </c>
      <c r="E273" s="72">
        <v>25</v>
      </c>
      <c r="F273" s="70" t="s">
        <v>2612</v>
      </c>
      <c r="G273" s="70" t="str">
        <f>IFERROR(VLOOKUP(A273,[1]wms_iv_f!$A$1:$E$136,4,FALSE),"")</f>
        <v/>
      </c>
      <c r="H273" s="95" t="str">
        <f>IFERROR(VLOOKUP(A273,[2]wms_lc_f!$A$1:$B$156,2,FALSE),"")</f>
        <v/>
      </c>
    </row>
    <row r="274" spans="1:8">
      <c r="A274" s="71">
        <v>73964</v>
      </c>
      <c r="B274" s="69" t="s">
        <v>2613</v>
      </c>
      <c r="C274" s="70" t="s">
        <v>2621</v>
      </c>
      <c r="D274" s="70" t="s">
        <v>2610</v>
      </c>
      <c r="E274" s="72">
        <v>25</v>
      </c>
      <c r="F274" s="70" t="s">
        <v>2612</v>
      </c>
      <c r="G274" s="70" t="str">
        <f>IFERROR(VLOOKUP(A274,[1]wms_iv_f!$A$1:$E$136,4,FALSE),"")</f>
        <v/>
      </c>
      <c r="H274" s="95" t="str">
        <f>IFERROR(VLOOKUP(A274,[2]wms_lc_f!$A$1:$B$156,2,FALSE),"")</f>
        <v>12-117-C2</v>
      </c>
    </row>
    <row r="275" spans="1:8">
      <c r="A275" s="71">
        <v>112169</v>
      </c>
      <c r="B275" s="69" t="s">
        <v>2613</v>
      </c>
      <c r="C275" s="70" t="s">
        <v>808</v>
      </c>
      <c r="D275" s="70" t="s">
        <v>2610</v>
      </c>
      <c r="E275" s="72">
        <v>24</v>
      </c>
      <c r="F275" s="70" t="s">
        <v>2612</v>
      </c>
      <c r="G275" s="70" t="str">
        <f>IFERROR(VLOOKUP(A275,[1]wms_iv_f!$A$1:$E$136,4,FALSE),"")</f>
        <v/>
      </c>
      <c r="H275" s="95" t="str">
        <f>IFERROR(VLOOKUP(A275,[2]wms_lc_f!$A$1:$B$156,2,FALSE),"")</f>
        <v/>
      </c>
    </row>
    <row r="276" spans="1:8">
      <c r="A276" s="71">
        <v>124944</v>
      </c>
      <c r="B276" s="69" t="s">
        <v>2613</v>
      </c>
      <c r="C276" s="70" t="s">
        <v>1118</v>
      </c>
      <c r="D276" s="70" t="s">
        <v>2610</v>
      </c>
      <c r="E276" s="72">
        <v>24</v>
      </c>
      <c r="F276" s="70" t="s">
        <v>2612</v>
      </c>
      <c r="G276" s="70" t="str">
        <f>IFERROR(VLOOKUP(A276,[1]wms_iv_f!$A$1:$E$136,4,FALSE),"")</f>
        <v/>
      </c>
      <c r="H276" s="95" t="str">
        <f>IFERROR(VLOOKUP(A276,[2]wms_lc_f!$A$1:$B$156,2,FALSE),"")</f>
        <v/>
      </c>
    </row>
    <row r="277" spans="1:8">
      <c r="A277" s="71">
        <v>566</v>
      </c>
      <c r="B277" s="69" t="s">
        <v>2613</v>
      </c>
      <c r="C277" s="70" t="s">
        <v>2622</v>
      </c>
      <c r="D277" s="70" t="s">
        <v>2610</v>
      </c>
      <c r="E277" s="72">
        <v>24</v>
      </c>
      <c r="F277" s="70" t="s">
        <v>2612</v>
      </c>
      <c r="G277" s="70" t="str">
        <f>IFERROR(VLOOKUP(A277,[1]wms_iv_f!$A$1:$E$136,4,FALSE),"")</f>
        <v/>
      </c>
      <c r="H277" s="95" t="str">
        <f>IFERROR(VLOOKUP(A277,[2]wms_lc_f!$A$1:$B$156,2,FALSE),"")</f>
        <v>12-119-C1</v>
      </c>
    </row>
    <row r="278" spans="1:8">
      <c r="A278" s="71">
        <v>54</v>
      </c>
      <c r="B278" s="69" t="s">
        <v>2613</v>
      </c>
      <c r="C278" s="70" t="s">
        <v>2418</v>
      </c>
      <c r="D278" s="70" t="s">
        <v>2610</v>
      </c>
      <c r="E278" s="72">
        <v>24</v>
      </c>
      <c r="F278" s="70" t="s">
        <v>2612</v>
      </c>
      <c r="G278" s="70" t="str">
        <f>IFERROR(VLOOKUP(A278,[1]wms_iv_f!$A$1:$E$136,4,FALSE),"")</f>
        <v/>
      </c>
      <c r="H278" s="95" t="str">
        <f>IFERROR(VLOOKUP(A278,[2]wms_lc_f!$A$1:$B$156,2,FALSE),"")</f>
        <v>12-115-E1</v>
      </c>
    </row>
    <row r="279" spans="1:8">
      <c r="A279" s="71">
        <v>35148</v>
      </c>
      <c r="B279" s="69" t="s">
        <v>2613</v>
      </c>
      <c r="C279" s="70" t="s">
        <v>1154</v>
      </c>
      <c r="D279" s="70" t="s">
        <v>2610</v>
      </c>
      <c r="E279" s="72">
        <v>23</v>
      </c>
      <c r="F279" s="70" t="s">
        <v>2612</v>
      </c>
      <c r="G279" s="70" t="str">
        <f>IFERROR(VLOOKUP(A279,[1]wms_iv_f!$A$1:$E$136,4,FALSE),"")</f>
        <v/>
      </c>
      <c r="H279" s="95" t="str">
        <f>IFERROR(VLOOKUP(A279,[2]wms_lc_f!$A$1:$B$156,2,FALSE),"")</f>
        <v/>
      </c>
    </row>
    <row r="280" spans="1:8">
      <c r="A280" s="71">
        <v>120004</v>
      </c>
      <c r="B280" s="69" t="s">
        <v>2613</v>
      </c>
      <c r="C280" s="70" t="s">
        <v>2451</v>
      </c>
      <c r="D280" s="70" t="s">
        <v>2610</v>
      </c>
      <c r="E280" s="72">
        <v>23</v>
      </c>
      <c r="F280" s="70" t="s">
        <v>2612</v>
      </c>
      <c r="G280" s="70" t="str">
        <f>IFERROR(VLOOKUP(A280,[1]wms_iv_f!$A$1:$E$136,4,FALSE),"")</f>
        <v/>
      </c>
      <c r="H280" s="95" t="str">
        <f>IFERROR(VLOOKUP(A280,[2]wms_lc_f!$A$1:$B$156,2,FALSE),"")</f>
        <v/>
      </c>
    </row>
    <row r="281" spans="1:8">
      <c r="A281" s="71">
        <v>100379</v>
      </c>
      <c r="B281" s="69" t="s">
        <v>2613</v>
      </c>
      <c r="C281" s="70" t="s">
        <v>1156</v>
      </c>
      <c r="D281" s="70" t="s">
        <v>2610</v>
      </c>
      <c r="E281" s="72">
        <v>22</v>
      </c>
      <c r="F281" s="70" t="s">
        <v>2612</v>
      </c>
      <c r="G281" s="70" t="str">
        <f>IFERROR(VLOOKUP(A281,[1]wms_iv_f!$A$1:$E$136,4,FALSE),"")</f>
        <v/>
      </c>
      <c r="H281" s="95" t="str">
        <f>IFERROR(VLOOKUP(A281,[2]wms_lc_f!$A$1:$B$156,2,FALSE),"")</f>
        <v/>
      </c>
    </row>
    <row r="282" spans="1:8">
      <c r="A282" s="71">
        <v>35286</v>
      </c>
      <c r="B282" s="69" t="s">
        <v>2613</v>
      </c>
      <c r="C282" s="70" t="s">
        <v>1157</v>
      </c>
      <c r="D282" s="70" t="s">
        <v>2610</v>
      </c>
      <c r="E282" s="72">
        <v>22</v>
      </c>
      <c r="F282" s="70" t="s">
        <v>2612</v>
      </c>
      <c r="G282" s="70" t="str">
        <f>IFERROR(VLOOKUP(A282,[1]wms_iv_f!$A$1:$E$136,4,FALSE),"")</f>
        <v/>
      </c>
      <c r="H282" s="95" t="str">
        <f>IFERROR(VLOOKUP(A282,[2]wms_lc_f!$A$1:$B$156,2,FALSE),"")</f>
        <v/>
      </c>
    </row>
    <row r="283" spans="1:8">
      <c r="A283" s="71">
        <v>2456</v>
      </c>
      <c r="B283" s="69" t="s">
        <v>2613</v>
      </c>
      <c r="C283" s="70" t="s">
        <v>2452</v>
      </c>
      <c r="D283" s="70" t="s">
        <v>2610</v>
      </c>
      <c r="E283" s="72">
        <v>22</v>
      </c>
      <c r="F283" s="70" t="s">
        <v>2612</v>
      </c>
      <c r="G283" s="70" t="str">
        <f>IFERROR(VLOOKUP(A283,[1]wms_iv_f!$A$1:$E$136,4,FALSE),"")</f>
        <v/>
      </c>
      <c r="H283" s="95" t="str">
        <f>IFERROR(VLOOKUP(A283,[2]wms_lc_f!$A$1:$B$156,2,FALSE),"")</f>
        <v>12-125-A1</v>
      </c>
    </row>
    <row r="284" spans="1:8">
      <c r="A284" s="71">
        <v>110451</v>
      </c>
      <c r="B284" s="69" t="s">
        <v>2613</v>
      </c>
      <c r="C284" s="70" t="s">
        <v>1160</v>
      </c>
      <c r="D284" s="70" t="s">
        <v>2610</v>
      </c>
      <c r="E284" s="72">
        <v>21</v>
      </c>
      <c r="F284" s="70" t="s">
        <v>2612</v>
      </c>
      <c r="G284" s="70" t="str">
        <f>IFERROR(VLOOKUP(A284,[1]wms_iv_f!$A$1:$E$136,4,FALSE),"")</f>
        <v/>
      </c>
      <c r="H284" s="95" t="str">
        <f>IFERROR(VLOOKUP(A284,[2]wms_lc_f!$A$1:$B$156,2,FALSE),"")</f>
        <v/>
      </c>
    </row>
    <row r="285" spans="1:8">
      <c r="A285" s="71">
        <v>118779</v>
      </c>
      <c r="B285" s="69" t="s">
        <v>2613</v>
      </c>
      <c r="C285" s="70" t="s">
        <v>2454</v>
      </c>
      <c r="D285" s="70" t="s">
        <v>2610</v>
      </c>
      <c r="E285" s="72">
        <v>21</v>
      </c>
      <c r="F285" s="70" t="s">
        <v>2612</v>
      </c>
      <c r="G285" s="70" t="str">
        <f>IFERROR(VLOOKUP(A285,[1]wms_iv_f!$A$1:$E$136,4,FALSE),"")</f>
        <v/>
      </c>
      <c r="H285" s="95" t="str">
        <f>IFERROR(VLOOKUP(A285,[2]wms_lc_f!$A$1:$B$156,2,FALSE),"")</f>
        <v/>
      </c>
    </row>
    <row r="286" spans="1:8">
      <c r="A286" s="71">
        <v>118779</v>
      </c>
      <c r="B286" s="69" t="s">
        <v>2613</v>
      </c>
      <c r="C286" s="70" t="s">
        <v>2455</v>
      </c>
      <c r="D286" s="70" t="s">
        <v>2610</v>
      </c>
      <c r="E286" s="72">
        <v>21</v>
      </c>
      <c r="F286" s="70" t="s">
        <v>2612</v>
      </c>
      <c r="G286" s="70" t="str">
        <f>IFERROR(VLOOKUP(A286,[1]wms_iv_f!$A$1:$E$136,4,FALSE),"")</f>
        <v/>
      </c>
      <c r="H286" s="95" t="str">
        <f>IFERROR(VLOOKUP(A286,[2]wms_lc_f!$A$1:$B$156,2,FALSE),"")</f>
        <v/>
      </c>
    </row>
    <row r="287" spans="1:8">
      <c r="A287" s="71">
        <v>42860</v>
      </c>
      <c r="B287" s="69" t="s">
        <v>2613</v>
      </c>
      <c r="C287" s="70" t="s">
        <v>2457</v>
      </c>
      <c r="D287" s="70" t="s">
        <v>2610</v>
      </c>
      <c r="E287" s="72">
        <v>21</v>
      </c>
      <c r="F287" s="70" t="s">
        <v>2612</v>
      </c>
      <c r="G287" s="70" t="str">
        <f>IFERROR(VLOOKUP(A287,[1]wms_iv_f!$A$1:$E$136,4,FALSE),"")</f>
        <v/>
      </c>
      <c r="H287" s="95" t="str">
        <f>IFERROR(VLOOKUP(A287,[2]wms_lc_f!$A$1:$B$156,2,FALSE),"")</f>
        <v>12-119-B2</v>
      </c>
    </row>
    <row r="288" spans="1:8">
      <c r="A288" s="71">
        <v>100107</v>
      </c>
      <c r="B288" s="69" t="s">
        <v>2613</v>
      </c>
      <c r="C288" s="70" t="s">
        <v>1159</v>
      </c>
      <c r="D288" s="70" t="s">
        <v>2610</v>
      </c>
      <c r="E288" s="72">
        <v>19</v>
      </c>
      <c r="F288" s="70" t="s">
        <v>2612</v>
      </c>
      <c r="G288" s="70" t="str">
        <f>IFERROR(VLOOKUP(A288,[1]wms_iv_f!$A$1:$E$136,4,FALSE),"")</f>
        <v/>
      </c>
      <c r="H288" s="95" t="str">
        <f>IFERROR(VLOOKUP(A288,[2]wms_lc_f!$A$1:$B$156,2,FALSE),"")</f>
        <v/>
      </c>
    </row>
    <row r="289" spans="1:8">
      <c r="A289" s="71">
        <v>73966</v>
      </c>
      <c r="B289" s="69" t="s">
        <v>2613</v>
      </c>
      <c r="C289" s="70" t="s">
        <v>810</v>
      </c>
      <c r="D289" s="70" t="s">
        <v>2610</v>
      </c>
      <c r="E289" s="72">
        <v>19</v>
      </c>
      <c r="F289" s="70" t="s">
        <v>2612</v>
      </c>
      <c r="G289" s="70" t="str">
        <f>IFERROR(VLOOKUP(A289,[1]wms_iv_f!$A$1:$E$136,4,FALSE),"")</f>
        <v/>
      </c>
      <c r="H289" s="95" t="str">
        <f>IFERROR(VLOOKUP(A289,[2]wms_lc_f!$A$1:$B$156,2,FALSE),"")</f>
        <v>12-111-C2</v>
      </c>
    </row>
    <row r="290" spans="1:8">
      <c r="A290" s="71">
        <v>106272</v>
      </c>
      <c r="B290" s="69" t="s">
        <v>2613</v>
      </c>
      <c r="C290" s="70" t="s">
        <v>813</v>
      </c>
      <c r="D290" s="70" t="s">
        <v>2610</v>
      </c>
      <c r="E290" s="72">
        <v>19</v>
      </c>
      <c r="F290" s="70" t="s">
        <v>2612</v>
      </c>
      <c r="G290" s="70" t="str">
        <f>IFERROR(VLOOKUP(A290,[1]wms_iv_f!$A$1:$E$136,4,FALSE),"")</f>
        <v/>
      </c>
      <c r="H290" s="95" t="str">
        <f>IFERROR(VLOOKUP(A290,[2]wms_lc_f!$A$1:$B$156,2,FALSE),"")</f>
        <v/>
      </c>
    </row>
    <row r="291" spans="1:8">
      <c r="A291" s="71">
        <v>143835</v>
      </c>
      <c r="B291" s="69" t="s">
        <v>2613</v>
      </c>
      <c r="C291" s="70" t="s">
        <v>2623</v>
      </c>
      <c r="D291" s="70" t="s">
        <v>2610</v>
      </c>
      <c r="E291" s="72">
        <v>19</v>
      </c>
      <c r="F291" s="70" t="s">
        <v>2612</v>
      </c>
      <c r="G291" s="70" t="str">
        <f>IFERROR(VLOOKUP(A291,[1]wms_iv_f!$A$1:$E$136,4,FALSE),"")</f>
        <v/>
      </c>
      <c r="H291" s="95" t="str">
        <f>IFERROR(VLOOKUP(A291,[2]wms_lc_f!$A$1:$B$156,2,FALSE),"")</f>
        <v/>
      </c>
    </row>
    <row r="292" spans="1:8">
      <c r="A292" s="71">
        <v>82521</v>
      </c>
      <c r="B292" s="69" t="s">
        <v>2613</v>
      </c>
      <c r="C292" s="70" t="s">
        <v>2119</v>
      </c>
      <c r="D292" s="70" t="s">
        <v>2610</v>
      </c>
      <c r="E292" s="72">
        <v>19</v>
      </c>
      <c r="F292" s="70" t="s">
        <v>2612</v>
      </c>
      <c r="G292" s="70" t="str">
        <f>IFERROR(VLOOKUP(A292,[1]wms_iv_f!$A$1:$E$136,4,FALSE),"")</f>
        <v/>
      </c>
      <c r="H292" s="95" t="str">
        <f>IFERROR(VLOOKUP(A292,[2]wms_lc_f!$A$1:$B$156,2,FALSE),"")</f>
        <v/>
      </c>
    </row>
    <row r="293" spans="1:8">
      <c r="A293" s="71">
        <v>82521</v>
      </c>
      <c r="B293" s="69" t="s">
        <v>2613</v>
      </c>
      <c r="C293" s="70" t="s">
        <v>2120</v>
      </c>
      <c r="D293" s="70" t="s">
        <v>2610</v>
      </c>
      <c r="E293" s="72">
        <v>19</v>
      </c>
      <c r="F293" s="70" t="s">
        <v>2612</v>
      </c>
      <c r="G293" s="70" t="str">
        <f>IFERROR(VLOOKUP(A293,[1]wms_iv_f!$A$1:$E$136,4,FALSE),"")</f>
        <v/>
      </c>
      <c r="H293" s="95" t="str">
        <f>IFERROR(VLOOKUP(A293,[2]wms_lc_f!$A$1:$B$156,2,FALSE),"")</f>
        <v/>
      </c>
    </row>
    <row r="294" spans="1:8">
      <c r="A294" s="71">
        <v>82521</v>
      </c>
      <c r="B294" s="69" t="s">
        <v>2613</v>
      </c>
      <c r="C294" s="70" t="s">
        <v>2121</v>
      </c>
      <c r="D294" s="70" t="s">
        <v>2610</v>
      </c>
      <c r="E294" s="72">
        <v>19</v>
      </c>
      <c r="F294" s="70" t="s">
        <v>2612</v>
      </c>
      <c r="G294" s="70" t="str">
        <f>IFERROR(VLOOKUP(A294,[1]wms_iv_f!$A$1:$E$136,4,FALSE),"")</f>
        <v/>
      </c>
      <c r="H294" s="95" t="str">
        <f>IFERROR(VLOOKUP(A294,[2]wms_lc_f!$A$1:$B$156,2,FALSE),"")</f>
        <v/>
      </c>
    </row>
    <row r="295" spans="1:8">
      <c r="A295" s="71">
        <v>120031</v>
      </c>
      <c r="B295" s="69" t="s">
        <v>2613</v>
      </c>
      <c r="C295" s="70" t="s">
        <v>1152</v>
      </c>
      <c r="D295" s="70" t="s">
        <v>2610</v>
      </c>
      <c r="E295" s="72">
        <v>18</v>
      </c>
      <c r="F295" s="70" t="s">
        <v>2612</v>
      </c>
      <c r="G295" s="70" t="str">
        <f>IFERROR(VLOOKUP(A295,[1]wms_iv_f!$A$1:$E$136,4,FALSE),"")</f>
        <v/>
      </c>
      <c r="H295" s="95" t="str">
        <f>IFERROR(VLOOKUP(A295,[2]wms_lc_f!$A$1:$B$156,2,FALSE),"")</f>
        <v/>
      </c>
    </row>
    <row r="296" spans="1:8">
      <c r="A296" s="71">
        <v>1459</v>
      </c>
      <c r="B296" s="69" t="s">
        <v>2613</v>
      </c>
      <c r="C296" s="70" t="s">
        <v>1112</v>
      </c>
      <c r="D296" s="70" t="s">
        <v>2610</v>
      </c>
      <c r="E296" s="72">
        <v>18</v>
      </c>
      <c r="F296" s="70" t="s">
        <v>2612</v>
      </c>
      <c r="G296" s="70" t="str">
        <f>IFERROR(VLOOKUP(A296,[1]wms_iv_f!$A$1:$E$136,4,FALSE),"")</f>
        <v/>
      </c>
      <c r="H296" s="95" t="str">
        <f>IFERROR(VLOOKUP(A296,[2]wms_lc_f!$A$1:$B$156,2,FALSE),"")</f>
        <v>12-113-C1</v>
      </c>
    </row>
    <row r="297" spans="1:8">
      <c r="A297" s="71">
        <v>73965</v>
      </c>
      <c r="B297" s="69" t="s">
        <v>2613</v>
      </c>
      <c r="C297" s="70" t="s">
        <v>767</v>
      </c>
      <c r="D297" s="70" t="s">
        <v>2610</v>
      </c>
      <c r="E297" s="72">
        <v>18</v>
      </c>
      <c r="F297" s="70" t="s">
        <v>2612</v>
      </c>
      <c r="G297" s="70" t="str">
        <f>IFERROR(VLOOKUP(A297,[1]wms_iv_f!$A$1:$E$136,4,FALSE),"")</f>
        <v/>
      </c>
      <c r="H297" s="95" t="str">
        <f>IFERROR(VLOOKUP(A297,[2]wms_lc_f!$A$1:$B$156,2,FALSE),"")</f>
        <v/>
      </c>
    </row>
    <row r="298" spans="1:8">
      <c r="A298" s="71">
        <v>108869</v>
      </c>
      <c r="B298" s="69" t="s">
        <v>2613</v>
      </c>
      <c r="C298" s="70" t="s">
        <v>2456</v>
      </c>
      <c r="D298" s="70" t="s">
        <v>2610</v>
      </c>
      <c r="E298" s="72">
        <v>18</v>
      </c>
      <c r="F298" s="70" t="s">
        <v>2612</v>
      </c>
      <c r="G298" s="70" t="str">
        <f>IFERROR(VLOOKUP(A298,[1]wms_iv_f!$A$1:$E$136,4,FALSE),"")</f>
        <v/>
      </c>
      <c r="H298" s="95" t="str">
        <f>IFERROR(VLOOKUP(A298,[2]wms_lc_f!$A$1:$B$156,2,FALSE),"")</f>
        <v/>
      </c>
    </row>
    <row r="299" spans="1:8">
      <c r="A299" s="71">
        <v>100771</v>
      </c>
      <c r="B299" s="69" t="s">
        <v>2613</v>
      </c>
      <c r="C299" s="70" t="s">
        <v>2460</v>
      </c>
      <c r="D299" s="70" t="s">
        <v>2610</v>
      </c>
      <c r="E299" s="72">
        <v>18</v>
      </c>
      <c r="F299" s="70" t="s">
        <v>2612</v>
      </c>
      <c r="G299" s="70" t="str">
        <f>IFERROR(VLOOKUP(A299,[1]wms_iv_f!$A$1:$E$136,4,FALSE),"")</f>
        <v/>
      </c>
      <c r="H299" s="95" t="str">
        <f>IFERROR(VLOOKUP(A299,[2]wms_lc_f!$A$1:$B$156,2,FALSE),"")</f>
        <v>12-119-D1</v>
      </c>
    </row>
    <row r="300" spans="1:8">
      <c r="A300" s="71">
        <v>100771</v>
      </c>
      <c r="B300" s="69" t="s">
        <v>2613</v>
      </c>
      <c r="C300" s="70" t="s">
        <v>2461</v>
      </c>
      <c r="D300" s="70" t="s">
        <v>2610</v>
      </c>
      <c r="E300" s="72">
        <v>18</v>
      </c>
      <c r="F300" s="70" t="s">
        <v>2612</v>
      </c>
      <c r="G300" s="70" t="str">
        <f>IFERROR(VLOOKUP(A300,[1]wms_iv_f!$A$1:$E$136,4,FALSE),"")</f>
        <v/>
      </c>
      <c r="H300" s="95" t="str">
        <f>IFERROR(VLOOKUP(A300,[2]wms_lc_f!$A$1:$B$156,2,FALSE),"")</f>
        <v>12-119-D1</v>
      </c>
    </row>
    <row r="301" spans="1:8">
      <c r="A301" s="71">
        <v>100771</v>
      </c>
      <c r="B301" s="69" t="s">
        <v>2613</v>
      </c>
      <c r="C301" s="70" t="s">
        <v>2462</v>
      </c>
      <c r="D301" s="70" t="s">
        <v>2610</v>
      </c>
      <c r="E301" s="72">
        <v>18</v>
      </c>
      <c r="F301" s="70" t="s">
        <v>2612</v>
      </c>
      <c r="G301" s="70" t="str">
        <f>IFERROR(VLOOKUP(A301,[1]wms_iv_f!$A$1:$E$136,4,FALSE),"")</f>
        <v/>
      </c>
      <c r="H301" s="95" t="str">
        <f>IFERROR(VLOOKUP(A301,[2]wms_lc_f!$A$1:$B$156,2,FALSE),"")</f>
        <v>12-119-D1</v>
      </c>
    </row>
    <row r="302" spans="1:8">
      <c r="A302" s="71">
        <v>137591</v>
      </c>
      <c r="B302" s="69" t="s">
        <v>2613</v>
      </c>
      <c r="C302" s="70" t="s">
        <v>2115</v>
      </c>
      <c r="D302" s="70" t="s">
        <v>2610</v>
      </c>
      <c r="E302" s="72">
        <v>18</v>
      </c>
      <c r="F302" s="70" t="s">
        <v>2612</v>
      </c>
      <c r="G302" s="70" t="str">
        <f>IFERROR(VLOOKUP(A302,[1]wms_iv_f!$A$1:$E$136,4,FALSE),"")</f>
        <v/>
      </c>
      <c r="H302" s="95" t="str">
        <f>IFERROR(VLOOKUP(A302,[2]wms_lc_f!$A$1:$B$156,2,FALSE),"")</f>
        <v/>
      </c>
    </row>
    <row r="303" spans="1:8">
      <c r="A303" s="71">
        <v>388</v>
      </c>
      <c r="B303" s="69" t="s">
        <v>2613</v>
      </c>
      <c r="C303" s="70" t="s">
        <v>2412</v>
      </c>
      <c r="D303" s="70" t="s">
        <v>2610</v>
      </c>
      <c r="E303" s="72">
        <v>18</v>
      </c>
      <c r="F303" s="70" t="s">
        <v>2612</v>
      </c>
      <c r="G303" s="70" t="str">
        <f>IFERROR(VLOOKUP(A303,[1]wms_iv_f!$A$1:$E$136,4,FALSE),"")</f>
        <v/>
      </c>
      <c r="H303" s="95" t="str">
        <f>IFERROR(VLOOKUP(A303,[2]wms_lc_f!$A$1:$B$156,2,FALSE),"")</f>
        <v/>
      </c>
    </row>
    <row r="304" spans="1:8">
      <c r="A304" s="71">
        <v>114325</v>
      </c>
      <c r="B304" s="69" t="s">
        <v>2613</v>
      </c>
      <c r="C304" s="70" t="s">
        <v>2075</v>
      </c>
      <c r="D304" s="70" t="s">
        <v>2610</v>
      </c>
      <c r="E304" s="72">
        <v>18</v>
      </c>
      <c r="F304" s="70" t="s">
        <v>2612</v>
      </c>
      <c r="G304" s="70" t="str">
        <f>IFERROR(VLOOKUP(A304,[1]wms_iv_f!$A$1:$E$136,4,FALSE),"")</f>
        <v/>
      </c>
      <c r="H304" s="95" t="str">
        <f>IFERROR(VLOOKUP(A304,[2]wms_lc_f!$A$1:$B$156,2,FALSE),"")</f>
        <v/>
      </c>
    </row>
    <row r="305" spans="1:8">
      <c r="A305" s="71">
        <v>130175</v>
      </c>
      <c r="B305" s="69" t="s">
        <v>2613</v>
      </c>
      <c r="C305" s="70" t="s">
        <v>1114</v>
      </c>
      <c r="D305" s="70" t="s">
        <v>2610</v>
      </c>
      <c r="E305" s="72">
        <v>17</v>
      </c>
      <c r="F305" s="70" t="s">
        <v>2612</v>
      </c>
      <c r="G305" s="70" t="str">
        <f>IFERROR(VLOOKUP(A305,[1]wms_iv_f!$A$1:$E$136,4,FALSE),"")</f>
        <v/>
      </c>
      <c r="H305" s="95" t="str">
        <f>IFERROR(VLOOKUP(A305,[2]wms_lc_f!$A$1:$B$156,2,FALSE),"")</f>
        <v/>
      </c>
    </row>
    <row r="306" spans="1:8">
      <c r="A306" s="71">
        <v>113611</v>
      </c>
      <c r="B306" s="69" t="s">
        <v>2613</v>
      </c>
      <c r="C306" s="70" t="s">
        <v>768</v>
      </c>
      <c r="D306" s="70" t="s">
        <v>2610</v>
      </c>
      <c r="E306" s="72">
        <v>17</v>
      </c>
      <c r="F306" s="70" t="s">
        <v>2612</v>
      </c>
      <c r="G306" s="70" t="str">
        <f>IFERROR(VLOOKUP(A306,[1]wms_iv_f!$A$1:$E$136,4,FALSE),"")</f>
        <v/>
      </c>
      <c r="H306" s="95" t="str">
        <f>IFERROR(VLOOKUP(A306,[2]wms_lc_f!$A$1:$B$156,2,FALSE),"")</f>
        <v/>
      </c>
    </row>
    <row r="307" spans="1:8">
      <c r="A307" s="71">
        <v>113611</v>
      </c>
      <c r="B307" s="69" t="s">
        <v>2613</v>
      </c>
      <c r="C307" s="70" t="s">
        <v>2624</v>
      </c>
      <c r="D307" s="70" t="s">
        <v>2610</v>
      </c>
      <c r="E307" s="72">
        <v>17</v>
      </c>
      <c r="F307" s="70" t="s">
        <v>2612</v>
      </c>
      <c r="G307" s="70" t="str">
        <f>IFERROR(VLOOKUP(A307,[1]wms_iv_f!$A$1:$E$136,4,FALSE),"")</f>
        <v/>
      </c>
      <c r="H307" s="95" t="str">
        <f>IFERROR(VLOOKUP(A307,[2]wms_lc_f!$A$1:$B$156,2,FALSE),"")</f>
        <v/>
      </c>
    </row>
    <row r="308" spans="1:8">
      <c r="A308" s="71">
        <v>428</v>
      </c>
      <c r="B308" s="69" t="s">
        <v>2613</v>
      </c>
      <c r="C308" s="70" t="s">
        <v>2414</v>
      </c>
      <c r="D308" s="70" t="s">
        <v>2610</v>
      </c>
      <c r="E308" s="72">
        <v>17</v>
      </c>
      <c r="F308" s="70" t="s">
        <v>2612</v>
      </c>
      <c r="G308" s="70" t="str">
        <f>IFERROR(VLOOKUP(A308,[1]wms_iv_f!$A$1:$E$136,4,FALSE),"")</f>
        <v/>
      </c>
      <c r="H308" s="95" t="str">
        <f>IFERROR(VLOOKUP(A308,[2]wms_lc_f!$A$1:$B$156,2,FALSE),"")</f>
        <v>12-113-A2</v>
      </c>
    </row>
    <row r="309" spans="1:8">
      <c r="A309" s="71">
        <v>113622</v>
      </c>
      <c r="B309" s="69" t="s">
        <v>2613</v>
      </c>
      <c r="C309" s="70" t="s">
        <v>2081</v>
      </c>
      <c r="D309" s="70" t="s">
        <v>2610</v>
      </c>
      <c r="E309" s="72">
        <v>17</v>
      </c>
      <c r="F309" s="70" t="s">
        <v>2612</v>
      </c>
      <c r="G309" s="70" t="str">
        <f>IFERROR(VLOOKUP(A309,[1]wms_iv_f!$A$1:$E$136,4,FALSE),"")</f>
        <v/>
      </c>
      <c r="H309" s="95" t="str">
        <f>IFERROR(VLOOKUP(A309,[2]wms_lc_f!$A$1:$B$156,2,FALSE),"")</f>
        <v/>
      </c>
    </row>
    <row r="310" spans="1:8">
      <c r="A310" s="71">
        <v>113622</v>
      </c>
      <c r="B310" s="69" t="s">
        <v>2613</v>
      </c>
      <c r="C310" s="70" t="s">
        <v>2082</v>
      </c>
      <c r="D310" s="70" t="s">
        <v>2610</v>
      </c>
      <c r="E310" s="72">
        <v>17</v>
      </c>
      <c r="F310" s="70" t="s">
        <v>2612</v>
      </c>
      <c r="G310" s="70" t="str">
        <f>IFERROR(VLOOKUP(A310,[1]wms_iv_f!$A$1:$E$136,4,FALSE),"")</f>
        <v/>
      </c>
      <c r="H310" s="95" t="str">
        <f>IFERROR(VLOOKUP(A310,[2]wms_lc_f!$A$1:$B$156,2,FALSE),"")</f>
        <v/>
      </c>
    </row>
    <row r="311" spans="1:8">
      <c r="A311" s="71">
        <v>63778</v>
      </c>
      <c r="B311" s="69" t="s">
        <v>2613</v>
      </c>
      <c r="C311" s="70" t="s">
        <v>1162</v>
      </c>
      <c r="D311" s="70" t="s">
        <v>2610</v>
      </c>
      <c r="E311" s="72">
        <v>16</v>
      </c>
      <c r="F311" s="70" t="s">
        <v>2612</v>
      </c>
      <c r="G311" s="70" t="str">
        <f>IFERROR(VLOOKUP(A311,[1]wms_iv_f!$A$1:$E$136,4,FALSE),"")</f>
        <v/>
      </c>
      <c r="H311" s="95" t="str">
        <f>IFERROR(VLOOKUP(A311,[2]wms_lc_f!$A$1:$B$156,2,FALSE),"")</f>
        <v>12-111-D2</v>
      </c>
    </row>
    <row r="312" spans="1:8">
      <c r="A312" s="71">
        <v>129752</v>
      </c>
      <c r="B312" s="69" t="s">
        <v>2613</v>
      </c>
      <c r="C312" s="70" t="s">
        <v>815</v>
      </c>
      <c r="D312" s="70" t="s">
        <v>2610</v>
      </c>
      <c r="E312" s="72">
        <v>16</v>
      </c>
      <c r="F312" s="70" t="s">
        <v>2612</v>
      </c>
      <c r="G312" s="70" t="str">
        <f>IFERROR(VLOOKUP(A312,[1]wms_iv_f!$A$1:$E$136,4,FALSE),"")</f>
        <v/>
      </c>
      <c r="H312" s="95" t="str">
        <f>IFERROR(VLOOKUP(A312,[2]wms_lc_f!$A$1:$B$156,2,FALSE),"")</f>
        <v>12-119-A2</v>
      </c>
    </row>
    <row r="313" spans="1:8">
      <c r="A313" s="71">
        <v>135227</v>
      </c>
      <c r="B313" s="69" t="s">
        <v>2613</v>
      </c>
      <c r="C313" s="70" t="s">
        <v>769</v>
      </c>
      <c r="D313" s="70" t="s">
        <v>2610</v>
      </c>
      <c r="E313" s="72">
        <v>16</v>
      </c>
      <c r="F313" s="70" t="s">
        <v>2612</v>
      </c>
      <c r="G313" s="70" t="str">
        <f>IFERROR(VLOOKUP(A313,[1]wms_iv_f!$A$1:$E$136,4,FALSE),"")</f>
        <v/>
      </c>
      <c r="H313" s="95" t="str">
        <f>IFERROR(VLOOKUP(A313,[2]wms_lc_f!$A$1:$B$156,2,FALSE),"")</f>
        <v>12-117-A1</v>
      </c>
    </row>
    <row r="314" spans="1:8">
      <c r="A314" s="71">
        <v>17481</v>
      </c>
      <c r="B314" s="69" t="s">
        <v>2613</v>
      </c>
      <c r="C314" s="70" t="s">
        <v>2458</v>
      </c>
      <c r="D314" s="70" t="s">
        <v>2610</v>
      </c>
      <c r="E314" s="72">
        <v>16</v>
      </c>
      <c r="F314" s="70" t="s">
        <v>2612</v>
      </c>
      <c r="G314" s="70" t="str">
        <f>IFERROR(VLOOKUP(A314,[1]wms_iv_f!$A$1:$E$136,4,FALSE),"")</f>
        <v/>
      </c>
      <c r="H314" s="95" t="str">
        <f>IFERROR(VLOOKUP(A314,[2]wms_lc_f!$A$1:$B$156,2,FALSE),"")</f>
        <v>12-115-A1</v>
      </c>
    </row>
    <row r="315" spans="1:8">
      <c r="A315" s="71">
        <v>157623</v>
      </c>
      <c r="B315" s="69" t="s">
        <v>2613</v>
      </c>
      <c r="C315" s="76" t="s">
        <v>2122</v>
      </c>
      <c r="D315" s="76" t="s">
        <v>2610</v>
      </c>
      <c r="E315" s="72">
        <v>16</v>
      </c>
      <c r="F315" s="70" t="s">
        <v>2612</v>
      </c>
      <c r="G315" s="70" t="str">
        <f>IFERROR(VLOOKUP(A315,[1]wms_iv_f!$A$1:$E$136,4,FALSE),"")</f>
        <v/>
      </c>
      <c r="H315" s="95" t="str">
        <f>IFERROR(VLOOKUP(A315,[2]wms_lc_f!$A$1:$B$156,2,FALSE),"")</f>
        <v/>
      </c>
    </row>
    <row r="316" spans="1:8">
      <c r="A316" s="71">
        <v>157623</v>
      </c>
      <c r="B316" s="69" t="s">
        <v>2613</v>
      </c>
      <c r="C316" s="70" t="s">
        <v>2123</v>
      </c>
      <c r="D316" s="70" t="s">
        <v>2610</v>
      </c>
      <c r="E316" s="72">
        <v>16</v>
      </c>
      <c r="F316" s="70" t="s">
        <v>2612</v>
      </c>
      <c r="G316" s="70" t="str">
        <f>IFERROR(VLOOKUP(A316,[1]wms_iv_f!$A$1:$E$136,4,FALSE),"")</f>
        <v/>
      </c>
      <c r="H316" s="95" t="str">
        <f>IFERROR(VLOOKUP(A316,[2]wms_lc_f!$A$1:$B$156,2,FALSE),"")</f>
        <v/>
      </c>
    </row>
    <row r="317" spans="1:8">
      <c r="A317" s="71">
        <v>157623</v>
      </c>
      <c r="B317" s="69" t="s">
        <v>2613</v>
      </c>
      <c r="C317" s="70" t="s">
        <v>2124</v>
      </c>
      <c r="D317" s="70" t="s">
        <v>2610</v>
      </c>
      <c r="E317" s="72">
        <v>16</v>
      </c>
      <c r="F317" s="70" t="s">
        <v>2612</v>
      </c>
      <c r="G317" s="70" t="str">
        <f>IFERROR(VLOOKUP(A317,[1]wms_iv_f!$A$1:$E$136,4,FALSE),"")</f>
        <v/>
      </c>
      <c r="H317" s="95" t="str">
        <f>IFERROR(VLOOKUP(A317,[2]wms_lc_f!$A$1:$B$156,2,FALSE),"")</f>
        <v/>
      </c>
    </row>
    <row r="318" spans="1:8">
      <c r="A318" s="71">
        <v>138405</v>
      </c>
      <c r="B318" s="69" t="s">
        <v>2613</v>
      </c>
      <c r="C318" s="70" t="s">
        <v>2076</v>
      </c>
      <c r="D318" s="70" t="s">
        <v>2610</v>
      </c>
      <c r="E318" s="72">
        <v>16</v>
      </c>
      <c r="F318" s="70" t="s">
        <v>2612</v>
      </c>
      <c r="G318" s="70" t="str">
        <f>IFERROR(VLOOKUP(A318,[1]wms_iv_f!$A$1:$E$136,4,FALSE),"")</f>
        <v/>
      </c>
      <c r="H318" s="95" t="str">
        <f>IFERROR(VLOOKUP(A318,[2]wms_lc_f!$A$1:$B$156,2,FALSE),"")</f>
        <v/>
      </c>
    </row>
    <row r="319" spans="1:8">
      <c r="A319" s="71">
        <v>570</v>
      </c>
      <c r="B319" s="69" t="s">
        <v>2613</v>
      </c>
      <c r="C319" s="70" t="s">
        <v>1163</v>
      </c>
      <c r="D319" s="70" t="s">
        <v>2610</v>
      </c>
      <c r="E319" s="72">
        <v>15</v>
      </c>
      <c r="F319" s="70" t="s">
        <v>2612</v>
      </c>
      <c r="G319" s="70" t="str">
        <f>IFERROR(VLOOKUP(A319,[1]wms_iv_f!$A$1:$E$136,4,FALSE),"")</f>
        <v/>
      </c>
      <c r="H319" s="95" t="str">
        <f>IFERROR(VLOOKUP(A319,[2]wms_lc_f!$A$1:$B$156,2,FALSE),"")</f>
        <v>12-113-B1</v>
      </c>
    </row>
    <row r="320" spans="1:8">
      <c r="A320" s="71">
        <v>125897</v>
      </c>
      <c r="B320" s="69" t="s">
        <v>2613</v>
      </c>
      <c r="C320" s="70" t="s">
        <v>807</v>
      </c>
      <c r="D320" s="70" t="s">
        <v>2610</v>
      </c>
      <c r="E320" s="72">
        <v>15</v>
      </c>
      <c r="F320" s="70" t="s">
        <v>2612</v>
      </c>
      <c r="G320" s="70" t="str">
        <f>IFERROR(VLOOKUP(A320,[1]wms_iv_f!$A$1:$E$136,4,FALSE),"")</f>
        <v/>
      </c>
      <c r="H320" s="95" t="str">
        <f>IFERROR(VLOOKUP(A320,[2]wms_lc_f!$A$1:$B$156,2,FALSE),"")</f>
        <v/>
      </c>
    </row>
    <row r="321" spans="1:8">
      <c r="A321" s="71">
        <v>129167</v>
      </c>
      <c r="B321" s="69" t="s">
        <v>2613</v>
      </c>
      <c r="C321" s="70" t="s">
        <v>1117</v>
      </c>
      <c r="D321" s="70" t="s">
        <v>2610</v>
      </c>
      <c r="E321" s="72">
        <v>15</v>
      </c>
      <c r="F321" s="70" t="s">
        <v>2612</v>
      </c>
      <c r="G321" s="70" t="str">
        <f>IFERROR(VLOOKUP(A321,[1]wms_iv_f!$A$1:$E$136,4,FALSE),"")</f>
        <v/>
      </c>
      <c r="H321" s="95" t="str">
        <f>IFERROR(VLOOKUP(A321,[2]wms_lc_f!$A$1:$B$156,2,FALSE),"")</f>
        <v/>
      </c>
    </row>
    <row r="322" spans="1:8">
      <c r="A322" s="71">
        <v>112566</v>
      </c>
      <c r="B322" s="69" t="s">
        <v>2613</v>
      </c>
      <c r="C322" s="70" t="s">
        <v>773</v>
      </c>
      <c r="D322" s="70" t="s">
        <v>2610</v>
      </c>
      <c r="E322" s="72">
        <v>15</v>
      </c>
      <c r="F322" s="70" t="s">
        <v>2612</v>
      </c>
      <c r="G322" s="70" t="str">
        <f>IFERROR(VLOOKUP(A322,[1]wms_iv_f!$A$1:$E$136,4,FALSE),"")</f>
        <v/>
      </c>
      <c r="H322" s="95" t="str">
        <f>IFERROR(VLOOKUP(A322,[2]wms_lc_f!$A$1:$B$156,2,FALSE),"")</f>
        <v/>
      </c>
    </row>
    <row r="323" spans="1:8">
      <c r="A323" s="71">
        <v>157068</v>
      </c>
      <c r="B323" s="69" t="s">
        <v>2613</v>
      </c>
      <c r="C323" s="70" t="s">
        <v>2459</v>
      </c>
      <c r="D323" s="70" t="s">
        <v>2610</v>
      </c>
      <c r="E323" s="72">
        <v>15</v>
      </c>
      <c r="F323" s="70" t="s">
        <v>2612</v>
      </c>
      <c r="G323" s="70" t="str">
        <f>IFERROR(VLOOKUP(A323,[1]wms_iv_f!$A$1:$E$136,4,FALSE),"")</f>
        <v/>
      </c>
      <c r="H323" s="95" t="str">
        <f>IFERROR(VLOOKUP(A323,[2]wms_lc_f!$A$1:$B$156,2,FALSE),"")</f>
        <v/>
      </c>
    </row>
    <row r="324" spans="1:8">
      <c r="A324" s="71">
        <v>158212</v>
      </c>
      <c r="B324" s="69" t="s">
        <v>2613</v>
      </c>
      <c r="C324" s="70" t="s">
        <v>2117</v>
      </c>
      <c r="D324" s="70" t="s">
        <v>2610</v>
      </c>
      <c r="E324" s="72">
        <v>15</v>
      </c>
      <c r="F324" s="70" t="s">
        <v>2612</v>
      </c>
      <c r="G324" s="70" t="str">
        <f>IFERROR(VLOOKUP(A324,[1]wms_iv_f!$A$1:$E$136,4,FALSE),"")</f>
        <v/>
      </c>
      <c r="H324" s="95" t="str">
        <f>IFERROR(VLOOKUP(A324,[2]wms_lc_f!$A$1:$B$156,2,FALSE),"")</f>
        <v/>
      </c>
    </row>
    <row r="325" spans="1:8">
      <c r="A325" s="71">
        <v>125002</v>
      </c>
      <c r="B325" s="69" t="s">
        <v>2613</v>
      </c>
      <c r="C325" s="70" t="s">
        <v>2421</v>
      </c>
      <c r="D325" s="70" t="s">
        <v>2610</v>
      </c>
      <c r="E325" s="72">
        <v>15</v>
      </c>
      <c r="F325" s="70" t="s">
        <v>2612</v>
      </c>
      <c r="G325" s="70" t="str">
        <f>IFERROR(VLOOKUP(A325,[1]wms_iv_f!$A$1:$E$136,4,FALSE),"")</f>
        <v/>
      </c>
      <c r="H325" s="95" t="str">
        <f>IFERROR(VLOOKUP(A325,[2]wms_lc_f!$A$1:$B$156,2,FALSE),"")</f>
        <v/>
      </c>
    </row>
    <row r="326" spans="1:8">
      <c r="A326" s="71">
        <v>125002</v>
      </c>
      <c r="B326" s="69" t="s">
        <v>2613</v>
      </c>
      <c r="C326" s="70" t="s">
        <v>2422</v>
      </c>
      <c r="D326" s="70" t="s">
        <v>2610</v>
      </c>
      <c r="E326" s="72">
        <v>15</v>
      </c>
      <c r="F326" s="70" t="s">
        <v>2612</v>
      </c>
      <c r="G326" s="70" t="str">
        <f>IFERROR(VLOOKUP(A326,[1]wms_iv_f!$A$1:$E$136,4,FALSE),"")</f>
        <v/>
      </c>
      <c r="H326" s="95" t="str">
        <f>IFERROR(VLOOKUP(A326,[2]wms_lc_f!$A$1:$B$156,2,FALSE),"")</f>
        <v/>
      </c>
    </row>
    <row r="327" spans="1:8">
      <c r="A327" s="71">
        <v>121302</v>
      </c>
      <c r="B327" s="69" t="s">
        <v>2613</v>
      </c>
      <c r="C327" s="70" t="s">
        <v>2079</v>
      </c>
      <c r="D327" s="70" t="s">
        <v>2610</v>
      </c>
      <c r="E327" s="72">
        <v>15</v>
      </c>
      <c r="F327" s="70" t="s">
        <v>2612</v>
      </c>
      <c r="G327" s="70" t="str">
        <f>IFERROR(VLOOKUP(A327,[1]wms_iv_f!$A$1:$E$136,4,FALSE),"")</f>
        <v/>
      </c>
      <c r="H327" s="95" t="str">
        <f>IFERROR(VLOOKUP(A327,[2]wms_lc_f!$A$1:$B$156,2,FALSE),"")</f>
        <v/>
      </c>
    </row>
    <row r="328" spans="1:8">
      <c r="A328" s="71">
        <v>130177</v>
      </c>
      <c r="B328" s="69" t="s">
        <v>2613</v>
      </c>
      <c r="C328" s="70" t="s">
        <v>811</v>
      </c>
      <c r="D328" s="70" t="s">
        <v>2610</v>
      </c>
      <c r="E328" s="72">
        <v>14</v>
      </c>
      <c r="F328" s="70" t="s">
        <v>2612</v>
      </c>
      <c r="G328" s="70" t="str">
        <f>IFERROR(VLOOKUP(A328,[1]wms_iv_f!$A$1:$E$136,4,FALSE),"")</f>
        <v/>
      </c>
      <c r="H328" s="95" t="str">
        <f>IFERROR(VLOOKUP(A328,[2]wms_lc_f!$A$1:$B$156,2,FALSE),"")</f>
        <v/>
      </c>
    </row>
    <row r="329" spans="1:8">
      <c r="A329" s="71">
        <v>155751</v>
      </c>
      <c r="B329" s="69" t="s">
        <v>2613</v>
      </c>
      <c r="C329" s="70" t="s">
        <v>1120</v>
      </c>
      <c r="D329" s="70" t="s">
        <v>2610</v>
      </c>
      <c r="E329" s="72">
        <v>14</v>
      </c>
      <c r="F329" s="70" t="s">
        <v>2612</v>
      </c>
      <c r="G329" s="70" t="str">
        <f>IFERROR(VLOOKUP(A329,[1]wms_iv_f!$A$1:$E$136,4,FALSE),"")</f>
        <v/>
      </c>
      <c r="H329" s="95" t="str">
        <f>IFERROR(VLOOKUP(A329,[2]wms_lc_f!$A$1:$B$156,2,FALSE),"")</f>
        <v/>
      </c>
    </row>
    <row r="330" spans="1:8">
      <c r="A330" s="71">
        <v>60318</v>
      </c>
      <c r="B330" s="69" t="s">
        <v>2613</v>
      </c>
      <c r="C330" s="70" t="s">
        <v>2118</v>
      </c>
      <c r="D330" s="70" t="s">
        <v>2610</v>
      </c>
      <c r="E330" s="72">
        <v>14</v>
      </c>
      <c r="F330" s="70" t="s">
        <v>2612</v>
      </c>
      <c r="G330" s="70" t="str">
        <f>IFERROR(VLOOKUP(A330,[1]wms_iv_f!$A$1:$E$136,4,FALSE),"")</f>
        <v/>
      </c>
      <c r="H330" s="95" t="str">
        <f>IFERROR(VLOOKUP(A330,[2]wms_lc_f!$A$1:$B$156,2,FALSE),"")</f>
        <v/>
      </c>
    </row>
    <row r="331" spans="1:8">
      <c r="A331" s="71">
        <v>132475</v>
      </c>
      <c r="B331" s="69" t="s">
        <v>2613</v>
      </c>
      <c r="C331" s="70" t="s">
        <v>2425</v>
      </c>
      <c r="D331" s="70" t="s">
        <v>2610</v>
      </c>
      <c r="E331" s="72">
        <v>14</v>
      </c>
      <c r="F331" s="70" t="s">
        <v>2612</v>
      </c>
      <c r="G331" s="70" t="str">
        <f>IFERROR(VLOOKUP(A331,[1]wms_iv_f!$A$1:$E$136,4,FALSE),"")</f>
        <v/>
      </c>
      <c r="H331" s="95" t="str">
        <f>IFERROR(VLOOKUP(A331,[2]wms_lc_f!$A$1:$B$156,2,FALSE),"")</f>
        <v/>
      </c>
    </row>
    <row r="332" spans="1:8">
      <c r="A332" s="71">
        <v>103226</v>
      </c>
      <c r="B332" s="69" t="s">
        <v>2613</v>
      </c>
      <c r="C332" s="70" t="s">
        <v>1164</v>
      </c>
      <c r="D332" s="70" t="s">
        <v>2610</v>
      </c>
      <c r="E332" s="72">
        <v>13</v>
      </c>
      <c r="F332" s="70" t="s">
        <v>2612</v>
      </c>
      <c r="G332" s="70" t="str">
        <f>IFERROR(VLOOKUP(A332,[1]wms_iv_f!$A$1:$E$136,4,FALSE),"")</f>
        <v/>
      </c>
      <c r="H332" s="95" t="str">
        <f>IFERROR(VLOOKUP(A332,[2]wms_lc_f!$A$1:$B$156,2,FALSE),"")</f>
        <v/>
      </c>
    </row>
    <row r="333" spans="1:8">
      <c r="A333" s="71">
        <v>130558</v>
      </c>
      <c r="B333" s="69" t="s">
        <v>2613</v>
      </c>
      <c r="C333" s="70" t="s">
        <v>1165</v>
      </c>
      <c r="D333" s="70" t="s">
        <v>2610</v>
      </c>
      <c r="E333" s="72">
        <v>13</v>
      </c>
      <c r="F333" s="70" t="s">
        <v>2612</v>
      </c>
      <c r="G333" s="70" t="str">
        <f>IFERROR(VLOOKUP(A333,[1]wms_iv_f!$A$1:$E$136,4,FALSE),"")</f>
        <v/>
      </c>
      <c r="H333" s="95" t="str">
        <f>IFERROR(VLOOKUP(A333,[2]wms_lc_f!$A$1:$B$156,2,FALSE),"")</f>
        <v/>
      </c>
    </row>
    <row r="334" spans="1:8">
      <c r="A334" s="71">
        <v>100955</v>
      </c>
      <c r="B334" s="69" t="s">
        <v>2613</v>
      </c>
      <c r="C334" s="70" t="s">
        <v>1265</v>
      </c>
      <c r="D334" s="70" t="s">
        <v>2610</v>
      </c>
      <c r="E334" s="72">
        <v>13</v>
      </c>
      <c r="F334" s="70"/>
      <c r="G334" s="70" t="str">
        <f>IFERROR(VLOOKUP(A334,[1]wms_iv_f!$A$1:$E$136,4,FALSE),"")</f>
        <v/>
      </c>
      <c r="H334" s="95" t="str">
        <f>IFERROR(VLOOKUP(A334,[2]wms_lc_f!$A$1:$B$156,2,FALSE),"")</f>
        <v>12-117-A2</v>
      </c>
    </row>
    <row r="335" spans="1:8">
      <c r="A335" s="71">
        <v>138553</v>
      </c>
      <c r="B335" s="69" t="s">
        <v>2613</v>
      </c>
      <c r="C335" s="70" t="s">
        <v>1121</v>
      </c>
      <c r="D335" s="70" t="s">
        <v>2610</v>
      </c>
      <c r="E335" s="72">
        <v>13</v>
      </c>
      <c r="F335" s="70" t="s">
        <v>2612</v>
      </c>
      <c r="G335" s="70" t="str">
        <f>IFERROR(VLOOKUP(A335,[1]wms_iv_f!$A$1:$E$136,4,FALSE),"")</f>
        <v/>
      </c>
      <c r="H335" s="95" t="str">
        <f>IFERROR(VLOOKUP(A335,[2]wms_lc_f!$A$1:$B$156,2,FALSE),"")</f>
        <v/>
      </c>
    </row>
    <row r="336" spans="1:8">
      <c r="A336" s="71">
        <v>35153</v>
      </c>
      <c r="B336" s="69" t="s">
        <v>2613</v>
      </c>
      <c r="C336" s="70" t="s">
        <v>776</v>
      </c>
      <c r="D336" s="70" t="s">
        <v>2610</v>
      </c>
      <c r="E336" s="72">
        <v>13</v>
      </c>
      <c r="F336" s="70" t="s">
        <v>2612</v>
      </c>
      <c r="G336" s="70" t="str">
        <f>IFERROR(VLOOKUP(A336,[1]wms_iv_f!$A$1:$E$136,4,FALSE),"")</f>
        <v/>
      </c>
      <c r="H336" s="95" t="str">
        <f>IFERROR(VLOOKUP(A336,[2]wms_lc_f!$A$1:$B$156,2,FALSE),"")</f>
        <v>12-111-D1</v>
      </c>
    </row>
    <row r="337" spans="1:8">
      <c r="A337" s="71">
        <v>61393</v>
      </c>
      <c r="B337" s="69" t="s">
        <v>2613</v>
      </c>
      <c r="C337" s="70" t="s">
        <v>777</v>
      </c>
      <c r="D337" s="70" t="s">
        <v>2610</v>
      </c>
      <c r="E337" s="72">
        <v>13</v>
      </c>
      <c r="F337" s="70" t="s">
        <v>2612</v>
      </c>
      <c r="G337" s="70" t="str">
        <f>IFERROR(VLOOKUP(A337,[1]wms_iv_f!$A$1:$E$136,4,FALSE),"")</f>
        <v/>
      </c>
      <c r="H337" s="95" t="str">
        <f>IFERROR(VLOOKUP(A337,[2]wms_lc_f!$A$1:$B$156,2,FALSE),"")</f>
        <v/>
      </c>
    </row>
    <row r="338" spans="1:8">
      <c r="A338" s="71">
        <v>100185</v>
      </c>
      <c r="B338" s="69" t="s">
        <v>2613</v>
      </c>
      <c r="C338" s="70" t="s">
        <v>2562</v>
      </c>
      <c r="D338" s="70" t="s">
        <v>2610</v>
      </c>
      <c r="E338" s="72">
        <v>13</v>
      </c>
      <c r="F338" s="70"/>
      <c r="G338" s="70" t="str">
        <f>IFERROR(VLOOKUP(A338,[1]wms_iv_f!$A$1:$E$136,4,FALSE),"")</f>
        <v/>
      </c>
      <c r="H338" s="95" t="str">
        <f>IFERROR(VLOOKUP(A338,[2]wms_lc_f!$A$1:$B$156,2,FALSE),"")</f>
        <v>12-115-A2</v>
      </c>
    </row>
    <row r="339" spans="1:8">
      <c r="A339" s="71">
        <v>143747</v>
      </c>
      <c r="B339" s="69" t="s">
        <v>2613</v>
      </c>
      <c r="C339" s="70" t="s">
        <v>2463</v>
      </c>
      <c r="D339" s="70" t="s">
        <v>2610</v>
      </c>
      <c r="E339" s="72">
        <v>13</v>
      </c>
      <c r="F339" s="70" t="s">
        <v>2612</v>
      </c>
      <c r="G339" s="70" t="str">
        <f>IFERROR(VLOOKUP(A339,[1]wms_iv_f!$A$1:$E$136,4,FALSE),"")</f>
        <v/>
      </c>
      <c r="H339" s="95" t="str">
        <f>IFERROR(VLOOKUP(A339,[2]wms_lc_f!$A$1:$B$156,2,FALSE),"")</f>
        <v/>
      </c>
    </row>
    <row r="340" spans="1:8">
      <c r="A340" s="71">
        <v>143747</v>
      </c>
      <c r="B340" s="69" t="s">
        <v>2613</v>
      </c>
      <c r="C340" s="70" t="s">
        <v>2464</v>
      </c>
      <c r="D340" s="70" t="s">
        <v>2610</v>
      </c>
      <c r="E340" s="72">
        <v>13</v>
      </c>
      <c r="F340" s="70" t="s">
        <v>2612</v>
      </c>
      <c r="G340" s="70" t="str">
        <f>IFERROR(VLOOKUP(A340,[1]wms_iv_f!$A$1:$E$136,4,FALSE),"")</f>
        <v/>
      </c>
      <c r="H340" s="95" t="str">
        <f>IFERROR(VLOOKUP(A340,[2]wms_lc_f!$A$1:$B$156,2,FALSE),"")</f>
        <v/>
      </c>
    </row>
    <row r="341" spans="1:8">
      <c r="A341" s="71">
        <v>143747</v>
      </c>
      <c r="B341" s="69" t="s">
        <v>2613</v>
      </c>
      <c r="C341" s="70" t="s">
        <v>2465</v>
      </c>
      <c r="D341" s="70" t="s">
        <v>2610</v>
      </c>
      <c r="E341" s="72">
        <v>13</v>
      </c>
      <c r="F341" s="70" t="s">
        <v>2612</v>
      </c>
      <c r="G341" s="70" t="str">
        <f>IFERROR(VLOOKUP(A341,[1]wms_iv_f!$A$1:$E$136,4,FALSE),"")</f>
        <v/>
      </c>
      <c r="H341" s="95" t="str">
        <f>IFERROR(VLOOKUP(A341,[2]wms_lc_f!$A$1:$B$156,2,FALSE),"")</f>
        <v/>
      </c>
    </row>
    <row r="342" spans="1:8">
      <c r="A342" s="71">
        <v>125900</v>
      </c>
      <c r="B342" s="69" t="s">
        <v>2613</v>
      </c>
      <c r="C342" s="70" t="s">
        <v>2011</v>
      </c>
      <c r="D342" s="70" t="s">
        <v>2610</v>
      </c>
      <c r="E342" s="72">
        <v>13</v>
      </c>
      <c r="F342" s="70"/>
      <c r="G342" s="70" t="str">
        <f>IFERROR(VLOOKUP(A342,[1]wms_iv_f!$A$1:$E$136,4,FALSE),"")</f>
        <v/>
      </c>
      <c r="H342" s="95" t="str">
        <f>IFERROR(VLOOKUP(A342,[2]wms_lc_f!$A$1:$B$156,2,FALSE),"")</f>
        <v/>
      </c>
    </row>
    <row r="343" spans="1:8">
      <c r="A343" s="71">
        <v>42859</v>
      </c>
      <c r="B343" s="69" t="s">
        <v>2613</v>
      </c>
      <c r="C343" s="70" t="s">
        <v>2125</v>
      </c>
      <c r="D343" s="70" t="s">
        <v>2610</v>
      </c>
      <c r="E343" s="72">
        <v>13</v>
      </c>
      <c r="F343" s="70" t="s">
        <v>2612</v>
      </c>
      <c r="G343" s="70" t="str">
        <f>IFERROR(VLOOKUP(A343,[1]wms_iv_f!$A$1:$E$136,4,FALSE),"")</f>
        <v/>
      </c>
      <c r="H343" s="95" t="str">
        <f>IFERROR(VLOOKUP(A343,[2]wms_lc_f!$A$1:$B$156,2,FALSE),"")</f>
        <v/>
      </c>
    </row>
    <row r="344" spans="1:8">
      <c r="A344" s="71">
        <v>118440</v>
      </c>
      <c r="B344" s="69" t="s">
        <v>2613</v>
      </c>
      <c r="C344" s="70" t="s">
        <v>2417</v>
      </c>
      <c r="D344" s="70" t="s">
        <v>2610</v>
      </c>
      <c r="E344" s="72">
        <v>13</v>
      </c>
      <c r="F344" s="70" t="s">
        <v>2612</v>
      </c>
      <c r="G344" s="70" t="str">
        <f>IFERROR(VLOOKUP(A344,[1]wms_iv_f!$A$1:$E$136,4,FALSE),"")</f>
        <v/>
      </c>
      <c r="H344" s="95" t="str">
        <f>IFERROR(VLOOKUP(A344,[2]wms_lc_f!$A$1:$B$156,2,FALSE),"")</f>
        <v>12-111-E2</v>
      </c>
    </row>
    <row r="345" spans="1:8">
      <c r="A345" s="71">
        <v>107816</v>
      </c>
      <c r="B345" s="69" t="s">
        <v>2613</v>
      </c>
      <c r="C345" s="70" t="s">
        <v>2080</v>
      </c>
      <c r="D345" s="70" t="s">
        <v>2610</v>
      </c>
      <c r="E345" s="72">
        <v>13</v>
      </c>
      <c r="F345" s="70" t="s">
        <v>2612</v>
      </c>
      <c r="G345" s="70" t="str">
        <f>IFERROR(VLOOKUP(A345,[1]wms_iv_f!$A$1:$E$136,4,FALSE),"")</f>
        <v/>
      </c>
      <c r="H345" s="95" t="str">
        <f>IFERROR(VLOOKUP(A345,[2]wms_lc_f!$A$1:$B$156,2,FALSE),"")</f>
        <v/>
      </c>
    </row>
    <row r="346" spans="1:8">
      <c r="A346" s="71">
        <v>130173</v>
      </c>
      <c r="B346" s="69" t="s">
        <v>2613</v>
      </c>
      <c r="C346" s="70" t="s">
        <v>2083</v>
      </c>
      <c r="D346" s="70" t="s">
        <v>2610</v>
      </c>
      <c r="E346" s="72">
        <v>13</v>
      </c>
      <c r="F346" s="70" t="s">
        <v>2612</v>
      </c>
      <c r="G346" s="70" t="str">
        <f>IFERROR(VLOOKUP(A346,[1]wms_iv_f!$A$1:$E$136,4,FALSE),"")</f>
        <v/>
      </c>
      <c r="H346" s="95" t="str">
        <f>IFERROR(VLOOKUP(A346,[2]wms_lc_f!$A$1:$B$156,2,FALSE),"")</f>
        <v/>
      </c>
    </row>
    <row r="347" spans="1:8">
      <c r="A347" s="71">
        <v>81252</v>
      </c>
      <c r="B347" s="69" t="s">
        <v>2613</v>
      </c>
      <c r="C347" s="70" t="s">
        <v>1166</v>
      </c>
      <c r="D347" s="70" t="s">
        <v>2610</v>
      </c>
      <c r="E347" s="72">
        <v>12</v>
      </c>
      <c r="F347" s="70" t="s">
        <v>2612</v>
      </c>
      <c r="G347" s="70" t="str">
        <f>IFERROR(VLOOKUP(A347,[1]wms_iv_f!$A$1:$E$136,4,FALSE),"")</f>
        <v/>
      </c>
      <c r="H347" s="95" t="str">
        <f>IFERROR(VLOOKUP(A347,[2]wms_lc_f!$A$1:$B$156,2,FALSE),"")</f>
        <v>12-115-D1</v>
      </c>
    </row>
    <row r="348" spans="1:8">
      <c r="A348" s="71">
        <v>120003</v>
      </c>
      <c r="B348" s="69" t="s">
        <v>2613</v>
      </c>
      <c r="C348" s="70" t="s">
        <v>1266</v>
      </c>
      <c r="D348" s="70" t="s">
        <v>2610</v>
      </c>
      <c r="E348" s="72">
        <v>12</v>
      </c>
      <c r="F348" s="70"/>
      <c r="G348" s="70" t="str">
        <f>IFERROR(VLOOKUP(A348,[1]wms_iv_f!$A$1:$E$136,4,FALSE),"")</f>
        <v/>
      </c>
      <c r="H348" s="95" t="str">
        <f>IFERROR(VLOOKUP(A348,[2]wms_lc_f!$A$1:$B$156,2,FALSE),"")</f>
        <v/>
      </c>
    </row>
    <row r="349" spans="1:8">
      <c r="A349" s="71">
        <v>42040</v>
      </c>
      <c r="B349" s="69" t="s">
        <v>2613</v>
      </c>
      <c r="C349" s="70" t="s">
        <v>1123</v>
      </c>
      <c r="D349" s="70" t="s">
        <v>2610</v>
      </c>
      <c r="E349" s="72">
        <v>12</v>
      </c>
      <c r="F349" s="70" t="s">
        <v>2612</v>
      </c>
      <c r="G349" s="70" t="str">
        <f>IFERROR(VLOOKUP(A349,[1]wms_iv_f!$A$1:$E$136,4,FALSE),"")</f>
        <v/>
      </c>
      <c r="H349" s="95" t="str">
        <f>IFERROR(VLOOKUP(A349,[2]wms_lc_f!$A$1:$B$156,2,FALSE),"")</f>
        <v>12-113-B2</v>
      </c>
    </row>
    <row r="350" spans="1:8">
      <c r="A350" s="71">
        <v>156650</v>
      </c>
      <c r="B350" s="69" t="s">
        <v>2613</v>
      </c>
      <c r="C350" s="70" t="s">
        <v>1122</v>
      </c>
      <c r="D350" s="70" t="s">
        <v>2610</v>
      </c>
      <c r="E350" s="72">
        <v>12</v>
      </c>
      <c r="F350" s="70" t="s">
        <v>2612</v>
      </c>
      <c r="G350" s="70" t="str">
        <f>IFERROR(VLOOKUP(A350,[1]wms_iv_f!$A$1:$E$136,4,FALSE),"")</f>
        <v/>
      </c>
      <c r="H350" s="95" t="str">
        <f>IFERROR(VLOOKUP(A350,[2]wms_lc_f!$A$1:$B$156,2,FALSE),"")</f>
        <v/>
      </c>
    </row>
    <row r="351" spans="1:8">
      <c r="A351" s="71">
        <v>25855</v>
      </c>
      <c r="B351" s="69" t="s">
        <v>2613</v>
      </c>
      <c r="C351" s="70" t="s">
        <v>778</v>
      </c>
      <c r="D351" s="70" t="s">
        <v>2610</v>
      </c>
      <c r="E351" s="72">
        <v>12</v>
      </c>
      <c r="F351" s="70" t="s">
        <v>2612</v>
      </c>
      <c r="G351" s="70" t="str">
        <f>IFERROR(VLOOKUP(A351,[1]wms_iv_f!$A$1:$E$136,4,FALSE),"")</f>
        <v/>
      </c>
      <c r="H351" s="95" t="str">
        <f>IFERROR(VLOOKUP(A351,[2]wms_lc_f!$A$1:$B$156,2,FALSE),"")</f>
        <v>12-110-C2</v>
      </c>
    </row>
    <row r="352" spans="1:8">
      <c r="A352" s="71">
        <v>112564</v>
      </c>
      <c r="B352" s="69" t="s">
        <v>2613</v>
      </c>
      <c r="C352" s="70" t="s">
        <v>2343</v>
      </c>
      <c r="D352" s="70" t="s">
        <v>2610</v>
      </c>
      <c r="E352" s="72">
        <v>12</v>
      </c>
      <c r="F352" s="70"/>
      <c r="G352" s="70" t="str">
        <f>IFERROR(VLOOKUP(A352,[1]wms_iv_f!$A$1:$E$136,4,FALSE),"")</f>
        <v/>
      </c>
      <c r="H352" s="95" t="str">
        <f>IFERROR(VLOOKUP(A352,[2]wms_lc_f!$A$1:$B$156,2,FALSE),"")</f>
        <v>12-117-E1</v>
      </c>
    </row>
    <row r="353" spans="1:8">
      <c r="A353" s="71">
        <v>101321</v>
      </c>
      <c r="B353" s="69" t="s">
        <v>2613</v>
      </c>
      <c r="C353" s="70" t="s">
        <v>2126</v>
      </c>
      <c r="D353" s="70" t="s">
        <v>2610</v>
      </c>
      <c r="E353" s="72">
        <v>12</v>
      </c>
      <c r="F353" s="70" t="s">
        <v>2612</v>
      </c>
      <c r="G353" s="70" t="str">
        <f>IFERROR(VLOOKUP(A353,[1]wms_iv_f!$A$1:$E$136,4,FALSE),"")</f>
        <v/>
      </c>
      <c r="H353" s="95" t="str">
        <f>IFERROR(VLOOKUP(A353,[2]wms_lc_f!$A$1:$B$156,2,FALSE),"")</f>
        <v/>
      </c>
    </row>
    <row r="354" spans="1:8">
      <c r="A354" s="71">
        <v>123728</v>
      </c>
      <c r="B354" s="69" t="s">
        <v>2613</v>
      </c>
      <c r="C354" s="70" t="s">
        <v>2127</v>
      </c>
      <c r="D354" s="70" t="s">
        <v>2610</v>
      </c>
      <c r="E354" s="72">
        <v>12</v>
      </c>
      <c r="F354" s="70" t="s">
        <v>2612</v>
      </c>
      <c r="G354" s="70" t="str">
        <f>IFERROR(VLOOKUP(A354,[1]wms_iv_f!$A$1:$E$136,4,FALSE),"")</f>
        <v/>
      </c>
      <c r="H354" s="95" t="str">
        <f>IFERROR(VLOOKUP(A354,[2]wms_lc_f!$A$1:$B$156,2,FALSE),"")</f>
        <v>12-110-D3</v>
      </c>
    </row>
    <row r="355" spans="1:8">
      <c r="A355" s="71">
        <v>46</v>
      </c>
      <c r="B355" s="69" t="s">
        <v>2613</v>
      </c>
      <c r="C355" s="70" t="s">
        <v>2420</v>
      </c>
      <c r="D355" s="70" t="s">
        <v>2610</v>
      </c>
      <c r="E355" s="72">
        <v>12</v>
      </c>
      <c r="F355" s="70" t="s">
        <v>2612</v>
      </c>
      <c r="G355" s="70" t="str">
        <f>IFERROR(VLOOKUP(A355,[1]wms_iv_f!$A$1:$E$136,4,FALSE),"")</f>
        <v/>
      </c>
      <c r="H355" s="95" t="str">
        <f>IFERROR(VLOOKUP(A355,[2]wms_lc_f!$A$1:$B$156,2,FALSE),"")</f>
        <v>12-111-E1</v>
      </c>
    </row>
    <row r="356" spans="1:8">
      <c r="A356" s="71">
        <v>130120</v>
      </c>
      <c r="B356" s="69" t="s">
        <v>2613</v>
      </c>
      <c r="C356" s="70" t="s">
        <v>2084</v>
      </c>
      <c r="D356" s="70" t="s">
        <v>2610</v>
      </c>
      <c r="E356" s="72">
        <v>12</v>
      </c>
      <c r="F356" s="70" t="s">
        <v>2612</v>
      </c>
      <c r="G356" s="70" t="str">
        <f>IFERROR(VLOOKUP(A356,[1]wms_iv_f!$A$1:$E$136,4,FALSE),"")</f>
        <v/>
      </c>
      <c r="H356" s="95" t="str">
        <f>IFERROR(VLOOKUP(A356,[2]wms_lc_f!$A$1:$B$156,2,FALSE),"")</f>
        <v>12-115-B2</v>
      </c>
    </row>
    <row r="357" spans="1:8">
      <c r="A357" s="71">
        <v>129854</v>
      </c>
      <c r="B357" s="69" t="s">
        <v>2613</v>
      </c>
      <c r="C357" s="70" t="s">
        <v>1167</v>
      </c>
      <c r="D357" s="70" t="s">
        <v>2610</v>
      </c>
      <c r="E357" s="72">
        <v>11</v>
      </c>
      <c r="F357" s="70" t="s">
        <v>2612</v>
      </c>
      <c r="G357" s="70" t="str">
        <f>IFERROR(VLOOKUP(A357,[1]wms_iv_f!$A$1:$E$136,4,FALSE),"")</f>
        <v/>
      </c>
      <c r="H357" s="95" t="str">
        <f>IFERROR(VLOOKUP(A357,[2]wms_lc_f!$A$1:$B$156,2,FALSE),"")</f>
        <v/>
      </c>
    </row>
    <row r="358" spans="1:8">
      <c r="A358" s="71">
        <v>101245</v>
      </c>
      <c r="B358" s="69" t="s">
        <v>2613</v>
      </c>
      <c r="C358" s="70" t="s">
        <v>818</v>
      </c>
      <c r="D358" s="70" t="s">
        <v>2610</v>
      </c>
      <c r="E358" s="72">
        <v>11</v>
      </c>
      <c r="F358" s="70" t="s">
        <v>2612</v>
      </c>
      <c r="G358" s="70" t="str">
        <f>IFERROR(VLOOKUP(A358,[1]wms_iv_f!$A$1:$E$136,4,FALSE),"")</f>
        <v/>
      </c>
      <c r="H358" s="95" t="str">
        <f>IFERROR(VLOOKUP(A358,[2]wms_lc_f!$A$1:$B$156,2,FALSE),"")</f>
        <v/>
      </c>
    </row>
    <row r="359" spans="1:8">
      <c r="A359" s="71">
        <v>109249</v>
      </c>
      <c r="B359" s="69" t="s">
        <v>2613</v>
      </c>
      <c r="C359" s="70" t="s">
        <v>1124</v>
      </c>
      <c r="D359" s="70" t="s">
        <v>2610</v>
      </c>
      <c r="E359" s="72">
        <v>11</v>
      </c>
      <c r="F359" s="70" t="s">
        <v>2612</v>
      </c>
      <c r="G359" s="70" t="str">
        <f>IFERROR(VLOOKUP(A359,[1]wms_iv_f!$A$1:$E$136,4,FALSE),"")</f>
        <v/>
      </c>
      <c r="H359" s="95" t="str">
        <f>IFERROR(VLOOKUP(A359,[2]wms_lc_f!$A$1:$B$156,2,FALSE),"")</f>
        <v/>
      </c>
    </row>
    <row r="360" spans="1:8">
      <c r="A360" s="71">
        <v>125053</v>
      </c>
      <c r="B360" s="69" t="s">
        <v>2613</v>
      </c>
      <c r="C360" s="70" t="s">
        <v>779</v>
      </c>
      <c r="D360" s="70" t="s">
        <v>2610</v>
      </c>
      <c r="E360" s="72">
        <v>11</v>
      </c>
      <c r="F360" s="70" t="s">
        <v>2612</v>
      </c>
      <c r="G360" s="70" t="str">
        <f>IFERROR(VLOOKUP(A360,[1]wms_iv_f!$A$1:$E$136,4,FALSE),"")</f>
        <v/>
      </c>
      <c r="H360" s="95" t="str">
        <f>IFERROR(VLOOKUP(A360,[2]wms_lc_f!$A$1:$B$156,2,FALSE),"")</f>
        <v/>
      </c>
    </row>
    <row r="361" spans="1:8">
      <c r="A361" s="71">
        <v>22722</v>
      </c>
      <c r="B361" s="69" t="s">
        <v>2613</v>
      </c>
      <c r="C361" s="70" t="s">
        <v>2563</v>
      </c>
      <c r="D361" s="70" t="s">
        <v>2610</v>
      </c>
      <c r="E361" s="72">
        <v>11</v>
      </c>
      <c r="F361" s="70"/>
      <c r="G361" s="70" t="str">
        <f>IFERROR(VLOOKUP(A361,[1]wms_iv_f!$A$1:$E$136,4,FALSE),"")</f>
        <v/>
      </c>
      <c r="H361" s="95" t="str">
        <f>IFERROR(VLOOKUP(A361,[2]wms_lc_f!$A$1:$B$156,2,FALSE),"")</f>
        <v/>
      </c>
    </row>
    <row r="362" spans="1:8">
      <c r="A362" s="71">
        <v>126216</v>
      </c>
      <c r="B362" s="69" t="s">
        <v>2613</v>
      </c>
      <c r="C362" s="70" t="s">
        <v>2423</v>
      </c>
      <c r="D362" s="70" t="s">
        <v>2610</v>
      </c>
      <c r="E362" s="72">
        <v>11</v>
      </c>
      <c r="F362" s="70" t="s">
        <v>2612</v>
      </c>
      <c r="G362" s="70" t="str">
        <f>IFERROR(VLOOKUP(A362,[1]wms_iv_f!$A$1:$E$136,4,FALSE),"")</f>
        <v/>
      </c>
      <c r="H362" s="95" t="str">
        <f>IFERROR(VLOOKUP(A362,[2]wms_lc_f!$A$1:$B$156,2,FALSE),"")</f>
        <v>12-113-A1</v>
      </c>
    </row>
    <row r="363" spans="1:8">
      <c r="A363" s="71">
        <v>35137</v>
      </c>
      <c r="B363" s="69" t="s">
        <v>2613</v>
      </c>
      <c r="C363" s="70" t="s">
        <v>2085</v>
      </c>
      <c r="D363" s="70" t="s">
        <v>2610</v>
      </c>
      <c r="E363" s="72">
        <v>11</v>
      </c>
      <c r="F363" s="70" t="s">
        <v>2612</v>
      </c>
      <c r="G363" s="70" t="str">
        <f>IFERROR(VLOOKUP(A363,[1]wms_iv_f!$A$1:$E$136,4,FALSE),"")</f>
        <v/>
      </c>
      <c r="H363" s="95" t="str">
        <f>IFERROR(VLOOKUP(A363,[2]wms_lc_f!$A$1:$B$156,2,FALSE),"")</f>
        <v>12-117-D1</v>
      </c>
    </row>
    <row r="364" spans="1:8">
      <c r="A364" s="71">
        <v>99854</v>
      </c>
      <c r="B364" s="69" t="s">
        <v>2613</v>
      </c>
      <c r="C364" s="70" t="s">
        <v>1168</v>
      </c>
      <c r="D364" s="70" t="s">
        <v>2610</v>
      </c>
      <c r="E364" s="72">
        <v>10</v>
      </c>
      <c r="F364" s="70" t="s">
        <v>2612</v>
      </c>
      <c r="G364" s="70" t="str">
        <f>IFERROR(VLOOKUP(A364,[1]wms_iv_f!$A$1:$E$136,4,FALSE),"")</f>
        <v/>
      </c>
      <c r="H364" s="95" t="str">
        <f>IFERROR(VLOOKUP(A364,[2]wms_lc_f!$A$1:$B$156,2,FALSE),"")</f>
        <v/>
      </c>
    </row>
    <row r="365" spans="1:8">
      <c r="A365" s="71">
        <v>23361</v>
      </c>
      <c r="B365" s="69" t="s">
        <v>2613</v>
      </c>
      <c r="C365" s="70" t="s">
        <v>1267</v>
      </c>
      <c r="D365" s="70" t="s">
        <v>2610</v>
      </c>
      <c r="E365" s="72">
        <v>10</v>
      </c>
      <c r="F365" s="70"/>
      <c r="G365" s="70" t="str">
        <f>IFERROR(VLOOKUP(A365,[1]wms_iv_f!$A$1:$E$136,4,FALSE),"")</f>
        <v/>
      </c>
      <c r="H365" s="95" t="str">
        <f>IFERROR(VLOOKUP(A365,[2]wms_lc_f!$A$1:$B$156,2,FALSE),"")</f>
        <v/>
      </c>
    </row>
    <row r="366" spans="1:8">
      <c r="A366" s="71">
        <v>127720</v>
      </c>
      <c r="B366" s="69" t="s">
        <v>2613</v>
      </c>
      <c r="C366" s="70" t="s">
        <v>1125</v>
      </c>
      <c r="D366" s="70" t="s">
        <v>2610</v>
      </c>
      <c r="E366" s="72">
        <v>10</v>
      </c>
      <c r="F366" s="70" t="s">
        <v>2612</v>
      </c>
      <c r="G366" s="70" t="str">
        <f>IFERROR(VLOOKUP(A366,[1]wms_iv_f!$A$1:$E$136,4,FALSE),"")</f>
        <v/>
      </c>
      <c r="H366" s="95" t="str">
        <f>IFERROR(VLOOKUP(A366,[2]wms_lc_f!$A$1:$B$156,2,FALSE),"")</f>
        <v>12-110-C7</v>
      </c>
    </row>
    <row r="367" spans="1:8">
      <c r="A367" s="71">
        <v>108503</v>
      </c>
      <c r="B367" s="69" t="s">
        <v>2613</v>
      </c>
      <c r="C367" s="70" t="s">
        <v>780</v>
      </c>
      <c r="D367" s="70" t="s">
        <v>2610</v>
      </c>
      <c r="E367" s="72">
        <v>10</v>
      </c>
      <c r="F367" s="70" t="s">
        <v>2612</v>
      </c>
      <c r="G367" s="70" t="str">
        <f>IFERROR(VLOOKUP(A367,[1]wms_iv_f!$A$1:$E$136,4,FALSE),"")</f>
        <v/>
      </c>
      <c r="H367" s="95" t="str">
        <f>IFERROR(VLOOKUP(A367,[2]wms_lc_f!$A$1:$B$156,2,FALSE),"")</f>
        <v>12-115-E2</v>
      </c>
    </row>
    <row r="368" spans="1:8">
      <c r="A368" s="71">
        <v>14111</v>
      </c>
      <c r="B368" s="69" t="s">
        <v>2613</v>
      </c>
      <c r="C368" s="70" t="s">
        <v>2568</v>
      </c>
      <c r="D368" s="70" t="s">
        <v>2610</v>
      </c>
      <c r="E368" s="72">
        <v>10</v>
      </c>
      <c r="F368" s="70"/>
      <c r="G368" s="70" t="str">
        <f>IFERROR(VLOOKUP(A368,[1]wms_iv_f!$A$1:$E$136,4,FALSE),"")</f>
        <v/>
      </c>
      <c r="H368" s="95" t="str">
        <f>IFERROR(VLOOKUP(A368,[2]wms_lc_f!$A$1:$B$156,2,FALSE),"")</f>
        <v/>
      </c>
    </row>
    <row r="369" spans="1:8">
      <c r="A369" s="71">
        <v>25814</v>
      </c>
      <c r="B369" s="69" t="s">
        <v>2613</v>
      </c>
      <c r="C369" s="70" t="s">
        <v>2625</v>
      </c>
      <c r="D369" s="70" t="s">
        <v>2610</v>
      </c>
      <c r="E369" s="72">
        <v>10</v>
      </c>
      <c r="F369" s="70"/>
      <c r="G369" s="70" t="str">
        <f>IFERROR(VLOOKUP(A369,[1]wms_iv_f!$A$1:$E$136,4,FALSE),"")</f>
        <v/>
      </c>
      <c r="H369" s="95" t="str">
        <f>IFERROR(VLOOKUP(A369,[2]wms_lc_f!$A$1:$B$156,2,FALSE),"")</f>
        <v/>
      </c>
    </row>
    <row r="370" spans="1:8">
      <c r="A370" s="71">
        <v>118955</v>
      </c>
      <c r="B370" s="69" t="s">
        <v>2613</v>
      </c>
      <c r="C370" s="70" t="s">
        <v>2626</v>
      </c>
      <c r="D370" s="70" t="s">
        <v>2610</v>
      </c>
      <c r="E370" s="72">
        <v>10</v>
      </c>
      <c r="F370" s="70"/>
      <c r="G370" s="70" t="str">
        <f>IFERROR(VLOOKUP(A370,[1]wms_iv_f!$A$1:$E$136,4,FALSE),"")</f>
        <v/>
      </c>
      <c r="H370" s="95" t="str">
        <f>IFERROR(VLOOKUP(A370,[2]wms_lc_f!$A$1:$B$156,2,FALSE),"")</f>
        <v/>
      </c>
    </row>
    <row r="371" spans="1:8">
      <c r="A371" s="71">
        <v>72893</v>
      </c>
      <c r="B371" s="69" t="s">
        <v>2613</v>
      </c>
      <c r="C371" s="70" t="s">
        <v>2424</v>
      </c>
      <c r="D371" s="70" t="s">
        <v>2610</v>
      </c>
      <c r="E371" s="72">
        <v>10</v>
      </c>
      <c r="F371" s="70" t="s">
        <v>2612</v>
      </c>
      <c r="G371" s="70" t="str">
        <f>IFERROR(VLOOKUP(A371,[1]wms_iv_f!$A$1:$E$136,4,FALSE),"")</f>
        <v/>
      </c>
      <c r="H371" s="95" t="str">
        <f>IFERROR(VLOOKUP(A371,[2]wms_lc_f!$A$1:$B$156,2,FALSE),"")</f>
        <v>12-110-D7</v>
      </c>
    </row>
    <row r="372" spans="1:8">
      <c r="A372" s="71">
        <v>110086</v>
      </c>
      <c r="B372" s="69" t="s">
        <v>2613</v>
      </c>
      <c r="C372" s="70" t="s">
        <v>2086</v>
      </c>
      <c r="D372" s="70" t="s">
        <v>2610</v>
      </c>
      <c r="E372" s="72">
        <v>10</v>
      </c>
      <c r="F372" s="70" t="s">
        <v>2612</v>
      </c>
      <c r="G372" s="70" t="str">
        <f>IFERROR(VLOOKUP(A372,[1]wms_iv_f!$A$1:$E$136,4,FALSE),"")</f>
        <v/>
      </c>
      <c r="H372" s="95" t="str">
        <f>IFERROR(VLOOKUP(A372,[2]wms_lc_f!$A$1:$B$156,2,FALSE),"")</f>
        <v/>
      </c>
    </row>
    <row r="373" spans="1:8">
      <c r="A373" s="71">
        <v>157698</v>
      </c>
      <c r="B373" s="69" t="s">
        <v>2613</v>
      </c>
      <c r="C373" s="70" t="s">
        <v>1271</v>
      </c>
      <c r="D373" s="70" t="s">
        <v>2610</v>
      </c>
      <c r="E373" s="72">
        <v>9</v>
      </c>
      <c r="F373" s="70"/>
      <c r="G373" s="70" t="str">
        <f>IFERROR(VLOOKUP(A373,[1]wms_iv_f!$A$1:$E$136,4,FALSE),"")</f>
        <v/>
      </c>
      <c r="H373" s="95" t="str">
        <f>IFERROR(VLOOKUP(A373,[2]wms_lc_f!$A$1:$B$156,2,FALSE),"")</f>
        <v/>
      </c>
    </row>
    <row r="374" spans="1:8">
      <c r="A374" s="71">
        <v>133946</v>
      </c>
      <c r="B374" s="69" t="s">
        <v>2613</v>
      </c>
      <c r="C374" s="70" t="s">
        <v>1272</v>
      </c>
      <c r="D374" s="70" t="s">
        <v>2610</v>
      </c>
      <c r="E374" s="72">
        <v>9</v>
      </c>
      <c r="F374" s="70"/>
      <c r="G374" s="70" t="str">
        <f>IFERROR(VLOOKUP(A374,[1]wms_iv_f!$A$1:$E$136,4,FALSE),"")</f>
        <v/>
      </c>
      <c r="H374" s="95" t="str">
        <f>IFERROR(VLOOKUP(A374,[2]wms_lc_f!$A$1:$B$156,2,FALSE),"")</f>
        <v/>
      </c>
    </row>
    <row r="375" spans="1:8">
      <c r="A375" s="71">
        <v>132592</v>
      </c>
      <c r="B375" s="69" t="s">
        <v>2613</v>
      </c>
      <c r="C375" s="70" t="s">
        <v>697</v>
      </c>
      <c r="D375" s="70" t="s">
        <v>2610</v>
      </c>
      <c r="E375" s="72">
        <v>9</v>
      </c>
      <c r="F375" s="70"/>
      <c r="G375" s="70" t="str">
        <f>IFERROR(VLOOKUP(A375,[1]wms_iv_f!$A$1:$E$136,4,FALSE),"")</f>
        <v/>
      </c>
      <c r="H375" s="95" t="str">
        <f>IFERROR(VLOOKUP(A375,[2]wms_lc_f!$A$1:$B$156,2,FALSE),"")</f>
        <v/>
      </c>
    </row>
    <row r="376" spans="1:8">
      <c r="A376" s="71">
        <v>2921</v>
      </c>
      <c r="B376" s="69" t="s">
        <v>2613</v>
      </c>
      <c r="C376" s="70" t="s">
        <v>700</v>
      </c>
      <c r="D376" s="70" t="s">
        <v>2610</v>
      </c>
      <c r="E376" s="72">
        <v>9</v>
      </c>
      <c r="F376" s="70"/>
      <c r="G376" s="70" t="str">
        <f>IFERROR(VLOOKUP(A376,[1]wms_iv_f!$A$1:$E$136,4,FALSE),"")</f>
        <v/>
      </c>
      <c r="H376" s="95" t="str">
        <f>IFERROR(VLOOKUP(A376,[2]wms_lc_f!$A$1:$B$156,2,FALSE),"")</f>
        <v/>
      </c>
    </row>
    <row r="377" spans="1:8">
      <c r="A377" s="71">
        <v>82834</v>
      </c>
      <c r="B377" s="69" t="s">
        <v>2613</v>
      </c>
      <c r="C377" s="70" t="s">
        <v>1223</v>
      </c>
      <c r="D377" s="70" t="s">
        <v>2610</v>
      </c>
      <c r="E377" s="72">
        <v>9</v>
      </c>
      <c r="F377" s="70"/>
      <c r="G377" s="70" t="str">
        <f>IFERROR(VLOOKUP(A377,[1]wms_iv_f!$A$1:$E$136,4,FALSE),"")</f>
        <v/>
      </c>
      <c r="H377" s="95" t="str">
        <f>IFERROR(VLOOKUP(A377,[2]wms_lc_f!$A$1:$B$156,2,FALSE),"")</f>
        <v/>
      </c>
    </row>
    <row r="378" spans="1:8">
      <c r="A378" s="71">
        <v>114044</v>
      </c>
      <c r="B378" s="69" t="s">
        <v>2613</v>
      </c>
      <c r="C378" s="70" t="s">
        <v>1126</v>
      </c>
      <c r="D378" s="70" t="s">
        <v>2610</v>
      </c>
      <c r="E378" s="72">
        <v>9</v>
      </c>
      <c r="F378" s="70" t="s">
        <v>2612</v>
      </c>
      <c r="G378" s="70" t="str">
        <f>IFERROR(VLOOKUP(A378,[1]wms_iv_f!$A$1:$E$136,4,FALSE),"")</f>
        <v/>
      </c>
      <c r="H378" s="95" t="str">
        <f>IFERROR(VLOOKUP(A378,[2]wms_lc_f!$A$1:$B$156,2,FALSE),"")</f>
        <v/>
      </c>
    </row>
    <row r="379" spans="1:8">
      <c r="A379" s="71">
        <v>1394</v>
      </c>
      <c r="B379" s="69" t="s">
        <v>2613</v>
      </c>
      <c r="C379" s="70" t="s">
        <v>656</v>
      </c>
      <c r="D379" s="70" t="s">
        <v>2610</v>
      </c>
      <c r="E379" s="72">
        <v>9</v>
      </c>
      <c r="F379" s="70"/>
      <c r="G379" s="70" t="str">
        <f>IFERROR(VLOOKUP(A379,[1]wms_iv_f!$A$1:$E$136,4,FALSE),"")</f>
        <v/>
      </c>
      <c r="H379" s="95" t="str">
        <f>IFERROR(VLOOKUP(A379,[2]wms_lc_f!$A$1:$B$156,2,FALSE),"")</f>
        <v/>
      </c>
    </row>
    <row r="380" spans="1:8">
      <c r="A380" s="71">
        <v>86658</v>
      </c>
      <c r="B380" s="69" t="s">
        <v>2613</v>
      </c>
      <c r="C380" s="70" t="s">
        <v>781</v>
      </c>
      <c r="D380" s="70" t="s">
        <v>2610</v>
      </c>
      <c r="E380" s="72">
        <v>9</v>
      </c>
      <c r="F380" s="70" t="s">
        <v>2612</v>
      </c>
      <c r="G380" s="70" t="str">
        <f>IFERROR(VLOOKUP(A380,[1]wms_iv_f!$A$1:$E$136,4,FALSE),"")</f>
        <v/>
      </c>
      <c r="H380" s="95" t="str">
        <f>IFERROR(VLOOKUP(A380,[2]wms_lc_f!$A$1:$B$156,2,FALSE),"")</f>
        <v/>
      </c>
    </row>
    <row r="381" spans="1:8">
      <c r="A381" s="71">
        <v>14103</v>
      </c>
      <c r="B381" s="69" t="s">
        <v>2613</v>
      </c>
      <c r="C381" s="70" t="s">
        <v>2565</v>
      </c>
      <c r="D381" s="70" t="s">
        <v>2610</v>
      </c>
      <c r="E381" s="72">
        <v>9</v>
      </c>
      <c r="F381" s="70"/>
      <c r="G381" s="70" t="str">
        <f>IFERROR(VLOOKUP(A381,[1]wms_iv_f!$A$1:$E$136,4,FALSE),"")</f>
        <v/>
      </c>
      <c r="H381" s="95" t="str">
        <f>IFERROR(VLOOKUP(A381,[2]wms_lc_f!$A$1:$B$156,2,FALSE),"")</f>
        <v/>
      </c>
    </row>
    <row r="382" spans="1:8">
      <c r="A382" s="71">
        <v>39717</v>
      </c>
      <c r="B382" s="69" t="s">
        <v>2613</v>
      </c>
      <c r="C382" s="70" t="s">
        <v>2571</v>
      </c>
      <c r="D382" s="70" t="s">
        <v>2610</v>
      </c>
      <c r="E382" s="72">
        <v>9</v>
      </c>
      <c r="F382" s="70"/>
      <c r="G382" s="70" t="str">
        <f>IFERROR(VLOOKUP(A382,[1]wms_iv_f!$A$1:$E$136,4,FALSE),"")</f>
        <v/>
      </c>
      <c r="H382" s="95" t="str">
        <f>IFERROR(VLOOKUP(A382,[2]wms_lc_f!$A$1:$B$156,2,FALSE),"")</f>
        <v/>
      </c>
    </row>
    <row r="383" spans="1:8">
      <c r="A383" s="71">
        <v>128030</v>
      </c>
      <c r="B383" s="69" t="s">
        <v>2613</v>
      </c>
      <c r="C383" s="70" t="s">
        <v>2627</v>
      </c>
      <c r="D383" s="70" t="s">
        <v>2610</v>
      </c>
      <c r="E383" s="72">
        <v>9</v>
      </c>
      <c r="F383" s="70"/>
      <c r="G383" s="70" t="str">
        <f>IFERROR(VLOOKUP(A383,[1]wms_iv_f!$A$1:$E$136,4,FALSE),"")</f>
        <v/>
      </c>
      <c r="H383" s="95" t="str">
        <f>IFERROR(VLOOKUP(A383,[2]wms_lc_f!$A$1:$B$156,2,FALSE),"")</f>
        <v/>
      </c>
    </row>
    <row r="384" spans="1:8">
      <c r="A384" s="71">
        <v>133777</v>
      </c>
      <c r="B384" s="69" t="s">
        <v>2613</v>
      </c>
      <c r="C384" s="70" t="s">
        <v>2004</v>
      </c>
      <c r="D384" s="70" t="s">
        <v>2610</v>
      </c>
      <c r="E384" s="72">
        <v>9</v>
      </c>
      <c r="F384" s="70"/>
      <c r="G384" s="70" t="str">
        <f>IFERROR(VLOOKUP(A384,[1]wms_iv_f!$A$1:$E$136,4,FALSE),"")</f>
        <v/>
      </c>
      <c r="H384" s="95" t="str">
        <f>IFERROR(VLOOKUP(A384,[2]wms_lc_f!$A$1:$B$156,2,FALSE),"")</f>
        <v/>
      </c>
    </row>
    <row r="385" spans="1:8">
      <c r="A385" s="71">
        <v>574</v>
      </c>
      <c r="B385" s="69" t="s">
        <v>2613</v>
      </c>
      <c r="C385" s="70" t="s">
        <v>2520</v>
      </c>
      <c r="D385" s="70" t="s">
        <v>2610</v>
      </c>
      <c r="E385" s="72">
        <v>9</v>
      </c>
      <c r="F385" s="70"/>
      <c r="G385" s="70" t="str">
        <f>IFERROR(VLOOKUP(A385,[1]wms_iv_f!$A$1:$E$136,4,FALSE),"")</f>
        <v/>
      </c>
      <c r="H385" s="95" t="str">
        <f>IFERROR(VLOOKUP(A385,[2]wms_lc_f!$A$1:$B$156,2,FALSE),"")</f>
        <v/>
      </c>
    </row>
    <row r="386" spans="1:8">
      <c r="A386" s="71">
        <v>107042</v>
      </c>
      <c r="B386" s="69" t="s">
        <v>2613</v>
      </c>
      <c r="C386" s="70" t="s">
        <v>2521</v>
      </c>
      <c r="D386" s="70" t="s">
        <v>2610</v>
      </c>
      <c r="E386" s="72">
        <v>9</v>
      </c>
      <c r="F386" s="70"/>
      <c r="G386" s="70" t="str">
        <f>IFERROR(VLOOKUP(A386,[1]wms_iv_f!$A$1:$E$136,4,FALSE),"")</f>
        <v/>
      </c>
      <c r="H386" s="95" t="str">
        <f>IFERROR(VLOOKUP(A386,[2]wms_lc_f!$A$1:$B$156,2,FALSE),"")</f>
        <v/>
      </c>
    </row>
    <row r="387" spans="1:8">
      <c r="A387" s="71">
        <v>128266</v>
      </c>
      <c r="B387" s="69" t="s">
        <v>2613</v>
      </c>
      <c r="C387" s="70" t="s">
        <v>2087</v>
      </c>
      <c r="D387" s="70" t="s">
        <v>2610</v>
      </c>
      <c r="E387" s="72">
        <v>9</v>
      </c>
      <c r="F387" s="70" t="s">
        <v>2612</v>
      </c>
      <c r="G387" s="70" t="str">
        <f>IFERROR(VLOOKUP(A387,[1]wms_iv_f!$A$1:$E$136,4,FALSE),"")</f>
        <v/>
      </c>
      <c r="H387" s="95" t="str">
        <f>IFERROR(VLOOKUP(A387,[2]wms_lc_f!$A$1:$B$156,2,FALSE),"")</f>
        <v/>
      </c>
    </row>
    <row r="388" spans="1:8">
      <c r="A388" s="71">
        <v>108449</v>
      </c>
      <c r="B388" s="69" t="s">
        <v>2613</v>
      </c>
      <c r="C388" s="70" t="s">
        <v>2088</v>
      </c>
      <c r="D388" s="70" t="s">
        <v>2610</v>
      </c>
      <c r="E388" s="72">
        <v>9</v>
      </c>
      <c r="F388" s="70" t="s">
        <v>2612</v>
      </c>
      <c r="G388" s="70" t="str">
        <f>IFERROR(VLOOKUP(A388,[1]wms_iv_f!$A$1:$E$136,4,FALSE),"")</f>
        <v/>
      </c>
      <c r="H388" s="95" t="str">
        <f>IFERROR(VLOOKUP(A388,[2]wms_lc_f!$A$1:$B$156,2,FALSE),"")</f>
        <v/>
      </c>
    </row>
    <row r="389" spans="1:8">
      <c r="A389" s="71">
        <v>2196</v>
      </c>
      <c r="B389" s="69" t="s">
        <v>2613</v>
      </c>
      <c r="C389" s="70" t="s">
        <v>1274</v>
      </c>
      <c r="D389" s="70" t="s">
        <v>2610</v>
      </c>
      <c r="E389" s="72">
        <v>8</v>
      </c>
      <c r="F389" s="70"/>
      <c r="G389" s="70" t="str">
        <f>IFERROR(VLOOKUP(A389,[1]wms_iv_f!$A$1:$E$136,4,FALSE),"")</f>
        <v/>
      </c>
      <c r="H389" s="95" t="str">
        <f>IFERROR(VLOOKUP(A389,[2]wms_lc_f!$A$1:$B$156,2,FALSE),"")</f>
        <v>12-112-D2</v>
      </c>
    </row>
    <row r="390" spans="1:8">
      <c r="A390" s="71">
        <v>124946</v>
      </c>
      <c r="B390" s="69" t="s">
        <v>2613</v>
      </c>
      <c r="C390" s="70" t="s">
        <v>1275</v>
      </c>
      <c r="D390" s="70" t="s">
        <v>2610</v>
      </c>
      <c r="E390" s="72">
        <v>8</v>
      </c>
      <c r="F390" s="70"/>
      <c r="G390" s="70" t="str">
        <f>IFERROR(VLOOKUP(A390,[1]wms_iv_f!$A$1:$E$136,4,FALSE),"")</f>
        <v/>
      </c>
      <c r="H390" s="95" t="str">
        <f>IFERROR(VLOOKUP(A390,[2]wms_lc_f!$A$1:$B$156,2,FALSE),"")</f>
        <v/>
      </c>
    </row>
    <row r="391" spans="1:8">
      <c r="A391" s="71">
        <v>121</v>
      </c>
      <c r="B391" s="69" t="s">
        <v>2613</v>
      </c>
      <c r="C391" s="70" t="s">
        <v>1037</v>
      </c>
      <c r="D391" s="70" t="s">
        <v>2610</v>
      </c>
      <c r="E391" s="72">
        <v>8</v>
      </c>
      <c r="F391" s="70"/>
      <c r="G391" s="70" t="str">
        <f>IFERROR(VLOOKUP(A391,[1]wms_iv_f!$A$1:$E$136,4,FALSE),"")</f>
        <v/>
      </c>
      <c r="H391" s="95" t="str">
        <f>IFERROR(VLOOKUP(A391,[2]wms_lc_f!$A$1:$B$156,2,FALSE),"")</f>
        <v>12-114-D4</v>
      </c>
    </row>
    <row r="392" spans="1:8">
      <c r="A392" s="71">
        <v>142829</v>
      </c>
      <c r="B392" s="69" t="s">
        <v>2613</v>
      </c>
      <c r="C392" s="70" t="s">
        <v>915</v>
      </c>
      <c r="D392" s="70" t="s">
        <v>2610</v>
      </c>
      <c r="E392" s="72">
        <v>8</v>
      </c>
      <c r="F392" s="70"/>
      <c r="G392" s="70" t="str">
        <f>IFERROR(VLOOKUP(A392,[1]wms_iv_f!$A$1:$E$136,4,FALSE),"")</f>
        <v/>
      </c>
      <c r="H392" s="95" t="str">
        <f>IFERROR(VLOOKUP(A392,[2]wms_lc_f!$A$1:$B$156,2,FALSE),"")</f>
        <v/>
      </c>
    </row>
    <row r="393" spans="1:8">
      <c r="A393" s="71">
        <v>436</v>
      </c>
      <c r="B393" s="69" t="s">
        <v>2613</v>
      </c>
      <c r="C393" s="70" t="s">
        <v>1224</v>
      </c>
      <c r="D393" s="70" t="s">
        <v>2610</v>
      </c>
      <c r="E393" s="72">
        <v>8</v>
      </c>
      <c r="F393" s="70"/>
      <c r="G393" s="70" t="str">
        <f>IFERROR(VLOOKUP(A393,[1]wms_iv_f!$A$1:$E$136,4,FALSE),"")</f>
        <v/>
      </c>
      <c r="H393" s="95" t="str">
        <f>IFERROR(VLOOKUP(A393,[2]wms_lc_f!$A$1:$B$156,2,FALSE),"")</f>
        <v/>
      </c>
    </row>
    <row r="394" spans="1:8">
      <c r="A394" s="71">
        <v>9808</v>
      </c>
      <c r="B394" s="69" t="s">
        <v>2613</v>
      </c>
      <c r="C394" s="70" t="s">
        <v>657</v>
      </c>
      <c r="D394" s="70" t="s">
        <v>2610</v>
      </c>
      <c r="E394" s="72">
        <v>8</v>
      </c>
      <c r="F394" s="70"/>
      <c r="G394" s="70" t="str">
        <f>IFERROR(VLOOKUP(A394,[1]wms_iv_f!$A$1:$E$136,4,FALSE),"")</f>
        <v/>
      </c>
      <c r="H394" s="95" t="str">
        <f>IFERROR(VLOOKUP(A394,[2]wms_lc_f!$A$1:$B$156,2,FALSE),"")</f>
        <v/>
      </c>
    </row>
    <row r="395" spans="1:8">
      <c r="A395" s="71">
        <v>695</v>
      </c>
      <c r="B395" s="69" t="s">
        <v>2613</v>
      </c>
      <c r="C395" s="70" t="s">
        <v>2569</v>
      </c>
      <c r="D395" s="70" t="s">
        <v>2610</v>
      </c>
      <c r="E395" s="72">
        <v>8</v>
      </c>
      <c r="F395" s="70"/>
      <c r="G395" s="70" t="str">
        <f>IFERROR(VLOOKUP(A395,[1]wms_iv_f!$A$1:$E$136,4,FALSE),"")</f>
        <v/>
      </c>
      <c r="H395" s="95" t="str">
        <f>IFERROR(VLOOKUP(A395,[2]wms_lc_f!$A$1:$B$156,2,FALSE),"")</f>
        <v/>
      </c>
    </row>
    <row r="396" spans="1:8">
      <c r="A396" s="71">
        <v>199</v>
      </c>
      <c r="B396" s="69" t="s">
        <v>2613</v>
      </c>
      <c r="C396" s="70" t="s">
        <v>2573</v>
      </c>
      <c r="D396" s="70" t="s">
        <v>2610</v>
      </c>
      <c r="E396" s="72">
        <v>8</v>
      </c>
      <c r="F396" s="70"/>
      <c r="G396" s="70" t="str">
        <f>IFERROR(VLOOKUP(A396,[1]wms_iv_f!$A$1:$E$136,4,FALSE),"")</f>
        <v/>
      </c>
      <c r="H396" s="95" t="str">
        <f>IFERROR(VLOOKUP(A396,[2]wms_lc_f!$A$1:$B$156,2,FALSE),"")</f>
        <v>12-115-D2</v>
      </c>
    </row>
    <row r="397" spans="1:8">
      <c r="A397" s="71">
        <v>129750</v>
      </c>
      <c r="B397" s="69" t="s">
        <v>2613</v>
      </c>
      <c r="C397" s="70" t="s">
        <v>2008</v>
      </c>
      <c r="D397" s="70" t="s">
        <v>2610</v>
      </c>
      <c r="E397" s="72">
        <v>8</v>
      </c>
      <c r="F397" s="70"/>
      <c r="G397" s="70" t="str">
        <f>IFERROR(VLOOKUP(A397,[1]wms_iv_f!$A$1:$E$136,4,FALSE),"")</f>
        <v/>
      </c>
      <c r="H397" s="95" t="str">
        <f>IFERROR(VLOOKUP(A397,[2]wms_lc_f!$A$1:$B$156,2,FALSE),"")</f>
        <v>12-114-C2</v>
      </c>
    </row>
    <row r="398" spans="1:8">
      <c r="A398" s="71">
        <v>126332</v>
      </c>
      <c r="B398" s="69" t="s">
        <v>2613</v>
      </c>
      <c r="C398" s="70" t="s">
        <v>2522</v>
      </c>
      <c r="D398" s="70" t="s">
        <v>2610</v>
      </c>
      <c r="E398" s="72">
        <v>8</v>
      </c>
      <c r="F398" s="70"/>
      <c r="G398" s="70" t="str">
        <f>IFERROR(VLOOKUP(A398,[1]wms_iv_f!$A$1:$E$136,4,FALSE),"")</f>
        <v/>
      </c>
      <c r="H398" s="95" t="str">
        <f>IFERROR(VLOOKUP(A398,[2]wms_lc_f!$A$1:$B$156,2,FALSE),"")</f>
        <v>12-119-B1</v>
      </c>
    </row>
    <row r="399" spans="1:8">
      <c r="A399" s="71">
        <v>124994</v>
      </c>
      <c r="B399" s="69" t="s">
        <v>2613</v>
      </c>
      <c r="C399" s="70" t="s">
        <v>1963</v>
      </c>
      <c r="D399" s="70" t="s">
        <v>2610</v>
      </c>
      <c r="E399" s="72">
        <v>8</v>
      </c>
      <c r="F399" s="70"/>
      <c r="G399" s="70" t="str">
        <f>IFERROR(VLOOKUP(A399,[1]wms_iv_f!$A$1:$E$136,4,FALSE),"")</f>
        <v/>
      </c>
      <c r="H399" s="95" t="str">
        <f>IFERROR(VLOOKUP(A399,[2]wms_lc_f!$A$1:$B$156,2,FALSE),"")</f>
        <v/>
      </c>
    </row>
    <row r="400" spans="1:8">
      <c r="A400" s="71">
        <v>113615</v>
      </c>
      <c r="B400" s="69" t="s">
        <v>2613</v>
      </c>
      <c r="C400" s="70" t="s">
        <v>1964</v>
      </c>
      <c r="D400" s="70" t="s">
        <v>2610</v>
      </c>
      <c r="E400" s="72">
        <v>8</v>
      </c>
      <c r="F400" s="70"/>
      <c r="G400" s="70" t="str">
        <f>IFERROR(VLOOKUP(A400,[1]wms_iv_f!$A$1:$E$136,4,FALSE),"")</f>
        <v/>
      </c>
      <c r="H400" s="95" t="str">
        <f>IFERROR(VLOOKUP(A400,[2]wms_lc_f!$A$1:$B$156,2,FALSE),"")</f>
        <v/>
      </c>
    </row>
    <row r="401" spans="1:8">
      <c r="A401" s="71">
        <v>143722</v>
      </c>
      <c r="B401" s="69" t="s">
        <v>2613</v>
      </c>
      <c r="C401" s="70" t="s">
        <v>1270</v>
      </c>
      <c r="D401" s="70" t="s">
        <v>2610</v>
      </c>
      <c r="E401" s="72">
        <v>7</v>
      </c>
      <c r="F401" s="70"/>
      <c r="G401" s="70" t="str">
        <f>IFERROR(VLOOKUP(A401,[1]wms_iv_f!$A$1:$E$136,4,FALSE),"")</f>
        <v/>
      </c>
      <c r="H401" s="95" t="str">
        <f>IFERROR(VLOOKUP(A401,[2]wms_lc_f!$A$1:$B$156,2,FALSE),"")</f>
        <v/>
      </c>
    </row>
    <row r="402" spans="1:8">
      <c r="A402" s="71">
        <v>65345</v>
      </c>
      <c r="B402" s="69" t="s">
        <v>2613</v>
      </c>
      <c r="C402" s="70" t="s">
        <v>1043</v>
      </c>
      <c r="D402" s="70" t="s">
        <v>2610</v>
      </c>
      <c r="E402" s="72">
        <v>7</v>
      </c>
      <c r="F402" s="70"/>
      <c r="G402" s="70" t="str">
        <f>IFERROR(VLOOKUP(A402,[1]wms_iv_f!$A$1:$E$136,4,FALSE),"")</f>
        <v/>
      </c>
      <c r="H402" s="95" t="str">
        <f>IFERROR(VLOOKUP(A402,[2]wms_lc_f!$A$1:$B$156,2,FALSE),"")</f>
        <v>12-113-E1</v>
      </c>
    </row>
    <row r="403" spans="1:8">
      <c r="A403" s="71">
        <v>128662</v>
      </c>
      <c r="B403" s="69" t="s">
        <v>2613</v>
      </c>
      <c r="C403" s="70" t="s">
        <v>1044</v>
      </c>
      <c r="D403" s="70" t="s">
        <v>2610</v>
      </c>
      <c r="E403" s="72">
        <v>7</v>
      </c>
      <c r="F403" s="70"/>
      <c r="G403" s="70" t="str">
        <f>IFERROR(VLOOKUP(A403,[1]wms_iv_f!$A$1:$E$136,4,FALSE),"")</f>
        <v/>
      </c>
      <c r="H403" s="95" t="str">
        <f>IFERROR(VLOOKUP(A403,[2]wms_lc_f!$A$1:$B$156,2,FALSE),"")</f>
        <v/>
      </c>
    </row>
    <row r="404" spans="1:8">
      <c r="A404" s="71">
        <v>155746</v>
      </c>
      <c r="B404" s="69" t="s">
        <v>2613</v>
      </c>
      <c r="C404" s="70" t="s">
        <v>1038</v>
      </c>
      <c r="D404" s="70" t="s">
        <v>2610</v>
      </c>
      <c r="E404" s="72">
        <v>7</v>
      </c>
      <c r="F404" s="70"/>
      <c r="G404" s="70" t="str">
        <f>IFERROR(VLOOKUP(A404,[1]wms_iv_f!$A$1:$E$136,4,FALSE),"")</f>
        <v/>
      </c>
      <c r="H404" s="95" t="str">
        <f>IFERROR(VLOOKUP(A404,[2]wms_lc_f!$A$1:$B$156,2,FALSE),"")</f>
        <v/>
      </c>
    </row>
    <row r="405" spans="1:8">
      <c r="A405" s="71">
        <v>157621</v>
      </c>
      <c r="B405" s="69" t="s">
        <v>2613</v>
      </c>
      <c r="C405" s="70" t="s">
        <v>1039</v>
      </c>
      <c r="D405" s="70" t="s">
        <v>2610</v>
      </c>
      <c r="E405" s="72">
        <v>7</v>
      </c>
      <c r="F405" s="70"/>
      <c r="G405" s="70" t="str">
        <f>IFERROR(VLOOKUP(A405,[1]wms_iv_f!$A$1:$E$136,4,FALSE),"")</f>
        <v/>
      </c>
      <c r="H405" s="95" t="str">
        <f>IFERROR(VLOOKUP(A405,[2]wms_lc_f!$A$1:$B$156,2,FALSE),"")</f>
        <v/>
      </c>
    </row>
    <row r="406" spans="1:8">
      <c r="A406" s="71">
        <v>108763</v>
      </c>
      <c r="B406" s="69" t="s">
        <v>2613</v>
      </c>
      <c r="C406" s="70" t="s">
        <v>918</v>
      </c>
      <c r="D406" s="70" t="s">
        <v>2610</v>
      </c>
      <c r="E406" s="72">
        <v>7</v>
      </c>
      <c r="F406" s="70"/>
      <c r="G406" s="70" t="str">
        <f>IFERROR(VLOOKUP(A406,[1]wms_iv_f!$A$1:$E$136,4,FALSE),"")</f>
        <v/>
      </c>
      <c r="H406" s="95" t="str">
        <f>IFERROR(VLOOKUP(A406,[2]wms_lc_f!$A$1:$B$156,2,FALSE),"")</f>
        <v/>
      </c>
    </row>
    <row r="407" spans="1:8">
      <c r="A407" s="71">
        <v>1397</v>
      </c>
      <c r="B407" s="69" t="s">
        <v>2613</v>
      </c>
      <c r="C407" s="70" t="s">
        <v>1225</v>
      </c>
      <c r="D407" s="70" t="s">
        <v>2610</v>
      </c>
      <c r="E407" s="72">
        <v>7</v>
      </c>
      <c r="F407" s="70"/>
      <c r="G407" s="70" t="str">
        <f>IFERROR(VLOOKUP(A407,[1]wms_iv_f!$A$1:$E$136,4,FALSE),"")</f>
        <v/>
      </c>
      <c r="H407" s="95" t="str">
        <f>IFERROR(VLOOKUP(A407,[2]wms_lc_f!$A$1:$B$156,2,FALSE),"")</f>
        <v/>
      </c>
    </row>
    <row r="408" spans="1:8">
      <c r="A408" s="71">
        <v>133945</v>
      </c>
      <c r="B408" s="69" t="s">
        <v>2613</v>
      </c>
      <c r="C408" s="70" t="s">
        <v>1228</v>
      </c>
      <c r="D408" s="70" t="s">
        <v>2610</v>
      </c>
      <c r="E408" s="72">
        <v>7</v>
      </c>
      <c r="F408" s="70"/>
      <c r="G408" s="70" t="str">
        <f>IFERROR(VLOOKUP(A408,[1]wms_iv_f!$A$1:$E$136,4,FALSE),"")</f>
        <v/>
      </c>
      <c r="H408" s="95" t="str">
        <f>IFERROR(VLOOKUP(A408,[2]wms_lc_f!$A$1:$B$156,2,FALSE),"")</f>
        <v/>
      </c>
    </row>
    <row r="409" spans="1:8">
      <c r="A409" s="71">
        <v>183</v>
      </c>
      <c r="B409" s="69" t="s">
        <v>2613</v>
      </c>
      <c r="C409" s="70" t="s">
        <v>658</v>
      </c>
      <c r="D409" s="70" t="s">
        <v>2610</v>
      </c>
      <c r="E409" s="72">
        <v>7</v>
      </c>
      <c r="F409" s="70"/>
      <c r="G409" s="70" t="str">
        <f>IFERROR(VLOOKUP(A409,[1]wms_iv_f!$A$1:$E$136,4,FALSE),"")</f>
        <v/>
      </c>
      <c r="H409" s="95" t="str">
        <f>IFERROR(VLOOKUP(A409,[2]wms_lc_f!$A$1:$B$156,2,FALSE),"")</f>
        <v/>
      </c>
    </row>
    <row r="410" spans="1:8">
      <c r="A410" s="71">
        <v>31490</v>
      </c>
      <c r="B410" s="69" t="s">
        <v>2613</v>
      </c>
      <c r="C410" s="70" t="s">
        <v>659</v>
      </c>
      <c r="D410" s="70" t="s">
        <v>2610</v>
      </c>
      <c r="E410" s="72">
        <v>7</v>
      </c>
      <c r="F410" s="70"/>
      <c r="G410" s="70" t="str">
        <f>IFERROR(VLOOKUP(A410,[1]wms_iv_f!$A$1:$E$136,4,FALSE),"")</f>
        <v/>
      </c>
      <c r="H410" s="95" t="str">
        <f>IFERROR(VLOOKUP(A410,[2]wms_lc_f!$A$1:$B$156,2,FALSE),"")</f>
        <v/>
      </c>
    </row>
    <row r="411" spans="1:8">
      <c r="A411" s="71">
        <v>106</v>
      </c>
      <c r="B411" s="69" t="s">
        <v>2613</v>
      </c>
      <c r="C411" s="70" t="s">
        <v>2628</v>
      </c>
      <c r="D411" s="70" t="s">
        <v>2610</v>
      </c>
      <c r="E411" s="72">
        <v>7</v>
      </c>
      <c r="F411" s="70"/>
      <c r="G411" s="70" t="str">
        <f>IFERROR(VLOOKUP(A411,[1]wms_iv_f!$A$1:$E$136,4,FALSE),"")</f>
        <v/>
      </c>
      <c r="H411" s="95" t="str">
        <f>IFERROR(VLOOKUP(A411,[2]wms_lc_f!$A$1:$B$156,2,FALSE),"")</f>
        <v>12-110-C5</v>
      </c>
    </row>
    <row r="412" spans="1:8">
      <c r="A412" s="71">
        <v>50165</v>
      </c>
      <c r="B412" s="69" t="s">
        <v>2613</v>
      </c>
      <c r="C412" s="70" t="s">
        <v>2340</v>
      </c>
      <c r="D412" s="70" t="s">
        <v>2610</v>
      </c>
      <c r="E412" s="72">
        <v>7</v>
      </c>
      <c r="F412" s="70"/>
      <c r="G412" s="70" t="str">
        <f>IFERROR(VLOOKUP(A412,[1]wms_iv_f!$A$1:$E$136,4,FALSE),"")</f>
        <v/>
      </c>
      <c r="H412" s="95" t="str">
        <f>IFERROR(VLOOKUP(A412,[2]wms_lc_f!$A$1:$B$156,2,FALSE),"")</f>
        <v/>
      </c>
    </row>
    <row r="413" spans="1:8">
      <c r="A413" s="71">
        <v>120002</v>
      </c>
      <c r="B413" s="69" t="s">
        <v>2613</v>
      </c>
      <c r="C413" s="70" t="s">
        <v>2341</v>
      </c>
      <c r="D413" s="70" t="s">
        <v>2610</v>
      </c>
      <c r="E413" s="72">
        <v>7</v>
      </c>
      <c r="F413" s="70"/>
      <c r="G413" s="70" t="str">
        <f>IFERROR(VLOOKUP(A413,[1]wms_iv_f!$A$1:$E$136,4,FALSE),"")</f>
        <v/>
      </c>
      <c r="H413" s="95" t="str">
        <f>IFERROR(VLOOKUP(A413,[2]wms_lc_f!$A$1:$B$156,2,FALSE),"")</f>
        <v/>
      </c>
    </row>
    <row r="414" spans="1:8">
      <c r="A414" s="71">
        <v>63745</v>
      </c>
      <c r="B414" s="69" t="s">
        <v>2613</v>
      </c>
      <c r="C414" s="70" t="s">
        <v>2342</v>
      </c>
      <c r="D414" s="70" t="s">
        <v>2610</v>
      </c>
      <c r="E414" s="72">
        <v>7</v>
      </c>
      <c r="F414" s="70"/>
      <c r="G414" s="70" t="str">
        <f>IFERROR(VLOOKUP(A414,[1]wms_iv_f!$A$1:$E$136,4,FALSE),"")</f>
        <v/>
      </c>
      <c r="H414" s="95" t="str">
        <f>IFERROR(VLOOKUP(A414,[2]wms_lc_f!$A$1:$B$156,2,FALSE),"")</f>
        <v/>
      </c>
    </row>
    <row r="415" spans="1:8">
      <c r="A415" s="71">
        <v>129853</v>
      </c>
      <c r="B415" s="69" t="s">
        <v>2613</v>
      </c>
      <c r="C415" s="70" t="s">
        <v>2005</v>
      </c>
      <c r="D415" s="70" t="s">
        <v>2610</v>
      </c>
      <c r="E415" s="72">
        <v>7</v>
      </c>
      <c r="F415" s="70"/>
      <c r="G415" s="70" t="str">
        <f>IFERROR(VLOOKUP(A415,[1]wms_iv_f!$A$1:$E$136,4,FALSE),"")</f>
        <v/>
      </c>
      <c r="H415" s="95" t="str">
        <f>IFERROR(VLOOKUP(A415,[2]wms_lc_f!$A$1:$B$156,2,FALSE),"")</f>
        <v/>
      </c>
    </row>
    <row r="416" spans="1:8">
      <c r="A416" s="71">
        <v>2160</v>
      </c>
      <c r="B416" s="69" t="s">
        <v>2613</v>
      </c>
      <c r="C416" s="70" t="s">
        <v>2523</v>
      </c>
      <c r="D416" s="70" t="s">
        <v>2610</v>
      </c>
      <c r="E416" s="72">
        <v>7</v>
      </c>
      <c r="F416" s="70"/>
      <c r="G416" s="70" t="str">
        <f>IFERROR(VLOOKUP(A416,[1]wms_iv_f!$A$1:$E$136,4,FALSE),"")</f>
        <v/>
      </c>
      <c r="H416" s="95" t="str">
        <f>IFERROR(VLOOKUP(A416,[2]wms_lc_f!$A$1:$B$156,2,FALSE),"")</f>
        <v/>
      </c>
    </row>
    <row r="417" spans="1:8">
      <c r="A417" s="71">
        <v>1413</v>
      </c>
      <c r="B417" s="69" t="s">
        <v>2613</v>
      </c>
      <c r="C417" s="70" t="s">
        <v>2525</v>
      </c>
      <c r="D417" s="70" t="s">
        <v>2610</v>
      </c>
      <c r="E417" s="72">
        <v>7</v>
      </c>
      <c r="F417" s="70"/>
      <c r="G417" s="70" t="str">
        <f>IFERROR(VLOOKUP(A417,[1]wms_iv_f!$A$1:$E$136,4,FALSE),"")</f>
        <v/>
      </c>
      <c r="H417" s="95" t="str">
        <f>IFERROR(VLOOKUP(A417,[2]wms_lc_f!$A$1:$B$156,2,FALSE),"")</f>
        <v>12-117-D2</v>
      </c>
    </row>
    <row r="418" spans="1:8">
      <c r="A418" s="71">
        <v>71771</v>
      </c>
      <c r="B418" s="69" t="s">
        <v>2613</v>
      </c>
      <c r="C418" s="70" t="s">
        <v>2304</v>
      </c>
      <c r="D418" s="70" t="s">
        <v>2610</v>
      </c>
      <c r="E418" s="72">
        <v>7</v>
      </c>
      <c r="F418" s="70"/>
      <c r="G418" s="70" t="str">
        <f>IFERROR(VLOOKUP(A418,[1]wms_iv_f!$A$1:$E$136,4,FALSE),"")</f>
        <v/>
      </c>
      <c r="H418" s="95" t="str">
        <f>IFERROR(VLOOKUP(A418,[2]wms_lc_f!$A$1:$B$156,2,FALSE),"")</f>
        <v/>
      </c>
    </row>
    <row r="419" spans="1:8">
      <c r="A419" s="71">
        <v>105219</v>
      </c>
      <c r="B419" s="69" t="s">
        <v>2613</v>
      </c>
      <c r="C419" s="70" t="s">
        <v>1965</v>
      </c>
      <c r="D419" s="70" t="s">
        <v>2610</v>
      </c>
      <c r="E419" s="72">
        <v>7</v>
      </c>
      <c r="F419" s="70"/>
      <c r="G419" s="70" t="str">
        <f>IFERROR(VLOOKUP(A419,[1]wms_iv_f!$A$1:$E$136,4,FALSE),"")</f>
        <v/>
      </c>
      <c r="H419" s="95" t="str">
        <f>IFERROR(VLOOKUP(A419,[2]wms_lc_f!$A$1:$B$156,2,FALSE),"")</f>
        <v/>
      </c>
    </row>
    <row r="420" spans="1:8">
      <c r="A420" s="71">
        <v>611</v>
      </c>
      <c r="B420" s="69" t="s">
        <v>2613</v>
      </c>
      <c r="C420" s="70" t="s">
        <v>1966</v>
      </c>
      <c r="D420" s="70" t="s">
        <v>2610</v>
      </c>
      <c r="E420" s="72">
        <v>7</v>
      </c>
      <c r="F420" s="70"/>
      <c r="G420" s="70" t="str">
        <f>IFERROR(VLOOKUP(A420,[1]wms_iv_f!$A$1:$E$136,4,FALSE),"")</f>
        <v/>
      </c>
      <c r="H420" s="95" t="str">
        <f>IFERROR(VLOOKUP(A420,[2]wms_lc_f!$A$1:$B$156,2,FALSE),"")</f>
        <v>12-113-D1</v>
      </c>
    </row>
    <row r="421" spans="1:8">
      <c r="A421" s="71">
        <v>31505</v>
      </c>
      <c r="B421" s="69" t="s">
        <v>2613</v>
      </c>
      <c r="C421" s="70" t="s">
        <v>2629</v>
      </c>
      <c r="D421" s="70" t="s">
        <v>2610</v>
      </c>
      <c r="E421" s="72">
        <v>7</v>
      </c>
      <c r="F421" s="70"/>
      <c r="G421" s="70" t="str">
        <f>IFERROR(VLOOKUP(A421,[1]wms_iv_f!$A$1:$E$136,4,FALSE),"")</f>
        <v/>
      </c>
      <c r="H421" s="95" t="str">
        <f>IFERROR(VLOOKUP(A421,[2]wms_lc_f!$A$1:$B$156,2,FALSE),"")</f>
        <v>12-112-C7</v>
      </c>
    </row>
    <row r="422" spans="1:8">
      <c r="A422" s="71">
        <v>110813</v>
      </c>
      <c r="B422" s="69" t="s">
        <v>2613</v>
      </c>
      <c r="C422" s="70" t="s">
        <v>1045</v>
      </c>
      <c r="D422" s="70" t="s">
        <v>2610</v>
      </c>
      <c r="E422" s="72">
        <v>6</v>
      </c>
      <c r="F422" s="70"/>
      <c r="G422" s="70" t="str">
        <f>IFERROR(VLOOKUP(A422,[1]wms_iv_f!$A$1:$E$136,4,FALSE),"")</f>
        <v/>
      </c>
      <c r="H422" s="95" t="str">
        <f>IFERROR(VLOOKUP(A422,[2]wms_lc_f!$A$1:$B$156,2,FALSE),"")</f>
        <v/>
      </c>
    </row>
    <row r="423" spans="1:8">
      <c r="A423" s="71">
        <v>1850</v>
      </c>
      <c r="B423" s="69" t="s">
        <v>2613</v>
      </c>
      <c r="C423" s="70" t="s">
        <v>1047</v>
      </c>
      <c r="D423" s="70" t="s">
        <v>2610</v>
      </c>
      <c r="E423" s="72">
        <v>6</v>
      </c>
      <c r="F423" s="70"/>
      <c r="G423" s="70" t="str">
        <f>IFERROR(VLOOKUP(A423,[1]wms_iv_f!$A$1:$E$136,4,FALSE),"")</f>
        <v/>
      </c>
      <c r="H423" s="95" t="str">
        <f>IFERROR(VLOOKUP(A423,[2]wms_lc_f!$A$1:$B$156,2,FALSE),"")</f>
        <v>12-114-D7</v>
      </c>
    </row>
    <row r="424" spans="1:8">
      <c r="A424" s="71">
        <v>156758</v>
      </c>
      <c r="B424" s="69" t="s">
        <v>2613</v>
      </c>
      <c r="C424" s="70" t="s">
        <v>1048</v>
      </c>
      <c r="D424" s="70" t="s">
        <v>2610</v>
      </c>
      <c r="E424" s="72">
        <v>6</v>
      </c>
      <c r="F424" s="70"/>
      <c r="G424" s="70" t="str">
        <f>IFERROR(VLOOKUP(A424,[1]wms_iv_f!$A$1:$E$136,4,FALSE),"")</f>
        <v/>
      </c>
      <c r="H424" s="95" t="str">
        <f>IFERROR(VLOOKUP(A424,[2]wms_lc_f!$A$1:$B$156,2,FALSE),"")</f>
        <v/>
      </c>
    </row>
    <row r="425" spans="1:8">
      <c r="A425" s="71">
        <v>67911</v>
      </c>
      <c r="B425" s="69" t="s">
        <v>2613</v>
      </c>
      <c r="C425" s="70" t="s">
        <v>921</v>
      </c>
      <c r="D425" s="70" t="s">
        <v>2610</v>
      </c>
      <c r="E425" s="72">
        <v>6</v>
      </c>
      <c r="F425" s="70"/>
      <c r="G425" s="70" t="str">
        <f>IFERROR(VLOOKUP(A425,[1]wms_iv_f!$A$1:$E$136,4,FALSE),"")</f>
        <v/>
      </c>
      <c r="H425" s="95" t="str">
        <f>IFERROR(VLOOKUP(A425,[2]wms_lc_f!$A$1:$B$156,2,FALSE),"")</f>
        <v>12-115-C2</v>
      </c>
    </row>
    <row r="426" spans="1:8">
      <c r="A426" s="71">
        <v>30248</v>
      </c>
      <c r="B426" s="69" t="s">
        <v>2613</v>
      </c>
      <c r="C426" s="70" t="s">
        <v>922</v>
      </c>
      <c r="D426" s="70" t="s">
        <v>2610</v>
      </c>
      <c r="E426" s="72">
        <v>6</v>
      </c>
      <c r="F426" s="70"/>
      <c r="G426" s="70" t="str">
        <f>IFERROR(VLOOKUP(A426,[1]wms_iv_f!$A$1:$E$136,4,FALSE),"")</f>
        <v/>
      </c>
      <c r="H426" s="95" t="str">
        <f>IFERROR(VLOOKUP(A426,[2]wms_lc_f!$A$1:$B$156,2,FALSE),"")</f>
        <v/>
      </c>
    </row>
    <row r="427" spans="1:8">
      <c r="A427" s="71">
        <v>120024</v>
      </c>
      <c r="B427" s="69" t="s">
        <v>2613</v>
      </c>
      <c r="C427" s="70" t="s">
        <v>923</v>
      </c>
      <c r="D427" s="70" t="s">
        <v>2610</v>
      </c>
      <c r="E427" s="72">
        <v>6</v>
      </c>
      <c r="F427" s="70"/>
      <c r="G427" s="70" t="str">
        <f>IFERROR(VLOOKUP(A427,[1]wms_iv_f!$A$1:$E$136,4,FALSE),"")</f>
        <v/>
      </c>
      <c r="H427" s="95" t="str">
        <f>IFERROR(VLOOKUP(A427,[2]wms_lc_f!$A$1:$B$156,2,FALSE),"")</f>
        <v/>
      </c>
    </row>
    <row r="428" spans="1:8">
      <c r="A428" s="71">
        <v>124669</v>
      </c>
      <c r="B428" s="69" t="s">
        <v>2613</v>
      </c>
      <c r="C428" s="70" t="s">
        <v>812</v>
      </c>
      <c r="D428" s="70" t="s">
        <v>2610</v>
      </c>
      <c r="E428" s="72">
        <v>6</v>
      </c>
      <c r="F428" s="70" t="s">
        <v>2612</v>
      </c>
      <c r="G428" s="70" t="str">
        <f>IFERROR(VLOOKUP(A428,[1]wms_iv_f!$A$1:$E$136,4,FALSE),"")</f>
        <v/>
      </c>
      <c r="H428" s="95" t="str">
        <f>IFERROR(VLOOKUP(A428,[2]wms_lc_f!$A$1:$B$156,2,FALSE),"")</f>
        <v/>
      </c>
    </row>
    <row r="429" spans="1:8">
      <c r="A429" s="71">
        <v>105</v>
      </c>
      <c r="B429" s="69" t="s">
        <v>2613</v>
      </c>
      <c r="C429" s="92" t="s">
        <v>1234</v>
      </c>
      <c r="D429" s="88" t="s">
        <v>2610</v>
      </c>
      <c r="E429" s="72">
        <v>6</v>
      </c>
      <c r="F429" s="70"/>
      <c r="G429" s="70" t="str">
        <f>IFERROR(VLOOKUP(A429,[1]wms_iv_f!$A$1:$E$136,4,FALSE),"")</f>
        <v/>
      </c>
      <c r="H429" s="95" t="str">
        <f>IFERROR(VLOOKUP(A429,[2]wms_lc_f!$A$1:$B$156,2,FALSE),"")</f>
        <v>12-118-C4</v>
      </c>
    </row>
    <row r="430" spans="1:8">
      <c r="A430" s="71">
        <v>1969</v>
      </c>
      <c r="B430" s="69" t="s">
        <v>2613</v>
      </c>
      <c r="C430" s="92" t="s">
        <v>1233</v>
      </c>
      <c r="D430" s="88" t="s">
        <v>2610</v>
      </c>
      <c r="E430" s="72">
        <v>6</v>
      </c>
      <c r="F430" s="70"/>
      <c r="G430" s="70" t="str">
        <f>IFERROR(VLOOKUP(A430,[1]wms_iv_f!$A$1:$E$136,4,FALSE),"")</f>
        <v/>
      </c>
      <c r="H430" s="95" t="str">
        <f>IFERROR(VLOOKUP(A430,[2]wms_lc_f!$A$1:$B$156,2,FALSE),"")</f>
        <v>12-119-D2</v>
      </c>
    </row>
    <row r="431" spans="1:8">
      <c r="A431" s="71">
        <v>110671</v>
      </c>
      <c r="B431" s="69" t="s">
        <v>2613</v>
      </c>
      <c r="C431" s="70" t="s">
        <v>1232</v>
      </c>
      <c r="D431" s="70" t="s">
        <v>2610</v>
      </c>
      <c r="E431" s="80">
        <v>6</v>
      </c>
      <c r="F431" s="70"/>
      <c r="G431" s="70" t="str">
        <f>IFERROR(VLOOKUP(A431,[1]wms_iv_f!$A$1:$E$136,4,FALSE),"")</f>
        <v/>
      </c>
      <c r="H431" s="95" t="str">
        <f>IFERROR(VLOOKUP(A431,[2]wms_lc_f!$A$1:$B$156,2,FALSE),"")</f>
        <v/>
      </c>
    </row>
    <row r="432" spans="1:8">
      <c r="A432" s="71">
        <v>128267</v>
      </c>
      <c r="B432" s="69" t="s">
        <v>2613</v>
      </c>
      <c r="C432" s="70" t="s">
        <v>1231</v>
      </c>
      <c r="D432" s="70" t="s">
        <v>2610</v>
      </c>
      <c r="E432" s="72">
        <v>6</v>
      </c>
      <c r="F432" s="70"/>
      <c r="G432" s="70" t="str">
        <f>IFERROR(VLOOKUP(A432,[1]wms_iv_f!$A$1:$E$136,4,FALSE),"")</f>
        <v/>
      </c>
      <c r="H432" s="95" t="str">
        <f>IFERROR(VLOOKUP(A432,[2]wms_lc_f!$A$1:$B$156,2,FALSE),"")</f>
        <v/>
      </c>
    </row>
    <row r="433" spans="1:8">
      <c r="A433" s="71">
        <v>137009</v>
      </c>
      <c r="B433" s="69" t="s">
        <v>2613</v>
      </c>
      <c r="C433" s="70" t="s">
        <v>1229</v>
      </c>
      <c r="D433" s="70" t="s">
        <v>2610</v>
      </c>
      <c r="E433" s="72">
        <v>6</v>
      </c>
      <c r="F433" s="70"/>
      <c r="G433" s="70" t="str">
        <f>IFERROR(VLOOKUP(A433,[1]wms_iv_f!$A$1:$E$136,4,FALSE),"")</f>
        <v/>
      </c>
      <c r="H433" s="95" t="str">
        <f>IFERROR(VLOOKUP(A433,[2]wms_lc_f!$A$1:$B$156,2,FALSE),"")</f>
        <v/>
      </c>
    </row>
    <row r="434" spans="1:8">
      <c r="A434" s="71">
        <v>35070</v>
      </c>
      <c r="B434" s="69" t="s">
        <v>2613</v>
      </c>
      <c r="C434" s="70" t="s">
        <v>660</v>
      </c>
      <c r="D434" s="70" t="s">
        <v>2610</v>
      </c>
      <c r="E434" s="72">
        <v>6</v>
      </c>
      <c r="F434" s="70"/>
      <c r="G434" s="70" t="str">
        <f>IFERROR(VLOOKUP(A434,[1]wms_iv_f!$A$1:$E$136,4,FALSE),"")</f>
        <v/>
      </c>
      <c r="H434" s="95" t="str">
        <f>IFERROR(VLOOKUP(A434,[2]wms_lc_f!$A$1:$B$156,2,FALSE),"")</f>
        <v/>
      </c>
    </row>
    <row r="435" spans="1:8">
      <c r="A435" s="71">
        <v>607</v>
      </c>
      <c r="B435" s="69" t="s">
        <v>2613</v>
      </c>
      <c r="C435" s="70" t="s">
        <v>661</v>
      </c>
      <c r="D435" s="70" t="s">
        <v>2610</v>
      </c>
      <c r="E435" s="72">
        <v>6</v>
      </c>
      <c r="F435" s="70"/>
      <c r="G435" s="70" t="str">
        <f>IFERROR(VLOOKUP(A435,[1]wms_iv_f!$A$1:$E$136,4,FALSE),"")</f>
        <v/>
      </c>
      <c r="H435" s="95" t="str">
        <f>IFERROR(VLOOKUP(A435,[2]wms_lc_f!$A$1:$B$156,2,FALSE),"")</f>
        <v/>
      </c>
    </row>
    <row r="436" spans="1:8">
      <c r="A436" s="71">
        <v>20417</v>
      </c>
      <c r="B436" s="69" t="s">
        <v>2613</v>
      </c>
      <c r="C436" s="70" t="s">
        <v>662</v>
      </c>
      <c r="D436" s="70" t="s">
        <v>2610</v>
      </c>
      <c r="E436" s="72">
        <v>6</v>
      </c>
      <c r="F436" s="70"/>
      <c r="G436" s="70" t="str">
        <f>IFERROR(VLOOKUP(A436,[1]wms_iv_f!$A$1:$E$136,4,FALSE),"")</f>
        <v/>
      </c>
      <c r="H436" s="95" t="str">
        <f>IFERROR(VLOOKUP(A436,[2]wms_lc_f!$A$1:$B$156,2,FALSE),"")</f>
        <v/>
      </c>
    </row>
    <row r="437" spans="1:8">
      <c r="A437" s="71">
        <v>97197</v>
      </c>
      <c r="B437" s="69" t="s">
        <v>2613</v>
      </c>
      <c r="C437" s="70" t="s">
        <v>663</v>
      </c>
      <c r="D437" s="70" t="s">
        <v>2610</v>
      </c>
      <c r="E437" s="72">
        <v>6</v>
      </c>
      <c r="F437" s="70"/>
      <c r="G437" s="70" t="str">
        <f>IFERROR(VLOOKUP(A437,[1]wms_iv_f!$A$1:$E$136,4,FALSE),"")</f>
        <v/>
      </c>
      <c r="H437" s="95" t="str">
        <f>IFERROR(VLOOKUP(A437,[2]wms_lc_f!$A$1:$B$156,2,FALSE),"")</f>
        <v/>
      </c>
    </row>
    <row r="438" spans="1:8">
      <c r="A438" s="71">
        <v>110566</v>
      </c>
      <c r="B438" s="69" t="s">
        <v>2613</v>
      </c>
      <c r="C438" s="70" t="s">
        <v>2344</v>
      </c>
      <c r="D438" s="70" t="s">
        <v>2610</v>
      </c>
      <c r="E438" s="72">
        <v>6</v>
      </c>
      <c r="F438" s="70"/>
      <c r="G438" s="70" t="str">
        <f>IFERROR(VLOOKUP(A438,[1]wms_iv_f!$A$1:$E$136,4,FALSE),"")</f>
        <v/>
      </c>
      <c r="H438" s="95" t="str">
        <f>IFERROR(VLOOKUP(A438,[2]wms_lc_f!$A$1:$B$156,2,FALSE),"")</f>
        <v/>
      </c>
    </row>
    <row r="439" spans="1:8">
      <c r="A439" s="77">
        <v>107027</v>
      </c>
      <c r="B439" s="69" t="s">
        <v>2613</v>
      </c>
      <c r="C439" s="70" t="s">
        <v>2345</v>
      </c>
      <c r="D439" s="70" t="s">
        <v>2610</v>
      </c>
      <c r="E439" s="72">
        <v>6</v>
      </c>
      <c r="F439" s="70"/>
      <c r="G439" s="70" t="str">
        <f>IFERROR(VLOOKUP(A439,[1]wms_iv_f!$A$1:$E$136,4,FALSE),"")</f>
        <v/>
      </c>
      <c r="H439" s="95" t="str">
        <f>IFERROR(VLOOKUP(A439,[2]wms_lc_f!$A$1:$B$156,2,FALSE),"")</f>
        <v/>
      </c>
    </row>
    <row r="440" spans="1:8">
      <c r="A440" s="86">
        <v>561</v>
      </c>
      <c r="B440" s="69" t="s">
        <v>2613</v>
      </c>
      <c r="C440" s="74" t="s">
        <v>2346</v>
      </c>
      <c r="D440" s="74" t="s">
        <v>2610</v>
      </c>
      <c r="E440" s="79">
        <v>6</v>
      </c>
      <c r="F440" s="70"/>
      <c r="G440" s="70" t="str">
        <f>IFERROR(VLOOKUP(A440,[1]wms_iv_f!$A$1:$E$136,4,FALSE),"")</f>
        <v/>
      </c>
      <c r="H440" s="95" t="str">
        <f>IFERROR(VLOOKUP(A440,[2]wms_lc_f!$A$1:$B$156,2,FALSE),"")</f>
        <v/>
      </c>
    </row>
    <row r="441" spans="1:8">
      <c r="A441" s="87">
        <v>111146</v>
      </c>
      <c r="B441" s="69" t="s">
        <v>2613</v>
      </c>
      <c r="C441" s="70" t="s">
        <v>2347</v>
      </c>
      <c r="D441" s="70" t="s">
        <v>2610</v>
      </c>
      <c r="E441" s="72">
        <v>6</v>
      </c>
      <c r="F441" s="70"/>
      <c r="G441" s="70" t="str">
        <f>IFERROR(VLOOKUP(A441,[1]wms_iv_f!$A$1:$E$136,4,FALSE),"")</f>
        <v/>
      </c>
      <c r="H441" s="95" t="str">
        <f>IFERROR(VLOOKUP(A441,[2]wms_lc_f!$A$1:$B$156,2,FALSE),"")</f>
        <v>12-116-D5</v>
      </c>
    </row>
    <row r="442" spans="1:8">
      <c r="A442" s="87">
        <v>60043</v>
      </c>
      <c r="B442" s="69" t="s">
        <v>2613</v>
      </c>
      <c r="C442" s="70" t="s">
        <v>2009</v>
      </c>
      <c r="D442" s="70" t="s">
        <v>2610</v>
      </c>
      <c r="E442" s="72">
        <v>6</v>
      </c>
      <c r="F442" s="70"/>
      <c r="G442" s="70" t="str">
        <f>IFERROR(VLOOKUP(A442,[1]wms_iv_f!$A$1:$E$136,4,FALSE),"")</f>
        <v/>
      </c>
      <c r="H442" s="95" t="str">
        <f>IFERROR(VLOOKUP(A442,[2]wms_lc_f!$A$1:$B$156,2,FALSE),"")</f>
        <v/>
      </c>
    </row>
    <row r="443" spans="1:8">
      <c r="A443" s="87">
        <v>159191</v>
      </c>
      <c r="B443" s="69" t="s">
        <v>2613</v>
      </c>
      <c r="C443" s="70" t="s">
        <v>2012</v>
      </c>
      <c r="D443" s="70" t="s">
        <v>2610</v>
      </c>
      <c r="E443" s="72">
        <v>6</v>
      </c>
      <c r="F443" s="70"/>
      <c r="G443" s="70" t="str">
        <f>IFERROR(VLOOKUP(A443,[1]wms_iv_f!$A$1:$E$136,4,FALSE),"")</f>
        <v/>
      </c>
      <c r="H443" s="95" t="str">
        <f>IFERROR(VLOOKUP(A443,[2]wms_lc_f!$A$1:$B$156,2,FALSE),"")</f>
        <v/>
      </c>
    </row>
    <row r="444" spans="1:8">
      <c r="A444" s="87">
        <v>67577</v>
      </c>
      <c r="B444" s="69" t="s">
        <v>2613</v>
      </c>
      <c r="C444" s="70" t="s">
        <v>2015</v>
      </c>
      <c r="D444" s="70" t="s">
        <v>2610</v>
      </c>
      <c r="E444" s="72">
        <v>6</v>
      </c>
      <c r="F444" s="70"/>
      <c r="G444" s="70" t="str">
        <f>IFERROR(VLOOKUP(A444,[1]wms_iv_f!$A$1:$E$136,4,FALSE),"")</f>
        <v/>
      </c>
      <c r="H444" s="95" t="str">
        <f>IFERROR(VLOOKUP(A444,[2]wms_lc_f!$A$1:$B$156,2,FALSE),"")</f>
        <v/>
      </c>
    </row>
    <row r="445" spans="1:8">
      <c r="A445" s="87">
        <v>12158</v>
      </c>
      <c r="B445" s="69" t="s">
        <v>2613</v>
      </c>
      <c r="C445" s="70" t="s">
        <v>2016</v>
      </c>
      <c r="D445" s="70" t="s">
        <v>2610</v>
      </c>
      <c r="E445" s="72">
        <v>6</v>
      </c>
      <c r="F445" s="70"/>
      <c r="G445" s="70" t="str">
        <f>IFERROR(VLOOKUP(A445,[1]wms_iv_f!$A$1:$E$136,4,FALSE),"")</f>
        <v/>
      </c>
      <c r="H445" s="95" t="str">
        <f>IFERROR(VLOOKUP(A445,[2]wms_lc_f!$A$1:$B$156,2,FALSE),"")</f>
        <v>12-116-D8</v>
      </c>
    </row>
    <row r="446" spans="1:8">
      <c r="A446" s="87">
        <v>111865</v>
      </c>
      <c r="B446" s="69" t="s">
        <v>2613</v>
      </c>
      <c r="C446" s="70" t="s">
        <v>2526</v>
      </c>
      <c r="D446" s="70" t="s">
        <v>2610</v>
      </c>
      <c r="E446" s="72">
        <v>6</v>
      </c>
      <c r="F446" s="70"/>
      <c r="G446" s="70" t="str">
        <f>IFERROR(VLOOKUP(A446,[1]wms_iv_f!$A$1:$E$136,4,FALSE),"")</f>
        <v/>
      </c>
      <c r="H446" s="95" t="str">
        <f>IFERROR(VLOOKUP(A446,[2]wms_lc_f!$A$1:$B$156,2,FALSE),"")</f>
        <v/>
      </c>
    </row>
    <row r="447" spans="1:8">
      <c r="A447" s="87">
        <v>84640</v>
      </c>
      <c r="B447" s="69" t="s">
        <v>2613</v>
      </c>
      <c r="C447" s="70" t="s">
        <v>2527</v>
      </c>
      <c r="D447" s="70" t="s">
        <v>2610</v>
      </c>
      <c r="E447" s="72">
        <v>6</v>
      </c>
      <c r="F447" s="70"/>
      <c r="G447" s="70" t="str">
        <f>IFERROR(VLOOKUP(A447,[1]wms_iv_f!$A$1:$E$136,4,FALSE),"")</f>
        <v/>
      </c>
      <c r="H447" s="95" t="str">
        <f>IFERROR(VLOOKUP(A447,[2]wms_lc_f!$A$1:$B$156,2,FALSE),"")</f>
        <v/>
      </c>
    </row>
    <row r="448" spans="1:8">
      <c r="A448" s="87">
        <v>73228</v>
      </c>
      <c r="B448" s="69" t="s">
        <v>2613</v>
      </c>
      <c r="C448" s="70" t="s">
        <v>2528</v>
      </c>
      <c r="D448" s="70" t="s">
        <v>2610</v>
      </c>
      <c r="E448" s="72">
        <v>6</v>
      </c>
      <c r="F448" s="70"/>
      <c r="G448" s="70" t="str">
        <f>IFERROR(VLOOKUP(A448,[1]wms_iv_f!$A$1:$E$136,4,FALSE),"")</f>
        <v/>
      </c>
      <c r="H448" s="95" t="str">
        <f>IFERROR(VLOOKUP(A448,[2]wms_lc_f!$A$1:$B$156,2,FALSE),"")</f>
        <v/>
      </c>
    </row>
    <row r="449" spans="1:8">
      <c r="A449" s="87">
        <v>157509</v>
      </c>
      <c r="B449" s="69" t="s">
        <v>2613</v>
      </c>
      <c r="C449" s="70" t="s">
        <v>2529</v>
      </c>
      <c r="D449" s="70" t="s">
        <v>2610</v>
      </c>
      <c r="E449" s="72">
        <v>6</v>
      </c>
      <c r="F449" s="70"/>
      <c r="G449" s="70" t="str">
        <f>IFERROR(VLOOKUP(A449,[1]wms_iv_f!$A$1:$E$136,4,FALSE),"")</f>
        <v/>
      </c>
      <c r="H449" s="95" t="str">
        <f>IFERROR(VLOOKUP(A449,[2]wms_lc_f!$A$1:$B$156,2,FALSE),"")</f>
        <v>12-118-D2</v>
      </c>
    </row>
    <row r="450" spans="1:8">
      <c r="A450" s="87">
        <v>156825</v>
      </c>
      <c r="B450" s="69" t="s">
        <v>2613</v>
      </c>
      <c r="C450" s="70" t="s">
        <v>1967</v>
      </c>
      <c r="D450" s="70" t="s">
        <v>2610</v>
      </c>
      <c r="E450" s="72">
        <v>6</v>
      </c>
      <c r="F450" s="70"/>
      <c r="G450" s="70" t="str">
        <f>IFERROR(VLOOKUP(A450,[1]wms_iv_f!$A$1:$E$136,4,FALSE),"")</f>
        <v/>
      </c>
      <c r="H450" s="95" t="str">
        <f>IFERROR(VLOOKUP(A450,[2]wms_lc_f!$A$1:$B$156,2,FALSE),"")</f>
        <v/>
      </c>
    </row>
    <row r="451" spans="1:8">
      <c r="A451" s="87">
        <v>33336</v>
      </c>
      <c r="B451" s="69" t="s">
        <v>2613</v>
      </c>
      <c r="C451" s="70" t="s">
        <v>1968</v>
      </c>
      <c r="D451" s="70" t="s">
        <v>2610</v>
      </c>
      <c r="E451" s="72">
        <v>6</v>
      </c>
      <c r="F451" s="70"/>
      <c r="G451" s="70" t="str">
        <f>IFERROR(VLOOKUP(A451,[1]wms_iv_f!$A$1:$E$136,4,FALSE),"")</f>
        <v/>
      </c>
      <c r="H451" s="95" t="str">
        <f>IFERROR(VLOOKUP(A451,[2]wms_lc_f!$A$1:$B$156,2,FALSE),"")</f>
        <v/>
      </c>
    </row>
    <row r="452" spans="1:8">
      <c r="A452" s="87">
        <v>90149</v>
      </c>
      <c r="B452" s="69" t="s">
        <v>2613</v>
      </c>
      <c r="C452" s="70" t="s">
        <v>1969</v>
      </c>
      <c r="D452" s="70" t="s">
        <v>2610</v>
      </c>
      <c r="E452" s="72">
        <v>6</v>
      </c>
      <c r="F452" s="70"/>
      <c r="G452" s="70" t="str">
        <f>IFERROR(VLOOKUP(A452,[1]wms_iv_f!$A$1:$E$136,4,FALSE),"")</f>
        <v/>
      </c>
      <c r="H452" s="95" t="str">
        <f>IFERROR(VLOOKUP(A452,[2]wms_lc_f!$A$1:$B$156,2,FALSE),"")</f>
        <v>12-118-D6</v>
      </c>
    </row>
    <row r="453" spans="1:8">
      <c r="A453" s="87">
        <v>142655</v>
      </c>
      <c r="B453" s="69" t="s">
        <v>2613</v>
      </c>
      <c r="C453" s="70" t="s">
        <v>1970</v>
      </c>
      <c r="D453" s="70" t="s">
        <v>2610</v>
      </c>
      <c r="E453" s="72">
        <v>6</v>
      </c>
      <c r="F453" s="70"/>
      <c r="G453" s="70" t="str">
        <f>IFERROR(VLOOKUP(A453,[1]wms_iv_f!$A$1:$E$136,4,FALSE),"")</f>
        <v/>
      </c>
      <c r="H453" s="95" t="str">
        <f>IFERROR(VLOOKUP(A453,[2]wms_lc_f!$A$1:$B$156,2,FALSE),"")</f>
        <v/>
      </c>
    </row>
    <row r="454" spans="1:8">
      <c r="A454" s="87">
        <v>109189</v>
      </c>
      <c r="B454" s="69" t="s">
        <v>2613</v>
      </c>
      <c r="C454" s="70" t="s">
        <v>1040</v>
      </c>
      <c r="D454" s="70" t="s">
        <v>2610</v>
      </c>
      <c r="E454" s="72">
        <v>5</v>
      </c>
      <c r="F454" s="70"/>
      <c r="G454" s="70" t="str">
        <f>IFERROR(VLOOKUP(A454,[1]wms_iv_f!$A$1:$E$136,4,FALSE),"")</f>
        <v/>
      </c>
      <c r="H454" s="95" t="str">
        <f>IFERROR(VLOOKUP(A454,[2]wms_lc_f!$A$1:$B$156,2,FALSE),"")</f>
        <v/>
      </c>
    </row>
    <row r="455" spans="1:8">
      <c r="A455" s="87">
        <v>136384</v>
      </c>
      <c r="B455" s="69" t="s">
        <v>2613</v>
      </c>
      <c r="C455" s="70" t="s">
        <v>1041</v>
      </c>
      <c r="D455" s="70" t="s">
        <v>2610</v>
      </c>
      <c r="E455" s="72">
        <v>5</v>
      </c>
      <c r="F455" s="70"/>
      <c r="G455" s="70" t="str">
        <f>IFERROR(VLOOKUP(A455,[1]wms_iv_f!$A$1:$E$136,4,FALSE),"")</f>
        <v/>
      </c>
      <c r="H455" s="95" t="str">
        <f>IFERROR(VLOOKUP(A455,[2]wms_lc_f!$A$1:$B$156,2,FALSE),"")</f>
        <v/>
      </c>
    </row>
    <row r="456" spans="1:8">
      <c r="A456" s="87">
        <v>129781</v>
      </c>
      <c r="B456" s="69" t="s">
        <v>2613</v>
      </c>
      <c r="C456" s="70" t="s">
        <v>1042</v>
      </c>
      <c r="D456" s="70" t="s">
        <v>2610</v>
      </c>
      <c r="E456" s="72">
        <v>5</v>
      </c>
      <c r="F456" s="70"/>
      <c r="G456" s="70" t="str">
        <f>IFERROR(VLOOKUP(A456,[1]wms_iv_f!$A$1:$E$136,4,FALSE),"")</f>
        <v/>
      </c>
      <c r="H456" s="95" t="str">
        <f>IFERROR(VLOOKUP(A456,[2]wms_lc_f!$A$1:$B$156,2,FALSE),"")</f>
        <v/>
      </c>
    </row>
    <row r="457" spans="1:8">
      <c r="A457" s="87">
        <v>63150</v>
      </c>
      <c r="B457" s="69" t="s">
        <v>2613</v>
      </c>
      <c r="C457" s="70" t="s">
        <v>1268</v>
      </c>
      <c r="D457" s="70" t="s">
        <v>2610</v>
      </c>
      <c r="E457" s="72">
        <v>5</v>
      </c>
      <c r="F457" s="70"/>
      <c r="G457" s="70" t="str">
        <f>IFERROR(VLOOKUP(A457,[1]wms_iv_f!$A$1:$E$136,4,FALSE),"")</f>
        <v/>
      </c>
      <c r="H457" s="95" t="str">
        <f>IFERROR(VLOOKUP(A457,[2]wms_lc_f!$A$1:$B$156,2,FALSE),"")</f>
        <v/>
      </c>
    </row>
    <row r="458" spans="1:8">
      <c r="A458" s="87">
        <v>101545</v>
      </c>
      <c r="B458" s="69" t="s">
        <v>2613</v>
      </c>
      <c r="C458" s="70" t="s">
        <v>1049</v>
      </c>
      <c r="D458" s="70" t="s">
        <v>2610</v>
      </c>
      <c r="E458" s="72">
        <v>5</v>
      </c>
      <c r="F458" s="70"/>
      <c r="G458" s="70" t="str">
        <f>IFERROR(VLOOKUP(A458,[1]wms_iv_f!$A$1:$E$136,4,FALSE),"")</f>
        <v/>
      </c>
      <c r="H458" s="95" t="str">
        <f>IFERROR(VLOOKUP(A458,[2]wms_lc_f!$A$1:$B$156,2,FALSE),"")</f>
        <v>12-118-C5</v>
      </c>
    </row>
    <row r="459" spans="1:8">
      <c r="A459" s="87">
        <v>110501</v>
      </c>
      <c r="B459" s="69" t="s">
        <v>2613</v>
      </c>
      <c r="C459" s="70" t="s">
        <v>928</v>
      </c>
      <c r="D459" s="70" t="s">
        <v>2610</v>
      </c>
      <c r="E459" s="72">
        <v>5</v>
      </c>
      <c r="F459" s="70"/>
      <c r="G459" s="70" t="str">
        <f>IFERROR(VLOOKUP(A459,[1]wms_iv_f!$A$1:$E$136,4,FALSE),"")</f>
        <v/>
      </c>
      <c r="H459" s="95" t="str">
        <f>IFERROR(VLOOKUP(A459,[2]wms_lc_f!$A$1:$B$156,2,FALSE),"")</f>
        <v/>
      </c>
    </row>
    <row r="460" spans="1:8">
      <c r="A460" s="87">
        <v>158205</v>
      </c>
      <c r="B460" s="69" t="s">
        <v>2613</v>
      </c>
      <c r="C460" s="70" t="s">
        <v>929</v>
      </c>
      <c r="D460" s="70" t="s">
        <v>2610</v>
      </c>
      <c r="E460" s="72">
        <v>5</v>
      </c>
      <c r="F460" s="70"/>
      <c r="G460" s="70" t="str">
        <f>IFERROR(VLOOKUP(A460,[1]wms_iv_f!$A$1:$E$136,4,FALSE),"")</f>
        <v/>
      </c>
      <c r="H460" s="95" t="str">
        <f>IFERROR(VLOOKUP(A460,[2]wms_lc_f!$A$1:$B$156,2,FALSE),"")</f>
        <v/>
      </c>
    </row>
    <row r="461" spans="1:8">
      <c r="A461" s="87">
        <v>63746</v>
      </c>
      <c r="B461" s="69" t="s">
        <v>2613</v>
      </c>
      <c r="C461" s="70" t="s">
        <v>817</v>
      </c>
      <c r="D461" s="70" t="s">
        <v>2610</v>
      </c>
      <c r="E461" s="72">
        <v>5</v>
      </c>
      <c r="F461" s="70" t="s">
        <v>2612</v>
      </c>
      <c r="G461" s="70" t="str">
        <f>IFERROR(VLOOKUP(A461,[1]wms_iv_f!$A$1:$E$136,4,FALSE),"")</f>
        <v/>
      </c>
      <c r="H461" s="95" t="str">
        <f>IFERROR(VLOOKUP(A461,[2]wms_lc_f!$A$1:$B$156,2,FALSE),"")</f>
        <v/>
      </c>
    </row>
    <row r="462" spans="1:8">
      <c r="A462" s="87">
        <v>110419</v>
      </c>
      <c r="B462" s="69" t="s">
        <v>2613</v>
      </c>
      <c r="C462" s="70" t="s">
        <v>1002</v>
      </c>
      <c r="D462" s="70" t="s">
        <v>2610</v>
      </c>
      <c r="E462" s="72">
        <v>5</v>
      </c>
      <c r="F462" s="70"/>
      <c r="G462" s="70" t="str">
        <f>IFERROR(VLOOKUP(A462,[1]wms_iv_f!$A$1:$E$136,4,FALSE),"")</f>
        <v/>
      </c>
      <c r="H462" s="95" t="str">
        <f>IFERROR(VLOOKUP(A462,[2]wms_lc_f!$A$1:$B$156,2,FALSE),"")</f>
        <v/>
      </c>
    </row>
    <row r="463" spans="1:8">
      <c r="A463" s="87">
        <v>124935</v>
      </c>
      <c r="B463" s="69" t="s">
        <v>2613</v>
      </c>
      <c r="C463" s="70" t="s">
        <v>1004</v>
      </c>
      <c r="D463" s="70" t="s">
        <v>2610</v>
      </c>
      <c r="E463" s="72">
        <v>5</v>
      </c>
      <c r="F463" s="70"/>
      <c r="G463" s="70" t="str">
        <f>IFERROR(VLOOKUP(A463,[1]wms_iv_f!$A$1:$E$136,4,FALSE),"")</f>
        <v/>
      </c>
      <c r="H463" s="95" t="str">
        <f>IFERROR(VLOOKUP(A463,[2]wms_lc_f!$A$1:$B$156,2,FALSE),"")</f>
        <v>12-118-C3</v>
      </c>
    </row>
    <row r="464" spans="1:8">
      <c r="A464" s="87">
        <v>126102</v>
      </c>
      <c r="B464" s="69" t="s">
        <v>2613</v>
      </c>
      <c r="C464" s="70" t="s">
        <v>1003</v>
      </c>
      <c r="D464" s="70" t="s">
        <v>2610</v>
      </c>
      <c r="E464" s="72">
        <v>5</v>
      </c>
      <c r="F464" s="70"/>
      <c r="G464" s="70" t="str">
        <f>IFERROR(VLOOKUP(A464,[1]wms_iv_f!$A$1:$E$136,4,FALSE),"")</f>
        <v/>
      </c>
      <c r="H464" s="95" t="str">
        <f>IFERROR(VLOOKUP(A464,[2]wms_lc_f!$A$1:$B$156,2,FALSE),"")</f>
        <v/>
      </c>
    </row>
    <row r="465" spans="1:8">
      <c r="A465" s="87">
        <v>155965</v>
      </c>
      <c r="B465" s="69" t="s">
        <v>2613</v>
      </c>
      <c r="C465" s="70" t="s">
        <v>1001</v>
      </c>
      <c r="D465" s="70" t="s">
        <v>2610</v>
      </c>
      <c r="E465" s="72">
        <v>5</v>
      </c>
      <c r="F465" s="70"/>
      <c r="G465" s="70" t="str">
        <f>IFERROR(VLOOKUP(A465,[1]wms_iv_f!$A$1:$E$136,4,FALSE),"")</f>
        <v/>
      </c>
      <c r="H465" s="95" t="str">
        <f>IFERROR(VLOOKUP(A465,[2]wms_lc_f!$A$1:$B$156,2,FALSE),"")</f>
        <v/>
      </c>
    </row>
    <row r="466" spans="1:8">
      <c r="A466" s="87">
        <v>122</v>
      </c>
      <c r="B466" s="69" t="s">
        <v>2613</v>
      </c>
      <c r="C466" s="70" t="s">
        <v>879</v>
      </c>
      <c r="D466" s="70" t="s">
        <v>2610</v>
      </c>
      <c r="E466" s="72">
        <v>5</v>
      </c>
      <c r="F466" s="70"/>
      <c r="G466" s="70" t="str">
        <f>IFERROR(VLOOKUP(A466,[1]wms_iv_f!$A$1:$E$136,4,FALSE),"")</f>
        <v/>
      </c>
      <c r="H466" s="95" t="str">
        <f>IFERROR(VLOOKUP(A466,[2]wms_lc_f!$A$1:$B$156,2,FALSE),"")</f>
        <v>12-116-C5</v>
      </c>
    </row>
    <row r="467" spans="1:8">
      <c r="A467" s="87">
        <v>91304</v>
      </c>
      <c r="B467" s="69" t="s">
        <v>2613</v>
      </c>
      <c r="C467" s="70" t="s">
        <v>880</v>
      </c>
      <c r="D467" s="70" t="s">
        <v>2610</v>
      </c>
      <c r="E467" s="72">
        <v>5</v>
      </c>
      <c r="F467" s="70"/>
      <c r="G467" s="70" t="str">
        <f>IFERROR(VLOOKUP(A467,[1]wms_iv_f!$A$1:$E$136,4,FALSE),"")</f>
        <v/>
      </c>
      <c r="H467" s="95" t="str">
        <f>IFERROR(VLOOKUP(A467,[2]wms_lc_f!$A$1:$B$156,2,FALSE),"")</f>
        <v>12-118-D8</v>
      </c>
    </row>
    <row r="468" spans="1:8">
      <c r="A468" s="87">
        <v>110817</v>
      </c>
      <c r="B468" s="69" t="s">
        <v>2613</v>
      </c>
      <c r="C468" s="70" t="s">
        <v>664</v>
      </c>
      <c r="D468" s="70" t="s">
        <v>2610</v>
      </c>
      <c r="E468" s="72">
        <v>5</v>
      </c>
      <c r="F468" s="70"/>
      <c r="G468" s="70" t="str">
        <f>IFERROR(VLOOKUP(A468,[1]wms_iv_f!$A$1:$E$136,4,FALSE),"")</f>
        <v/>
      </c>
      <c r="H468" s="95" t="str">
        <f>IFERROR(VLOOKUP(A468,[2]wms_lc_f!$A$1:$B$156,2,FALSE),"")</f>
        <v/>
      </c>
    </row>
    <row r="469" spans="1:8">
      <c r="A469" s="87">
        <v>9225</v>
      </c>
      <c r="B469" s="69" t="s">
        <v>2613</v>
      </c>
      <c r="C469" s="70" t="s">
        <v>665</v>
      </c>
      <c r="D469" s="70" t="s">
        <v>2610</v>
      </c>
      <c r="E469" s="72">
        <v>5</v>
      </c>
      <c r="F469" s="70"/>
      <c r="G469" s="70" t="str">
        <f>IFERROR(VLOOKUP(A469,[1]wms_iv_f!$A$1:$E$136,4,FALSE),"")</f>
        <v/>
      </c>
      <c r="H469" s="95" t="str">
        <f>IFERROR(VLOOKUP(A469,[2]wms_lc_f!$A$1:$B$156,2,FALSE),"")</f>
        <v>12-116-D1</v>
      </c>
    </row>
    <row r="470" spans="1:8">
      <c r="A470" s="77">
        <v>99855</v>
      </c>
      <c r="B470" s="69" t="s">
        <v>2613</v>
      </c>
      <c r="C470" s="70" t="s">
        <v>666</v>
      </c>
      <c r="D470" s="70" t="s">
        <v>2610</v>
      </c>
      <c r="E470" s="72">
        <v>5</v>
      </c>
      <c r="F470" s="70"/>
      <c r="G470" s="70" t="str">
        <f>IFERROR(VLOOKUP(A470,[1]wms_iv_f!$A$1:$E$136,4,FALSE),"")</f>
        <v/>
      </c>
      <c r="H470" s="95" t="str">
        <f>IFERROR(VLOOKUP(A470,[2]wms_lc_f!$A$1:$B$156,2,FALSE),"")</f>
        <v/>
      </c>
    </row>
    <row r="471" spans="1:8">
      <c r="A471" s="77">
        <v>13919</v>
      </c>
      <c r="B471" s="69" t="s">
        <v>2613</v>
      </c>
      <c r="C471" s="70" t="s">
        <v>2348</v>
      </c>
      <c r="D471" s="70" t="s">
        <v>2610</v>
      </c>
      <c r="E471" s="72">
        <v>5</v>
      </c>
      <c r="F471" s="70"/>
      <c r="G471" s="70" t="str">
        <f>IFERROR(VLOOKUP(A471,[1]wms_iv_f!$A$1:$E$136,4,FALSE),"")</f>
        <v/>
      </c>
      <c r="H471" s="95" t="str">
        <f>IFERROR(VLOOKUP(A471,[2]wms_lc_f!$A$1:$B$156,2,FALSE),"")</f>
        <v/>
      </c>
    </row>
    <row r="472" spans="1:8">
      <c r="A472" s="77">
        <v>143812</v>
      </c>
      <c r="B472" s="69" t="s">
        <v>2613</v>
      </c>
      <c r="C472" s="70" t="s">
        <v>2574</v>
      </c>
      <c r="D472" s="70" t="s">
        <v>2610</v>
      </c>
      <c r="E472" s="72">
        <v>5</v>
      </c>
      <c r="F472" s="70"/>
      <c r="G472" s="70" t="str">
        <f>IFERROR(VLOOKUP(A472,[1]wms_iv_f!$A$1:$E$136,4,FALSE),"")</f>
        <v/>
      </c>
      <c r="H472" s="95" t="str">
        <f>IFERROR(VLOOKUP(A472,[2]wms_lc_f!$A$1:$B$156,2,FALSE),"")</f>
        <v/>
      </c>
    </row>
    <row r="473" spans="1:8">
      <c r="A473" s="77">
        <v>155970</v>
      </c>
      <c r="B473" s="69" t="s">
        <v>2613</v>
      </c>
      <c r="C473" s="70" t="s">
        <v>2466</v>
      </c>
      <c r="D473" s="70" t="s">
        <v>2610</v>
      </c>
      <c r="E473" s="72">
        <v>5</v>
      </c>
      <c r="F473" s="70"/>
      <c r="G473" s="70" t="str">
        <f>IFERROR(VLOOKUP(A473,[1]wms_iv_f!$A$1:$E$136,4,FALSE),"")</f>
        <v/>
      </c>
      <c r="H473" s="95" t="str">
        <f>IFERROR(VLOOKUP(A473,[2]wms_lc_f!$A$1:$B$156,2,FALSE),"")</f>
        <v/>
      </c>
    </row>
    <row r="474" spans="1:8">
      <c r="A474" s="77">
        <v>2647</v>
      </c>
      <c r="B474" s="69" t="s">
        <v>2613</v>
      </c>
      <c r="C474" s="70" t="s">
        <v>2467</v>
      </c>
      <c r="D474" s="70" t="s">
        <v>2610</v>
      </c>
      <c r="E474" s="72">
        <v>5</v>
      </c>
      <c r="F474" s="70"/>
      <c r="G474" s="70" t="str">
        <f>IFERROR(VLOOKUP(A474,[1]wms_iv_f!$A$1:$E$136,4,FALSE),"")</f>
        <v/>
      </c>
      <c r="H474" s="95" t="str">
        <f>IFERROR(VLOOKUP(A474,[2]wms_lc_f!$A$1:$B$156,2,FALSE),"")</f>
        <v/>
      </c>
    </row>
    <row r="475" spans="1:8">
      <c r="A475" s="77">
        <v>1534</v>
      </c>
      <c r="B475" s="69" t="s">
        <v>2613</v>
      </c>
      <c r="C475" s="70" t="s">
        <v>2468</v>
      </c>
      <c r="D475" s="70" t="s">
        <v>2610</v>
      </c>
      <c r="E475" s="72">
        <v>5</v>
      </c>
      <c r="F475" s="70"/>
      <c r="G475" s="70" t="str">
        <f>IFERROR(VLOOKUP(A475,[1]wms_iv_f!$A$1:$E$136,4,FALSE),"")</f>
        <v/>
      </c>
      <c r="H475" s="95" t="str">
        <f>IFERROR(VLOOKUP(A475,[2]wms_lc_f!$A$1:$B$156,2,FALSE),"")</f>
        <v/>
      </c>
    </row>
    <row r="476" spans="1:8">
      <c r="A476" s="77">
        <v>65580</v>
      </c>
      <c r="B476" s="69" t="s">
        <v>2613</v>
      </c>
      <c r="C476" s="70" t="s">
        <v>2630</v>
      </c>
      <c r="D476" s="70" t="s">
        <v>2610</v>
      </c>
      <c r="E476" s="72">
        <v>5</v>
      </c>
      <c r="F476" s="70"/>
      <c r="G476" s="70" t="str">
        <f>IFERROR(VLOOKUP(A476,[1]wms_iv_f!$A$1:$E$136,4,FALSE),"")</f>
        <v/>
      </c>
      <c r="H476" s="95" t="str">
        <f>IFERROR(VLOOKUP(A476,[2]wms_lc_f!$A$1:$B$156,2,FALSE),"")</f>
        <v/>
      </c>
    </row>
    <row r="477" spans="1:8">
      <c r="A477" s="77">
        <v>204</v>
      </c>
      <c r="B477" s="69" t="s">
        <v>2613</v>
      </c>
      <c r="C477" s="70" t="s">
        <v>2017</v>
      </c>
      <c r="D477" s="70" t="s">
        <v>2610</v>
      </c>
      <c r="E477" s="72">
        <v>5</v>
      </c>
      <c r="F477" s="70"/>
      <c r="G477" s="70" t="str">
        <f>IFERROR(VLOOKUP(A477,[1]wms_iv_f!$A$1:$E$136,4,FALSE),"")</f>
        <v/>
      </c>
      <c r="H477" s="95" t="str">
        <f>IFERROR(VLOOKUP(A477,[2]wms_lc_f!$A$1:$B$156,2,FALSE),"")</f>
        <v/>
      </c>
    </row>
    <row r="478" spans="1:8">
      <c r="A478" s="77">
        <v>110199</v>
      </c>
      <c r="B478" s="69" t="s">
        <v>2613</v>
      </c>
      <c r="C478" s="70" t="s">
        <v>2018</v>
      </c>
      <c r="D478" s="70" t="s">
        <v>2610</v>
      </c>
      <c r="E478" s="72">
        <v>5</v>
      </c>
      <c r="F478" s="70"/>
      <c r="G478" s="70" t="str">
        <f>IFERROR(VLOOKUP(A478,[1]wms_iv_f!$A$1:$E$136,4,FALSE),"")</f>
        <v/>
      </c>
      <c r="H478" s="95" t="str">
        <f>IFERROR(VLOOKUP(A478,[2]wms_lc_f!$A$1:$B$156,2,FALSE),"")</f>
        <v/>
      </c>
    </row>
    <row r="479" spans="1:8">
      <c r="A479" s="77">
        <v>105355</v>
      </c>
      <c r="B479" s="69" t="s">
        <v>2613</v>
      </c>
      <c r="C479" s="70" t="s">
        <v>2237</v>
      </c>
      <c r="D479" s="70" t="s">
        <v>2610</v>
      </c>
      <c r="E479" s="72">
        <v>5</v>
      </c>
      <c r="F479" s="70"/>
      <c r="G479" s="70" t="str">
        <f>IFERROR(VLOOKUP(A479,[1]wms_iv_f!$A$1:$E$136,4,FALSE),"")</f>
        <v/>
      </c>
      <c r="H479" s="95" t="str">
        <f>IFERROR(VLOOKUP(A479,[2]wms_lc_f!$A$1:$B$156,2,FALSE),"")</f>
        <v/>
      </c>
    </row>
    <row r="480" spans="1:8">
      <c r="A480" s="77">
        <v>104554</v>
      </c>
      <c r="B480" s="69" t="s">
        <v>2613</v>
      </c>
      <c r="C480" s="70" t="s">
        <v>2530</v>
      </c>
      <c r="D480" s="70" t="s">
        <v>2610</v>
      </c>
      <c r="E480" s="72">
        <v>5</v>
      </c>
      <c r="F480" s="70"/>
      <c r="G480" s="70" t="str">
        <f>IFERROR(VLOOKUP(A480,[1]wms_iv_f!$A$1:$E$136,4,FALSE),"")</f>
        <v/>
      </c>
      <c r="H480" s="95" t="str">
        <f>IFERROR(VLOOKUP(A480,[2]wms_lc_f!$A$1:$B$156,2,FALSE),"")</f>
        <v/>
      </c>
    </row>
    <row r="481" spans="1:8">
      <c r="A481" s="77">
        <v>110678</v>
      </c>
      <c r="B481" s="69" t="s">
        <v>2613</v>
      </c>
      <c r="C481" s="70" t="s">
        <v>2531</v>
      </c>
      <c r="D481" s="70" t="s">
        <v>2610</v>
      </c>
      <c r="E481" s="72">
        <v>5</v>
      </c>
      <c r="F481" s="70"/>
      <c r="G481" s="70" t="str">
        <f>IFERROR(VLOOKUP(A481,[1]wms_iv_f!$A$1:$E$136,4,FALSE),"")</f>
        <v/>
      </c>
      <c r="H481" s="95" t="str">
        <f>IFERROR(VLOOKUP(A481,[2]wms_lc_f!$A$1:$B$156,2,FALSE),"")</f>
        <v/>
      </c>
    </row>
    <row r="482" spans="1:8">
      <c r="A482" s="77">
        <v>8780</v>
      </c>
      <c r="B482" s="69" t="s">
        <v>2613</v>
      </c>
      <c r="C482" s="70" t="s">
        <v>2532</v>
      </c>
      <c r="D482" s="70" t="s">
        <v>2610</v>
      </c>
      <c r="E482" s="72">
        <v>5</v>
      </c>
      <c r="F482" s="70"/>
      <c r="G482" s="70" t="str">
        <f>IFERROR(VLOOKUP(A482,[1]wms_iv_f!$A$1:$E$136,4,FALSE),"")</f>
        <v/>
      </c>
      <c r="H482" s="95" t="str">
        <f>IFERROR(VLOOKUP(A482,[2]wms_lc_f!$A$1:$B$156,2,FALSE),"")</f>
        <v>12-110-C1</v>
      </c>
    </row>
    <row r="483" spans="1:8">
      <c r="A483" s="77">
        <v>137719</v>
      </c>
      <c r="B483" s="69" t="s">
        <v>2613</v>
      </c>
      <c r="C483" s="70" t="s">
        <v>2533</v>
      </c>
      <c r="D483" s="70" t="s">
        <v>2610</v>
      </c>
      <c r="E483" s="72">
        <v>5</v>
      </c>
      <c r="F483" s="70"/>
      <c r="G483" s="70" t="str">
        <f>IFERROR(VLOOKUP(A483,[1]wms_iv_f!$A$1:$E$136,4,FALSE),"")</f>
        <v/>
      </c>
      <c r="H483" s="95" t="str">
        <f>IFERROR(VLOOKUP(A483,[2]wms_lc_f!$A$1:$B$156,2,FALSE),"")</f>
        <v/>
      </c>
    </row>
    <row r="484" spans="1:8">
      <c r="A484" s="77">
        <v>130583</v>
      </c>
      <c r="B484" s="69" t="s">
        <v>2613</v>
      </c>
      <c r="C484" s="70" t="s">
        <v>2534</v>
      </c>
      <c r="D484" s="70" t="s">
        <v>2610</v>
      </c>
      <c r="E484" s="72">
        <v>5</v>
      </c>
      <c r="F484" s="70"/>
      <c r="G484" s="70" t="str">
        <f>IFERROR(VLOOKUP(A484,[1]wms_iv_f!$A$1:$E$136,4,FALSE),"")</f>
        <v/>
      </c>
      <c r="H484" s="95" t="str">
        <f>IFERROR(VLOOKUP(A484,[2]wms_lc_f!$A$1:$B$156,2,FALSE),"")</f>
        <v/>
      </c>
    </row>
    <row r="485" spans="1:8">
      <c r="A485" s="77">
        <v>110816</v>
      </c>
      <c r="B485" s="69" t="s">
        <v>2613</v>
      </c>
      <c r="C485" s="70" t="s">
        <v>1971</v>
      </c>
      <c r="D485" s="70" t="s">
        <v>2610</v>
      </c>
      <c r="E485" s="72">
        <v>5</v>
      </c>
      <c r="F485" s="70"/>
      <c r="G485" s="70" t="str">
        <f>IFERROR(VLOOKUP(A485,[1]wms_iv_f!$A$1:$E$136,4,FALSE),"")</f>
        <v/>
      </c>
      <c r="H485" s="95" t="str">
        <f>IFERROR(VLOOKUP(A485,[2]wms_lc_f!$A$1:$B$156,2,FALSE),"")</f>
        <v/>
      </c>
    </row>
    <row r="486" spans="1:8">
      <c r="A486" s="77">
        <v>116628</v>
      </c>
      <c r="B486" s="69" t="s">
        <v>2613</v>
      </c>
      <c r="C486" s="70" t="s">
        <v>1972</v>
      </c>
      <c r="D486" s="70" t="s">
        <v>2610</v>
      </c>
      <c r="E486" s="72">
        <v>5</v>
      </c>
      <c r="F486" s="70"/>
      <c r="G486" s="70" t="str">
        <f>IFERROR(VLOOKUP(A486,[1]wms_iv_f!$A$1:$E$136,4,FALSE),"")</f>
        <v/>
      </c>
      <c r="H486" s="95" t="str">
        <f>IFERROR(VLOOKUP(A486,[2]wms_lc_f!$A$1:$B$156,2,FALSE),"")</f>
        <v/>
      </c>
    </row>
    <row r="487" spans="1:8">
      <c r="A487" s="77">
        <v>143134</v>
      </c>
      <c r="B487" s="69" t="s">
        <v>2613</v>
      </c>
      <c r="C487" s="70" t="s">
        <v>1974</v>
      </c>
      <c r="D487" s="70" t="s">
        <v>2610</v>
      </c>
      <c r="E487" s="72">
        <v>5</v>
      </c>
      <c r="F487" s="70"/>
      <c r="G487" s="70" t="str">
        <f>IFERROR(VLOOKUP(A487,[1]wms_iv_f!$A$1:$E$136,4,FALSE),"")</f>
        <v/>
      </c>
      <c r="H487" s="95" t="str">
        <f>IFERROR(VLOOKUP(A487,[2]wms_lc_f!$A$1:$B$156,2,FALSE),"")</f>
        <v/>
      </c>
    </row>
    <row r="488" spans="1:8">
      <c r="A488" s="77">
        <v>278</v>
      </c>
      <c r="B488" s="69" t="s">
        <v>2613</v>
      </c>
      <c r="C488" s="70" t="s">
        <v>1975</v>
      </c>
      <c r="D488" s="70" t="s">
        <v>2610</v>
      </c>
      <c r="E488" s="72">
        <v>5</v>
      </c>
      <c r="F488" s="70"/>
      <c r="G488" s="70" t="str">
        <f>IFERROR(VLOOKUP(A488,[1]wms_iv_f!$A$1:$E$136,4,FALSE),"")</f>
        <v/>
      </c>
      <c r="H488" s="95" t="str">
        <f>IFERROR(VLOOKUP(A488,[2]wms_lc_f!$A$1:$B$156,2,FALSE),"")</f>
        <v/>
      </c>
    </row>
    <row r="489" spans="1:8">
      <c r="A489" s="77">
        <v>127255</v>
      </c>
      <c r="B489" s="69" t="s">
        <v>2613</v>
      </c>
      <c r="C489" s="70" t="s">
        <v>1976</v>
      </c>
      <c r="D489" s="70" t="s">
        <v>2610</v>
      </c>
      <c r="E489" s="72">
        <v>5</v>
      </c>
      <c r="F489" s="70"/>
      <c r="G489" s="70" t="str">
        <f>IFERROR(VLOOKUP(A489,[1]wms_iv_f!$A$1:$E$136,4,FALSE),"")</f>
        <v/>
      </c>
      <c r="H489" s="95" t="str">
        <f>IFERROR(VLOOKUP(A489,[2]wms_lc_f!$A$1:$B$156,2,FALSE),"")</f>
        <v>12-116-C3</v>
      </c>
    </row>
    <row r="490" spans="1:8">
      <c r="A490" s="77">
        <v>7487</v>
      </c>
      <c r="B490" s="69" t="s">
        <v>2613</v>
      </c>
      <c r="C490" s="70" t="s">
        <v>1050</v>
      </c>
      <c r="D490" s="70" t="s">
        <v>2610</v>
      </c>
      <c r="E490" s="72">
        <v>4</v>
      </c>
      <c r="F490" s="70"/>
      <c r="G490" s="70" t="str">
        <f>IFERROR(VLOOKUP(A490,[1]wms_iv_f!$A$1:$E$136,4,FALSE),"")</f>
        <v/>
      </c>
      <c r="H490" s="95" t="str">
        <f>IFERROR(VLOOKUP(A490,[2]wms_lc_f!$A$1:$B$156,2,FALSE),"")</f>
        <v/>
      </c>
    </row>
    <row r="491" spans="1:8">
      <c r="A491" s="77">
        <v>72112</v>
      </c>
      <c r="B491" s="69" t="s">
        <v>2613</v>
      </c>
      <c r="C491" s="76" t="s">
        <v>1051</v>
      </c>
      <c r="D491" s="76" t="s">
        <v>2610</v>
      </c>
      <c r="E491" s="72">
        <v>4</v>
      </c>
      <c r="F491" s="70"/>
      <c r="G491" s="70" t="str">
        <f>IFERROR(VLOOKUP(A491,[1]wms_iv_f!$A$1:$E$136,4,FALSE),"")</f>
        <v/>
      </c>
      <c r="H491" s="95" t="str">
        <f>IFERROR(VLOOKUP(A491,[2]wms_lc_f!$A$1:$B$156,2,FALSE),"")</f>
        <v/>
      </c>
    </row>
    <row r="492" spans="1:8">
      <c r="A492" s="77">
        <v>89151</v>
      </c>
      <c r="B492" s="69" t="s">
        <v>2613</v>
      </c>
      <c r="C492" s="70" t="s">
        <v>1052</v>
      </c>
      <c r="D492" s="70" t="s">
        <v>2610</v>
      </c>
      <c r="E492" s="72">
        <v>4</v>
      </c>
      <c r="F492" s="70"/>
      <c r="G492" s="70" t="str">
        <f>IFERROR(VLOOKUP(A492,[1]wms_iv_f!$A$1:$E$136,4,FALSE),"")</f>
        <v/>
      </c>
      <c r="H492" s="95" t="str">
        <f>IFERROR(VLOOKUP(A492,[2]wms_lc_f!$A$1:$B$156,2,FALSE),"")</f>
        <v>12-118-C7</v>
      </c>
    </row>
    <row r="493" spans="1:8">
      <c r="A493" s="77">
        <v>116915</v>
      </c>
      <c r="B493" s="69" t="s">
        <v>2613</v>
      </c>
      <c r="C493" s="70" t="s">
        <v>1053</v>
      </c>
      <c r="D493" s="70" t="s">
        <v>2610</v>
      </c>
      <c r="E493" s="72">
        <v>4</v>
      </c>
      <c r="F493" s="70"/>
      <c r="G493" s="70" t="str">
        <f>IFERROR(VLOOKUP(A493,[1]wms_iv_f!$A$1:$E$136,4,FALSE),"")</f>
        <v/>
      </c>
      <c r="H493" s="95" t="str">
        <f>IFERROR(VLOOKUP(A493,[2]wms_lc_f!$A$1:$B$156,2,FALSE),"")</f>
        <v/>
      </c>
    </row>
    <row r="494" spans="1:8">
      <c r="A494" s="77">
        <v>90532</v>
      </c>
      <c r="B494" s="69" t="s">
        <v>2613</v>
      </c>
      <c r="C494" s="70" t="s">
        <v>1054</v>
      </c>
      <c r="D494" s="70" t="s">
        <v>2610</v>
      </c>
      <c r="E494" s="72">
        <v>4</v>
      </c>
      <c r="F494" s="70"/>
      <c r="G494" s="70" t="str">
        <f>IFERROR(VLOOKUP(A494,[1]wms_iv_f!$A$1:$E$136,4,FALSE),"")</f>
        <v/>
      </c>
      <c r="H494" s="95" t="str">
        <f>IFERROR(VLOOKUP(A494,[2]wms_lc_f!$A$1:$B$156,2,FALSE),"")</f>
        <v/>
      </c>
    </row>
    <row r="495" spans="1:8">
      <c r="A495" s="71">
        <v>110165</v>
      </c>
      <c r="B495" s="69" t="s">
        <v>2613</v>
      </c>
      <c r="C495" s="70" t="s">
        <v>1277</v>
      </c>
      <c r="D495" s="70" t="s">
        <v>2610</v>
      </c>
      <c r="E495" s="72">
        <v>4</v>
      </c>
      <c r="F495" s="70"/>
      <c r="G495" s="70" t="str">
        <f>IFERROR(VLOOKUP(A495,[1]wms_iv_f!$A$1:$E$136,4,FALSE),"")</f>
        <v/>
      </c>
      <c r="H495" s="95" t="str">
        <f>IFERROR(VLOOKUP(A495,[2]wms_lc_f!$A$1:$B$156,2,FALSE),"")</f>
        <v/>
      </c>
    </row>
    <row r="496" spans="1:8">
      <c r="A496" s="71">
        <v>21218</v>
      </c>
      <c r="B496" s="69" t="s">
        <v>2613</v>
      </c>
      <c r="C496" s="70" t="s">
        <v>1278</v>
      </c>
      <c r="D496" s="70" t="s">
        <v>2610</v>
      </c>
      <c r="E496" s="72">
        <v>4</v>
      </c>
      <c r="F496" s="70"/>
      <c r="G496" s="70" t="str">
        <f>IFERROR(VLOOKUP(A496,[1]wms_iv_f!$A$1:$E$136,4,FALSE),"")</f>
        <v/>
      </c>
      <c r="H496" s="95" t="str">
        <f>IFERROR(VLOOKUP(A496,[2]wms_lc_f!$A$1:$B$156,2,FALSE),"")</f>
        <v>12-113-D2</v>
      </c>
    </row>
    <row r="497" spans="1:8">
      <c r="A497" s="71">
        <v>141176</v>
      </c>
      <c r="B497" s="69" t="s">
        <v>2613</v>
      </c>
      <c r="C497" s="70" t="s">
        <v>930</v>
      </c>
      <c r="D497" s="70" t="s">
        <v>2610</v>
      </c>
      <c r="E497" s="72">
        <v>4</v>
      </c>
      <c r="F497" s="70"/>
      <c r="G497" s="70" t="str">
        <f>IFERROR(VLOOKUP(A497,[1]wms_iv_f!$A$1:$E$136,4,FALSE),"")</f>
        <v/>
      </c>
      <c r="H497" s="95" t="str">
        <f>IFERROR(VLOOKUP(A497,[2]wms_lc_f!$A$1:$B$156,2,FALSE),"")</f>
        <v/>
      </c>
    </row>
    <row r="498" spans="1:8">
      <c r="A498" s="71">
        <v>65283</v>
      </c>
      <c r="B498" s="69" t="s">
        <v>2613</v>
      </c>
      <c r="C498" s="70" t="s">
        <v>931</v>
      </c>
      <c r="D498" s="70" t="s">
        <v>2610</v>
      </c>
      <c r="E498" s="72">
        <v>4</v>
      </c>
      <c r="F498" s="70"/>
      <c r="G498" s="70" t="str">
        <f>IFERROR(VLOOKUP(A498,[1]wms_iv_f!$A$1:$E$136,4,FALSE),"")</f>
        <v/>
      </c>
      <c r="H498" s="95" t="str">
        <f>IFERROR(VLOOKUP(A498,[2]wms_lc_f!$A$1:$B$156,2,FALSE),"")</f>
        <v/>
      </c>
    </row>
    <row r="499" spans="1:8">
      <c r="A499" s="71">
        <v>1111</v>
      </c>
      <c r="B499" s="69" t="s">
        <v>2613</v>
      </c>
      <c r="C499" s="70" t="s">
        <v>932</v>
      </c>
      <c r="D499" s="70" t="s">
        <v>2610</v>
      </c>
      <c r="E499" s="72">
        <v>4</v>
      </c>
      <c r="F499" s="70"/>
      <c r="G499" s="70" t="str">
        <f>IFERROR(VLOOKUP(A499,[1]wms_iv_f!$A$1:$E$136,4,FALSE),"")</f>
        <v/>
      </c>
      <c r="H499" s="95" t="str">
        <f>IFERROR(VLOOKUP(A499,[2]wms_lc_f!$A$1:$B$156,2,FALSE),"")</f>
        <v/>
      </c>
    </row>
    <row r="500" spans="1:8">
      <c r="A500" s="71">
        <v>3042</v>
      </c>
      <c r="B500" s="69" t="s">
        <v>2613</v>
      </c>
      <c r="C500" s="70" t="s">
        <v>933</v>
      </c>
      <c r="D500" s="70" t="s">
        <v>2610</v>
      </c>
      <c r="E500" s="72">
        <v>4</v>
      </c>
      <c r="F500" s="70"/>
      <c r="G500" s="70" t="str">
        <f>IFERROR(VLOOKUP(A500,[1]wms_iv_f!$A$1:$E$136,4,FALSE),"")</f>
        <v/>
      </c>
      <c r="H500" s="95" t="str">
        <f>IFERROR(VLOOKUP(A500,[2]wms_lc_f!$A$1:$B$156,2,FALSE),"")</f>
        <v>12-118-C1</v>
      </c>
    </row>
    <row r="501" spans="1:8">
      <c r="A501" s="71">
        <v>136385</v>
      </c>
      <c r="B501" s="69" t="s">
        <v>2613</v>
      </c>
      <c r="C501" s="70" t="s">
        <v>934</v>
      </c>
      <c r="D501" s="70" t="s">
        <v>2610</v>
      </c>
      <c r="E501" s="72">
        <v>4</v>
      </c>
      <c r="F501" s="70"/>
      <c r="G501" s="70" t="str">
        <f>IFERROR(VLOOKUP(A501,[1]wms_iv_f!$A$1:$E$136,4,FALSE),"")</f>
        <v/>
      </c>
      <c r="H501" s="95" t="str">
        <f>IFERROR(VLOOKUP(A501,[2]wms_lc_f!$A$1:$B$156,2,FALSE),"")</f>
        <v/>
      </c>
    </row>
    <row r="502" spans="1:8">
      <c r="A502" s="71">
        <v>138556</v>
      </c>
      <c r="B502" s="69" t="s">
        <v>2613</v>
      </c>
      <c r="C502" s="70" t="s">
        <v>935</v>
      </c>
      <c r="D502" s="70" t="s">
        <v>2610</v>
      </c>
      <c r="E502" s="72">
        <v>4</v>
      </c>
      <c r="F502" s="70"/>
      <c r="G502" s="70" t="str">
        <f>IFERROR(VLOOKUP(A502,[1]wms_iv_f!$A$1:$E$136,4,FALSE),"")</f>
        <v/>
      </c>
      <c r="H502" s="95" t="str">
        <f>IFERROR(VLOOKUP(A502,[2]wms_lc_f!$A$1:$B$156,2,FALSE),"")</f>
        <v/>
      </c>
    </row>
    <row r="503" spans="1:8">
      <c r="A503" s="71">
        <v>48962</v>
      </c>
      <c r="B503" s="69" t="s">
        <v>2613</v>
      </c>
      <c r="C503" s="70" t="s">
        <v>824</v>
      </c>
      <c r="D503" s="70" t="s">
        <v>2610</v>
      </c>
      <c r="E503" s="72">
        <v>4</v>
      </c>
      <c r="F503" s="70"/>
      <c r="G503" s="70" t="str">
        <f>IFERROR(VLOOKUP(A503,[1]wms_iv_f!$A$1:$E$136,4,FALSE),"")</f>
        <v/>
      </c>
      <c r="H503" s="95" t="str">
        <f>IFERROR(VLOOKUP(A503,[2]wms_lc_f!$A$1:$B$156,2,FALSE),"")</f>
        <v/>
      </c>
    </row>
    <row r="504" spans="1:8">
      <c r="A504" s="71">
        <v>39564</v>
      </c>
      <c r="B504" s="69" t="s">
        <v>2613</v>
      </c>
      <c r="C504" s="70" t="s">
        <v>1000</v>
      </c>
      <c r="D504" s="70" t="s">
        <v>2610</v>
      </c>
      <c r="E504" s="72">
        <v>4</v>
      </c>
      <c r="F504" s="70"/>
      <c r="G504" s="70" t="str">
        <f>IFERROR(VLOOKUP(A504,[1]wms_iv_f!$A$1:$E$136,4,FALSE),"")</f>
        <v/>
      </c>
      <c r="H504" s="95" t="str">
        <f>IFERROR(VLOOKUP(A504,[2]wms_lc_f!$A$1:$B$156,2,FALSE),"")</f>
        <v>12-115-B1</v>
      </c>
    </row>
    <row r="505" spans="1:8">
      <c r="A505" s="71">
        <v>59664</v>
      </c>
      <c r="B505" s="69" t="s">
        <v>2613</v>
      </c>
      <c r="C505" s="70" t="s">
        <v>995</v>
      </c>
      <c r="D505" s="70" t="s">
        <v>2610</v>
      </c>
      <c r="E505" s="72">
        <v>4</v>
      </c>
      <c r="F505" s="70"/>
      <c r="G505" s="70" t="str">
        <f>IFERROR(VLOOKUP(A505,[1]wms_iv_f!$A$1:$E$136,4,FALSE),"")</f>
        <v/>
      </c>
      <c r="H505" s="95" t="str">
        <f>IFERROR(VLOOKUP(A505,[2]wms_lc_f!$A$1:$B$156,2,FALSE),"")</f>
        <v/>
      </c>
    </row>
    <row r="506" spans="1:8">
      <c r="A506" s="71">
        <v>73225</v>
      </c>
      <c r="B506" s="69" t="s">
        <v>2613</v>
      </c>
      <c r="C506" s="70" t="s">
        <v>998</v>
      </c>
      <c r="D506" s="70" t="s">
        <v>2610</v>
      </c>
      <c r="E506" s="72">
        <v>4</v>
      </c>
      <c r="F506" s="70"/>
      <c r="G506" s="70" t="str">
        <f>IFERROR(VLOOKUP(A506,[1]wms_iv_f!$A$1:$E$136,4,FALSE),"")</f>
        <v/>
      </c>
      <c r="H506" s="95" t="str">
        <f>IFERROR(VLOOKUP(A506,[2]wms_lc_f!$A$1:$B$156,2,FALSE),"")</f>
        <v/>
      </c>
    </row>
    <row r="507" spans="1:8">
      <c r="A507" s="71">
        <v>124671</v>
      </c>
      <c r="B507" s="69" t="s">
        <v>2613</v>
      </c>
      <c r="C507" s="70" t="s">
        <v>996</v>
      </c>
      <c r="D507" s="70" t="s">
        <v>2610</v>
      </c>
      <c r="E507" s="72">
        <v>4</v>
      </c>
      <c r="F507" s="70"/>
      <c r="G507" s="70" t="str">
        <f>IFERROR(VLOOKUP(A507,[1]wms_iv_f!$A$1:$E$136,4,FALSE),"")</f>
        <v/>
      </c>
      <c r="H507" s="95" t="str">
        <f>IFERROR(VLOOKUP(A507,[2]wms_lc_f!$A$1:$B$156,2,FALSE),"")</f>
        <v/>
      </c>
    </row>
    <row r="508" spans="1:8">
      <c r="A508" s="71">
        <v>127245</v>
      </c>
      <c r="B508" s="69" t="s">
        <v>2613</v>
      </c>
      <c r="C508" s="70" t="s">
        <v>1006</v>
      </c>
      <c r="D508" s="70" t="s">
        <v>2610</v>
      </c>
      <c r="E508" s="72">
        <v>4</v>
      </c>
      <c r="F508" s="70"/>
      <c r="G508" s="70" t="str">
        <f>IFERROR(VLOOKUP(A508,[1]wms_iv_f!$A$1:$E$136,4,FALSE),"")</f>
        <v/>
      </c>
      <c r="H508" s="95" t="str">
        <f>IFERROR(VLOOKUP(A508,[2]wms_lc_f!$A$1:$B$156,2,FALSE),"")</f>
        <v>12-114-D5</v>
      </c>
    </row>
    <row r="509" spans="1:8">
      <c r="A509" s="71">
        <v>133848</v>
      </c>
      <c r="B509" s="69" t="s">
        <v>2613</v>
      </c>
      <c r="C509" s="70" t="s">
        <v>997</v>
      </c>
      <c r="D509" s="70" t="s">
        <v>2610</v>
      </c>
      <c r="E509" s="72">
        <v>4</v>
      </c>
      <c r="F509" s="70"/>
      <c r="G509" s="70" t="str">
        <f>IFERROR(VLOOKUP(A509,[1]wms_iv_f!$A$1:$E$136,4,FALSE),"")</f>
        <v/>
      </c>
      <c r="H509" s="95" t="str">
        <f>IFERROR(VLOOKUP(A509,[2]wms_lc_f!$A$1:$B$156,2,FALSE),"")</f>
        <v/>
      </c>
    </row>
    <row r="510" spans="1:8">
      <c r="A510" s="71">
        <v>137585</v>
      </c>
      <c r="B510" s="69" t="s">
        <v>2613</v>
      </c>
      <c r="C510" s="70" t="s">
        <v>1007</v>
      </c>
      <c r="D510" s="70" t="s">
        <v>2610</v>
      </c>
      <c r="E510" s="72">
        <v>4</v>
      </c>
      <c r="F510" s="70"/>
      <c r="G510" s="70" t="str">
        <f>IFERROR(VLOOKUP(A510,[1]wms_iv_f!$A$1:$E$136,4,FALSE),"")</f>
        <v/>
      </c>
      <c r="H510" s="95" t="str">
        <f>IFERROR(VLOOKUP(A510,[2]wms_lc_f!$A$1:$B$156,2,FALSE),"")</f>
        <v>12-118-C6</v>
      </c>
    </row>
    <row r="511" spans="1:8">
      <c r="A511" s="71">
        <v>142586</v>
      </c>
      <c r="B511" s="69" t="s">
        <v>2613</v>
      </c>
      <c r="C511" s="70" t="s">
        <v>1005</v>
      </c>
      <c r="D511" s="70" t="s">
        <v>2610</v>
      </c>
      <c r="E511" s="72">
        <v>4</v>
      </c>
      <c r="F511" s="70"/>
      <c r="G511" s="70" t="str">
        <f>IFERROR(VLOOKUP(A511,[1]wms_iv_f!$A$1:$E$136,4,FALSE),"")</f>
        <v/>
      </c>
      <c r="H511" s="95" t="str">
        <f>IFERROR(VLOOKUP(A511,[2]wms_lc_f!$A$1:$B$156,2,FALSE),"")</f>
        <v/>
      </c>
    </row>
    <row r="512" spans="1:8">
      <c r="A512" s="71">
        <v>137403</v>
      </c>
      <c r="B512" s="69" t="s">
        <v>2613</v>
      </c>
      <c r="C512" s="70" t="s">
        <v>881</v>
      </c>
      <c r="D512" s="70" t="s">
        <v>2610</v>
      </c>
      <c r="E512" s="72">
        <v>4</v>
      </c>
      <c r="F512" s="70"/>
      <c r="G512" s="70" t="str">
        <f>IFERROR(VLOOKUP(A512,[1]wms_iv_f!$A$1:$E$136,4,FALSE),"")</f>
        <v/>
      </c>
      <c r="H512" s="95" t="str">
        <f>IFERROR(VLOOKUP(A512,[2]wms_lc_f!$A$1:$B$156,2,FALSE),"")</f>
        <v/>
      </c>
    </row>
    <row r="513" spans="1:8">
      <c r="A513" s="71">
        <v>101109</v>
      </c>
      <c r="B513" s="69" t="s">
        <v>2613</v>
      </c>
      <c r="C513" s="70" t="s">
        <v>882</v>
      </c>
      <c r="D513" s="70" t="s">
        <v>2610</v>
      </c>
      <c r="E513" s="72">
        <v>4</v>
      </c>
      <c r="F513" s="70"/>
      <c r="G513" s="70" t="str">
        <f>IFERROR(VLOOKUP(A513,[1]wms_iv_f!$A$1:$E$136,4,FALSE),"")</f>
        <v/>
      </c>
      <c r="H513" s="95" t="str">
        <f>IFERROR(VLOOKUP(A513,[2]wms_lc_f!$A$1:$B$156,2,FALSE),"")</f>
        <v/>
      </c>
    </row>
    <row r="514" spans="1:8">
      <c r="A514" s="71">
        <v>79061</v>
      </c>
      <c r="B514" s="69" t="s">
        <v>2613</v>
      </c>
      <c r="C514" s="70" t="s">
        <v>883</v>
      </c>
      <c r="D514" s="70" t="s">
        <v>2610</v>
      </c>
      <c r="E514" s="72">
        <v>4</v>
      </c>
      <c r="F514" s="70"/>
      <c r="G514" s="70" t="str">
        <f>IFERROR(VLOOKUP(A514,[1]wms_iv_f!$A$1:$E$136,4,FALSE),"")</f>
        <v/>
      </c>
      <c r="H514" s="95" t="str">
        <f>IFERROR(VLOOKUP(A514,[2]wms_lc_f!$A$1:$B$156,2,FALSE),"")</f>
        <v>12-111-A1</v>
      </c>
    </row>
    <row r="515" spans="1:8">
      <c r="A515" s="71">
        <v>143762</v>
      </c>
      <c r="B515" s="69" t="s">
        <v>2613</v>
      </c>
      <c r="C515" s="70" t="s">
        <v>884</v>
      </c>
      <c r="D515" s="70" t="s">
        <v>2610</v>
      </c>
      <c r="E515" s="72">
        <v>4</v>
      </c>
      <c r="F515" s="70"/>
      <c r="G515" s="70" t="str">
        <f>IFERROR(VLOOKUP(A515,[1]wms_iv_f!$A$1:$E$136,4,FALSE),"")</f>
        <v/>
      </c>
      <c r="H515" s="95" t="str">
        <f>IFERROR(VLOOKUP(A515,[2]wms_lc_f!$A$1:$B$156,2,FALSE),"")</f>
        <v/>
      </c>
    </row>
    <row r="516" spans="1:8">
      <c r="A516" s="71">
        <v>82391</v>
      </c>
      <c r="B516" s="69" t="s">
        <v>2613</v>
      </c>
      <c r="C516" s="70" t="s">
        <v>885</v>
      </c>
      <c r="D516" s="70" t="s">
        <v>2610</v>
      </c>
      <c r="E516" s="72">
        <v>4</v>
      </c>
      <c r="F516" s="70"/>
      <c r="G516" s="70" t="str">
        <f>IFERROR(VLOOKUP(A516,[1]wms_iv_f!$A$1:$E$136,4,FALSE),"")</f>
        <v/>
      </c>
      <c r="H516" s="95" t="str">
        <f>IFERROR(VLOOKUP(A516,[2]wms_lc_f!$A$1:$B$156,2,FALSE),"")</f>
        <v>12-112-C5</v>
      </c>
    </row>
    <row r="517" spans="1:8">
      <c r="A517" s="71">
        <v>157091</v>
      </c>
      <c r="B517" s="69" t="s">
        <v>2613</v>
      </c>
      <c r="C517" s="70" t="s">
        <v>886</v>
      </c>
      <c r="D517" s="70" t="s">
        <v>2610</v>
      </c>
      <c r="E517" s="72">
        <v>4</v>
      </c>
      <c r="F517" s="70"/>
      <c r="G517" s="70" t="str">
        <f>IFERROR(VLOOKUP(A517,[1]wms_iv_f!$A$1:$E$136,4,FALSE),"")</f>
        <v/>
      </c>
      <c r="H517" s="95" t="str">
        <f>IFERROR(VLOOKUP(A517,[2]wms_lc_f!$A$1:$B$156,2,FALSE),"")</f>
        <v/>
      </c>
    </row>
    <row r="518" spans="1:8">
      <c r="A518" s="71">
        <v>100861</v>
      </c>
      <c r="B518" s="69" t="s">
        <v>2613</v>
      </c>
      <c r="C518" s="70" t="s">
        <v>893</v>
      </c>
      <c r="D518" s="70" t="s">
        <v>2610</v>
      </c>
      <c r="E518" s="72">
        <v>4</v>
      </c>
      <c r="F518" s="70"/>
      <c r="G518" s="70" t="str">
        <f>IFERROR(VLOOKUP(A518,[1]wms_iv_f!$A$1:$E$136,4,FALSE),"")</f>
        <v/>
      </c>
      <c r="H518" s="95" t="str">
        <f>IFERROR(VLOOKUP(A518,[2]wms_lc_f!$A$1:$B$156,2,FALSE),"")</f>
        <v/>
      </c>
    </row>
    <row r="519" spans="1:8">
      <c r="A519" s="71">
        <v>157702</v>
      </c>
      <c r="B519" s="69" t="s">
        <v>2613</v>
      </c>
      <c r="C519" s="70" t="s">
        <v>894</v>
      </c>
      <c r="D519" s="70" t="s">
        <v>2610</v>
      </c>
      <c r="E519" s="72">
        <v>4</v>
      </c>
      <c r="F519" s="70"/>
      <c r="G519" s="70" t="str">
        <f>IFERROR(VLOOKUP(A519,[1]wms_iv_f!$A$1:$E$136,4,FALSE),"")</f>
        <v/>
      </c>
      <c r="H519" s="95" t="str">
        <f>IFERROR(VLOOKUP(A519,[2]wms_lc_f!$A$1:$B$156,2,FALSE),"")</f>
        <v/>
      </c>
    </row>
    <row r="520" spans="1:8">
      <c r="A520" s="71">
        <v>110185</v>
      </c>
      <c r="B520" s="69" t="s">
        <v>2613</v>
      </c>
      <c r="C520" s="70" t="s">
        <v>895</v>
      </c>
      <c r="D520" s="70" t="s">
        <v>2610</v>
      </c>
      <c r="E520" s="72">
        <v>4</v>
      </c>
      <c r="F520" s="70"/>
      <c r="G520" s="70" t="str">
        <f>IFERROR(VLOOKUP(A520,[1]wms_iv_f!$A$1:$E$136,4,FALSE),"")</f>
        <v/>
      </c>
      <c r="H520" s="95" t="str">
        <f>IFERROR(VLOOKUP(A520,[2]wms_lc_f!$A$1:$B$156,2,FALSE),"")</f>
        <v/>
      </c>
    </row>
    <row r="521" spans="1:8">
      <c r="A521" s="71">
        <v>609</v>
      </c>
      <c r="B521" s="69" t="s">
        <v>2613</v>
      </c>
      <c r="C521" s="70" t="s">
        <v>896</v>
      </c>
      <c r="D521" s="70" t="s">
        <v>2610</v>
      </c>
      <c r="E521" s="72">
        <v>4</v>
      </c>
      <c r="F521" s="70"/>
      <c r="G521" s="70" t="str">
        <f>IFERROR(VLOOKUP(A521,[1]wms_iv_f!$A$1:$E$136,4,FALSE),"")</f>
        <v/>
      </c>
      <c r="H521" s="95" t="str">
        <f>IFERROR(VLOOKUP(A521,[2]wms_lc_f!$A$1:$B$156,2,FALSE),"")</f>
        <v>12-119-C2</v>
      </c>
    </row>
    <row r="522" spans="1:8">
      <c r="A522" s="71">
        <v>82833</v>
      </c>
      <c r="B522" s="69" t="s">
        <v>2613</v>
      </c>
      <c r="C522" s="70" t="s">
        <v>784</v>
      </c>
      <c r="D522" s="70" t="s">
        <v>2610</v>
      </c>
      <c r="E522" s="72">
        <v>4</v>
      </c>
      <c r="F522" s="70"/>
      <c r="G522" s="70" t="str">
        <f>IFERROR(VLOOKUP(A522,[1]wms_iv_f!$A$1:$E$136,4,FALSE),"")</f>
        <v/>
      </c>
      <c r="H522" s="95" t="str">
        <f>IFERROR(VLOOKUP(A522,[2]wms_lc_f!$A$1:$B$156,2,FALSE),"")</f>
        <v/>
      </c>
    </row>
    <row r="523" spans="1:8">
      <c r="A523" s="71">
        <v>137303</v>
      </c>
      <c r="B523" s="69" t="s">
        <v>2613</v>
      </c>
      <c r="C523" s="70" t="s">
        <v>785</v>
      </c>
      <c r="D523" s="70" t="s">
        <v>2610</v>
      </c>
      <c r="E523" s="72">
        <v>4</v>
      </c>
      <c r="F523" s="70"/>
      <c r="G523" s="70" t="str">
        <f>IFERROR(VLOOKUP(A523,[1]wms_iv_f!$A$1:$E$136,4,FALSE),"")</f>
        <v/>
      </c>
      <c r="H523" s="95" t="str">
        <f>IFERROR(VLOOKUP(A523,[2]wms_lc_f!$A$1:$B$156,2,FALSE),"")</f>
        <v/>
      </c>
    </row>
    <row r="524" spans="1:8">
      <c r="A524" s="71">
        <v>400</v>
      </c>
      <c r="B524" s="69" t="s">
        <v>2613</v>
      </c>
      <c r="C524" s="70" t="s">
        <v>2470</v>
      </c>
      <c r="D524" s="70" t="s">
        <v>2610</v>
      </c>
      <c r="E524" s="72">
        <v>4</v>
      </c>
      <c r="F524" s="70"/>
      <c r="G524" s="70" t="str">
        <f>IFERROR(VLOOKUP(A524,[1]wms_iv_f!$A$1:$E$136,4,FALSE),"")</f>
        <v/>
      </c>
      <c r="H524" s="95" t="str">
        <f>IFERROR(VLOOKUP(A524,[2]wms_lc_f!$A$1:$B$156,2,FALSE),"")</f>
        <v/>
      </c>
    </row>
    <row r="525" spans="1:8">
      <c r="A525" s="71">
        <v>7814</v>
      </c>
      <c r="B525" s="69" t="s">
        <v>2613</v>
      </c>
      <c r="C525" s="70" t="s">
        <v>2631</v>
      </c>
      <c r="D525" s="70" t="s">
        <v>2610</v>
      </c>
      <c r="E525" s="72">
        <v>4</v>
      </c>
      <c r="F525" s="70"/>
      <c r="G525" s="70" t="str">
        <f>IFERROR(VLOOKUP(A525,[1]wms_iv_f!$A$1:$E$136,4,FALSE),"")</f>
        <v/>
      </c>
      <c r="H525" s="95" t="str">
        <f>IFERROR(VLOOKUP(A525,[2]wms_lc_f!$A$1:$B$156,2,FALSE),"")</f>
        <v>12-111-C1</v>
      </c>
    </row>
    <row r="526" spans="1:8">
      <c r="A526" s="71">
        <v>155718</v>
      </c>
      <c r="B526" s="69" t="s">
        <v>2613</v>
      </c>
      <c r="C526" s="70" t="s">
        <v>2222</v>
      </c>
      <c r="D526" s="70" t="s">
        <v>2610</v>
      </c>
      <c r="E526" s="72">
        <v>4</v>
      </c>
      <c r="F526" s="70"/>
      <c r="G526" s="70" t="str">
        <f>IFERROR(VLOOKUP(A526,[1]wms_iv_f!$A$1:$E$136,4,FALSE),"")</f>
        <v/>
      </c>
      <c r="H526" s="95" t="str">
        <f>IFERROR(VLOOKUP(A526,[2]wms_lc_f!$A$1:$B$156,2,FALSE),"")</f>
        <v/>
      </c>
    </row>
    <row r="527" spans="1:8">
      <c r="A527" s="71">
        <v>110674</v>
      </c>
      <c r="B527" s="69" t="s">
        <v>2613</v>
      </c>
      <c r="C527" s="70" t="s">
        <v>2223</v>
      </c>
      <c r="D527" s="70" t="s">
        <v>2610</v>
      </c>
      <c r="E527" s="72">
        <v>4</v>
      </c>
      <c r="F527" s="70"/>
      <c r="G527" s="70" t="str">
        <f>IFERROR(VLOOKUP(A527,[1]wms_iv_f!$A$1:$E$136,4,FALSE),"")</f>
        <v/>
      </c>
      <c r="H527" s="95" t="str">
        <f>IFERROR(VLOOKUP(A527,[2]wms_lc_f!$A$1:$B$156,2,FALSE),"")</f>
        <v/>
      </c>
    </row>
    <row r="528" spans="1:8">
      <c r="A528" s="71">
        <v>22681</v>
      </c>
      <c r="B528" s="69" t="s">
        <v>2613</v>
      </c>
      <c r="C528" s="70" t="s">
        <v>2224</v>
      </c>
      <c r="D528" s="70" t="s">
        <v>2610</v>
      </c>
      <c r="E528" s="72">
        <v>4</v>
      </c>
      <c r="F528" s="70"/>
      <c r="G528" s="70" t="str">
        <f>IFERROR(VLOOKUP(A528,[1]wms_iv_f!$A$1:$E$136,4,FALSE),"")</f>
        <v/>
      </c>
      <c r="H528" s="95" t="str">
        <f>IFERROR(VLOOKUP(A528,[2]wms_lc_f!$A$1:$B$156,2,FALSE),"")</f>
        <v>12-114-D2</v>
      </c>
    </row>
    <row r="529" spans="1:8">
      <c r="A529" s="71">
        <v>120</v>
      </c>
      <c r="B529" s="69" t="s">
        <v>2613</v>
      </c>
      <c r="C529" s="70" t="s">
        <v>2225</v>
      </c>
      <c r="D529" s="70" t="s">
        <v>2610</v>
      </c>
      <c r="E529" s="72">
        <v>4</v>
      </c>
      <c r="F529" s="70"/>
      <c r="G529" s="70" t="str">
        <f>IFERROR(VLOOKUP(A529,[1]wms_iv_f!$A$1:$E$136,4,FALSE),"")</f>
        <v/>
      </c>
      <c r="H529" s="95" t="str">
        <f>IFERROR(VLOOKUP(A529,[2]wms_lc_f!$A$1:$B$156,2,FALSE),"")</f>
        <v>12-112-E4</v>
      </c>
    </row>
    <row r="530" spans="1:8">
      <c r="A530" s="71">
        <v>130152</v>
      </c>
      <c r="B530" s="69" t="s">
        <v>2613</v>
      </c>
      <c r="C530" s="70" t="s">
        <v>2226</v>
      </c>
      <c r="D530" s="70" t="s">
        <v>2610</v>
      </c>
      <c r="E530" s="72">
        <v>4</v>
      </c>
      <c r="F530" s="70"/>
      <c r="G530" s="70" t="str">
        <f>IFERROR(VLOOKUP(A530,[1]wms_iv_f!$A$1:$E$136,4,FALSE),"")</f>
        <v/>
      </c>
      <c r="H530" s="95" t="str">
        <f>IFERROR(VLOOKUP(A530,[2]wms_lc_f!$A$1:$B$156,2,FALSE),"")</f>
        <v>12-112-D1</v>
      </c>
    </row>
    <row r="531" spans="1:8">
      <c r="A531" s="71">
        <v>37944</v>
      </c>
      <c r="B531" s="69" t="s">
        <v>2613</v>
      </c>
      <c r="C531" s="70" t="s">
        <v>2013</v>
      </c>
      <c r="D531" s="70" t="s">
        <v>2610</v>
      </c>
      <c r="E531" s="72">
        <v>4</v>
      </c>
      <c r="F531" s="70"/>
      <c r="G531" s="70" t="str">
        <f>IFERROR(VLOOKUP(A531,[1]wms_iv_f!$A$1:$E$136,4,FALSE),"")</f>
        <v/>
      </c>
      <c r="H531" s="95" t="str">
        <f>IFERROR(VLOOKUP(A531,[2]wms_lc_f!$A$1:$B$156,2,FALSE),"")</f>
        <v/>
      </c>
    </row>
    <row r="532" spans="1:8">
      <c r="A532" s="71">
        <v>104727</v>
      </c>
      <c r="B532" s="69" t="s">
        <v>2613</v>
      </c>
      <c r="C532" s="70" t="s">
        <v>2298</v>
      </c>
      <c r="D532" s="70" t="s">
        <v>2610</v>
      </c>
      <c r="E532" s="72">
        <v>4</v>
      </c>
      <c r="F532" s="70"/>
      <c r="G532" s="70" t="str">
        <f>IFERROR(VLOOKUP(A532,[1]wms_iv_f!$A$1:$E$136,4,FALSE),"")</f>
        <v/>
      </c>
      <c r="H532" s="95" t="str">
        <f>IFERROR(VLOOKUP(A532,[2]wms_lc_f!$A$1:$B$156,2,FALSE),"")</f>
        <v/>
      </c>
    </row>
    <row r="533" spans="1:8">
      <c r="A533" s="71">
        <v>144252</v>
      </c>
      <c r="B533" s="69" t="s">
        <v>2613</v>
      </c>
      <c r="C533" s="70" t="s">
        <v>2299</v>
      </c>
      <c r="D533" s="70" t="s">
        <v>2610</v>
      </c>
      <c r="E533" s="72">
        <v>4</v>
      </c>
      <c r="F533" s="70"/>
      <c r="G533" s="70" t="str">
        <f>IFERROR(VLOOKUP(A533,[1]wms_iv_f!$A$1:$E$136,4,FALSE),"")</f>
        <v/>
      </c>
      <c r="H533" s="95" t="str">
        <f>IFERROR(VLOOKUP(A533,[2]wms_lc_f!$A$1:$B$156,2,FALSE),"")</f>
        <v/>
      </c>
    </row>
    <row r="534" spans="1:8">
      <c r="A534" s="71">
        <v>110682</v>
      </c>
      <c r="B534" s="69" t="s">
        <v>2613</v>
      </c>
      <c r="C534" s="70" t="s">
        <v>2300</v>
      </c>
      <c r="D534" s="70" t="s">
        <v>2610</v>
      </c>
      <c r="E534" s="72">
        <v>4</v>
      </c>
      <c r="F534" s="70"/>
      <c r="G534" s="70" t="str">
        <f>IFERROR(VLOOKUP(A534,[1]wms_iv_f!$A$1:$E$136,4,FALSE),"")</f>
        <v/>
      </c>
      <c r="H534" s="95" t="str">
        <f>IFERROR(VLOOKUP(A534,[2]wms_lc_f!$A$1:$B$156,2,FALSE),"")</f>
        <v/>
      </c>
    </row>
    <row r="535" spans="1:8">
      <c r="A535" s="71">
        <v>9555</v>
      </c>
      <c r="B535" s="69" t="s">
        <v>2613</v>
      </c>
      <c r="C535" s="70" t="s">
        <v>2301</v>
      </c>
      <c r="D535" s="70" t="s">
        <v>2610</v>
      </c>
      <c r="E535" s="72">
        <v>4</v>
      </c>
      <c r="F535" s="70"/>
      <c r="G535" s="70" t="str">
        <f>IFERROR(VLOOKUP(A535,[1]wms_iv_f!$A$1:$E$136,4,FALSE),"")</f>
        <v/>
      </c>
      <c r="H535" s="95" t="str">
        <f>IFERROR(VLOOKUP(A535,[2]wms_lc_f!$A$1:$B$156,2,FALSE),"")</f>
        <v>12-112-E1</v>
      </c>
    </row>
    <row r="536" spans="1:8">
      <c r="A536" s="71">
        <v>439</v>
      </c>
      <c r="B536" s="69" t="s">
        <v>2613</v>
      </c>
      <c r="C536" s="70" t="s">
        <v>2303</v>
      </c>
      <c r="D536" s="70" t="s">
        <v>2610</v>
      </c>
      <c r="E536" s="72">
        <v>4</v>
      </c>
      <c r="F536" s="70"/>
      <c r="G536" s="70" t="str">
        <f>IFERROR(VLOOKUP(A536,[1]wms_iv_f!$A$1:$E$136,4,FALSE),"")</f>
        <v/>
      </c>
      <c r="H536" s="95" t="str">
        <f>IFERROR(VLOOKUP(A536,[2]wms_lc_f!$A$1:$B$156,2,FALSE),"")</f>
        <v/>
      </c>
    </row>
    <row r="537" spans="1:8">
      <c r="A537" s="71">
        <v>42861</v>
      </c>
      <c r="B537" s="69" t="s">
        <v>2613</v>
      </c>
      <c r="C537" s="70" t="s">
        <v>2305</v>
      </c>
      <c r="D537" s="70" t="s">
        <v>2610</v>
      </c>
      <c r="E537" s="72">
        <v>4</v>
      </c>
      <c r="F537" s="70"/>
      <c r="G537" s="70" t="str">
        <f>IFERROR(VLOOKUP(A537,[1]wms_iv_f!$A$1:$E$136,4,FALSE),"")</f>
        <v/>
      </c>
      <c r="H537" s="95" t="str">
        <f>IFERROR(VLOOKUP(A537,[2]wms_lc_f!$A$1:$B$156,2,FALSE),"")</f>
        <v>12-116-E8</v>
      </c>
    </row>
    <row r="538" spans="1:8">
      <c r="A538" s="71">
        <v>31457</v>
      </c>
      <c r="B538" s="69" t="s">
        <v>2613</v>
      </c>
      <c r="C538" s="70" t="s">
        <v>2306</v>
      </c>
      <c r="D538" s="70" t="s">
        <v>2610</v>
      </c>
      <c r="E538" s="72">
        <v>4</v>
      </c>
      <c r="F538" s="70"/>
      <c r="G538" s="70" t="str">
        <f>IFERROR(VLOOKUP(A538,[1]wms_iv_f!$A$1:$E$136,4,FALSE),"")</f>
        <v/>
      </c>
      <c r="H538" s="95" t="str">
        <f>IFERROR(VLOOKUP(A538,[2]wms_lc_f!$A$1:$B$156,2,FALSE),"")</f>
        <v/>
      </c>
    </row>
    <row r="539" spans="1:8">
      <c r="A539" s="71">
        <v>60044</v>
      </c>
      <c r="B539" s="69" t="s">
        <v>2613</v>
      </c>
      <c r="C539" s="70" t="s">
        <v>2181</v>
      </c>
      <c r="D539" s="70" t="s">
        <v>2610</v>
      </c>
      <c r="E539" s="72">
        <v>4</v>
      </c>
      <c r="F539" s="70"/>
      <c r="G539" s="70" t="str">
        <f>IFERROR(VLOOKUP(A539,[1]wms_iv_f!$A$1:$E$136,4,FALSE),"")</f>
        <v/>
      </c>
      <c r="H539" s="95" t="str">
        <f>IFERROR(VLOOKUP(A539,[2]wms_lc_f!$A$1:$B$156,2,FALSE),"")</f>
        <v/>
      </c>
    </row>
    <row r="540" spans="1:8">
      <c r="A540" s="71">
        <v>100751</v>
      </c>
      <c r="B540" s="69" t="s">
        <v>2613</v>
      </c>
      <c r="C540" s="70" t="s">
        <v>2182</v>
      </c>
      <c r="D540" s="70" t="s">
        <v>2610</v>
      </c>
      <c r="E540" s="72">
        <v>4</v>
      </c>
      <c r="F540" s="70"/>
      <c r="G540" s="70" t="str">
        <f>IFERROR(VLOOKUP(A540,[1]wms_iv_f!$A$1:$E$136,4,FALSE),"")</f>
        <v/>
      </c>
      <c r="H540" s="95" t="str">
        <f>IFERROR(VLOOKUP(A540,[2]wms_lc_f!$A$1:$B$156,2,FALSE),"")</f>
        <v/>
      </c>
    </row>
    <row r="541" spans="1:8">
      <c r="A541" s="71">
        <v>108226</v>
      </c>
      <c r="B541" s="69" t="s">
        <v>2613</v>
      </c>
      <c r="C541" s="70" t="s">
        <v>2183</v>
      </c>
      <c r="D541" s="70" t="s">
        <v>2610</v>
      </c>
      <c r="E541" s="72">
        <v>4</v>
      </c>
      <c r="F541" s="70"/>
      <c r="G541" s="70" t="str">
        <f>IFERROR(VLOOKUP(A541,[1]wms_iv_f!$A$1:$E$136,4,FALSE),"")</f>
        <v/>
      </c>
      <c r="H541" s="95" t="str">
        <f>IFERROR(VLOOKUP(A541,[2]wms_lc_f!$A$1:$B$156,2,FALSE),"")</f>
        <v/>
      </c>
    </row>
    <row r="542" spans="1:8">
      <c r="A542" s="71">
        <v>123719</v>
      </c>
      <c r="B542" s="69" t="s">
        <v>2613</v>
      </c>
      <c r="C542" s="70" t="s">
        <v>2184</v>
      </c>
      <c r="D542" s="70" t="s">
        <v>2610</v>
      </c>
      <c r="E542" s="72">
        <v>4</v>
      </c>
      <c r="F542" s="70"/>
      <c r="G542" s="70" t="str">
        <f>IFERROR(VLOOKUP(A542,[1]wms_iv_f!$A$1:$E$136,4,FALSE),"")</f>
        <v/>
      </c>
      <c r="H542" s="95" t="str">
        <f>IFERROR(VLOOKUP(A542,[2]wms_lc_f!$A$1:$B$156,2,FALSE),"")</f>
        <v/>
      </c>
    </row>
    <row r="543" spans="1:8">
      <c r="A543" s="71">
        <v>1172</v>
      </c>
      <c r="B543" s="69" t="s">
        <v>2613</v>
      </c>
      <c r="C543" s="70" t="s">
        <v>2632</v>
      </c>
      <c r="D543" s="70" t="s">
        <v>2610</v>
      </c>
      <c r="E543" s="72">
        <v>4</v>
      </c>
      <c r="F543" s="70"/>
      <c r="G543" s="70" t="str">
        <f>IFERROR(VLOOKUP(A543,[1]wms_iv_f!$A$1:$E$136,4,FALSE),"")</f>
        <v/>
      </c>
      <c r="H543" s="95" t="str">
        <f>IFERROR(VLOOKUP(A543,[2]wms_lc_f!$A$1:$B$156,2,FALSE),"")</f>
        <v>12-110-C4</v>
      </c>
    </row>
    <row r="544" spans="1:8">
      <c r="A544" s="71">
        <v>118894</v>
      </c>
      <c r="B544" s="69" t="s">
        <v>2613</v>
      </c>
      <c r="C544" s="70" t="s">
        <v>2185</v>
      </c>
      <c r="D544" s="70" t="s">
        <v>2610</v>
      </c>
      <c r="E544" s="72">
        <v>4</v>
      </c>
      <c r="F544" s="70"/>
      <c r="G544" s="70" t="str">
        <f>IFERROR(VLOOKUP(A544,[1]wms_iv_f!$A$1:$E$136,4,FALSE),"")</f>
        <v/>
      </c>
      <c r="H544" s="95" t="str">
        <f>IFERROR(VLOOKUP(A544,[2]wms_lc_f!$A$1:$B$156,2,FALSE),"")</f>
        <v>12-116-C4</v>
      </c>
    </row>
    <row r="545" spans="1:8">
      <c r="A545" s="71">
        <v>73967</v>
      </c>
      <c r="B545" s="69" t="s">
        <v>2613</v>
      </c>
      <c r="C545" s="70" t="s">
        <v>2186</v>
      </c>
      <c r="D545" s="70" t="s">
        <v>2610</v>
      </c>
      <c r="E545" s="72">
        <v>4</v>
      </c>
      <c r="F545" s="70"/>
      <c r="G545" s="70" t="str">
        <f>IFERROR(VLOOKUP(A545,[1]wms_iv_f!$A$1:$E$136,4,FALSE),"")</f>
        <v/>
      </c>
      <c r="H545" s="95" t="str">
        <f>IFERROR(VLOOKUP(A545,[2]wms_lc_f!$A$1:$B$156,2,FALSE),"")</f>
        <v/>
      </c>
    </row>
    <row r="546" spans="1:8">
      <c r="A546" s="71">
        <v>28410</v>
      </c>
      <c r="B546" s="69" t="s">
        <v>2613</v>
      </c>
      <c r="C546" s="70" t="s">
        <v>1279</v>
      </c>
      <c r="D546" s="70" t="s">
        <v>2610</v>
      </c>
      <c r="E546" s="72">
        <v>3</v>
      </c>
      <c r="F546" s="70"/>
      <c r="G546" s="70" t="str">
        <f>IFERROR(VLOOKUP(A546,[1]wms_iv_f!$A$1:$E$136,4,FALSE),"")</f>
        <v/>
      </c>
      <c r="H546" s="95" t="str">
        <f>IFERROR(VLOOKUP(A546,[2]wms_lc_f!$A$1:$B$156,2,FALSE),"")</f>
        <v/>
      </c>
    </row>
    <row r="547" spans="1:8">
      <c r="A547" s="71">
        <v>156055</v>
      </c>
      <c r="B547" s="69" t="s">
        <v>2613</v>
      </c>
      <c r="C547" s="70" t="s">
        <v>1281</v>
      </c>
      <c r="D547" s="70" t="s">
        <v>2610</v>
      </c>
      <c r="E547" s="72">
        <v>3</v>
      </c>
      <c r="F547" s="70"/>
      <c r="G547" s="70" t="str">
        <f>IFERROR(VLOOKUP(A547,[1]wms_iv_f!$A$1:$E$136,4,FALSE),"")</f>
        <v/>
      </c>
      <c r="H547" s="95" t="str">
        <f>IFERROR(VLOOKUP(A547,[2]wms_lc_f!$A$1:$B$156,2,FALSE),"")</f>
        <v/>
      </c>
    </row>
    <row r="548" spans="1:8">
      <c r="A548" s="71">
        <v>157879</v>
      </c>
      <c r="B548" s="69" t="s">
        <v>2613</v>
      </c>
      <c r="C548" s="70" t="s">
        <v>1282</v>
      </c>
      <c r="D548" s="70" t="s">
        <v>2610</v>
      </c>
      <c r="E548" s="72">
        <v>3</v>
      </c>
      <c r="F548" s="70"/>
      <c r="G548" s="70" t="str">
        <f>IFERROR(VLOOKUP(A548,[1]wms_iv_f!$A$1:$E$136,4,FALSE),"")</f>
        <v/>
      </c>
      <c r="H548" s="95" t="str">
        <f>IFERROR(VLOOKUP(A548,[2]wms_lc_f!$A$1:$B$156,2,FALSE),"")</f>
        <v/>
      </c>
    </row>
    <row r="549" spans="1:8">
      <c r="A549" s="71">
        <v>122319</v>
      </c>
      <c r="B549" s="69" t="s">
        <v>2613</v>
      </c>
      <c r="C549" s="70" t="s">
        <v>1055</v>
      </c>
      <c r="D549" s="70" t="s">
        <v>2610</v>
      </c>
      <c r="E549" s="72">
        <v>3</v>
      </c>
      <c r="F549" s="70"/>
      <c r="G549" s="70" t="str">
        <f>IFERROR(VLOOKUP(A549,[1]wms_iv_f!$A$1:$E$136,4,FALSE),"")</f>
        <v/>
      </c>
      <c r="H549" s="95" t="str">
        <f>IFERROR(VLOOKUP(A549,[2]wms_lc_f!$A$1:$B$156,2,FALSE),"")</f>
        <v/>
      </c>
    </row>
    <row r="550" spans="1:8">
      <c r="A550" s="71">
        <v>111866</v>
      </c>
      <c r="B550" s="69" t="s">
        <v>2613</v>
      </c>
      <c r="C550" s="70" t="s">
        <v>1056</v>
      </c>
      <c r="D550" s="70" t="s">
        <v>2610</v>
      </c>
      <c r="E550" s="72">
        <v>3</v>
      </c>
      <c r="F550" s="70"/>
      <c r="G550" s="70" t="str">
        <f>IFERROR(VLOOKUP(A550,[1]wms_iv_f!$A$1:$E$136,4,FALSE),"")</f>
        <v/>
      </c>
      <c r="H550" s="95" t="str">
        <f>IFERROR(VLOOKUP(A550,[2]wms_lc_f!$A$1:$B$156,2,FALSE),"")</f>
        <v/>
      </c>
    </row>
    <row r="551" spans="1:8">
      <c r="A551" s="71">
        <v>65037</v>
      </c>
      <c r="B551" s="69" t="s">
        <v>2613</v>
      </c>
      <c r="C551" s="70" t="s">
        <v>1057</v>
      </c>
      <c r="D551" s="70" t="s">
        <v>2610</v>
      </c>
      <c r="E551" s="72">
        <v>3</v>
      </c>
      <c r="F551" s="70"/>
      <c r="G551" s="70" t="str">
        <f>IFERROR(VLOOKUP(A551,[1]wms_iv_f!$A$1:$E$136,4,FALSE),"")</f>
        <v/>
      </c>
      <c r="H551" s="95" t="str">
        <f>IFERROR(VLOOKUP(A551,[2]wms_lc_f!$A$1:$B$156,2,FALSE),"")</f>
        <v>12-118-C8</v>
      </c>
    </row>
    <row r="552" spans="1:8">
      <c r="A552" s="71">
        <v>135941</v>
      </c>
      <c r="B552" s="69" t="s">
        <v>2613</v>
      </c>
      <c r="C552" s="70" t="s">
        <v>1058</v>
      </c>
      <c r="D552" s="70" t="s">
        <v>2610</v>
      </c>
      <c r="E552" s="72">
        <v>3</v>
      </c>
      <c r="F552" s="70"/>
      <c r="G552" s="70" t="str">
        <f>IFERROR(VLOOKUP(A552,[1]wms_iv_f!$A$1:$E$136,4,FALSE),"")</f>
        <v/>
      </c>
      <c r="H552" s="95" t="str">
        <f>IFERROR(VLOOKUP(A552,[2]wms_lc_f!$A$1:$B$156,2,FALSE),"")</f>
        <v/>
      </c>
    </row>
    <row r="553" spans="1:8">
      <c r="A553" s="71">
        <v>97220</v>
      </c>
      <c r="B553" s="69" t="s">
        <v>2613</v>
      </c>
      <c r="C553" s="70" t="s">
        <v>1059</v>
      </c>
      <c r="D553" s="70" t="s">
        <v>2610</v>
      </c>
      <c r="E553" s="72">
        <v>3</v>
      </c>
      <c r="F553" s="70"/>
      <c r="G553" s="70" t="str">
        <f>IFERROR(VLOOKUP(A553,[1]wms_iv_f!$A$1:$E$136,4,FALSE),"")</f>
        <v/>
      </c>
      <c r="H553" s="95" t="str">
        <f>IFERROR(VLOOKUP(A553,[2]wms_lc_f!$A$1:$B$156,2,FALSE),"")</f>
        <v/>
      </c>
    </row>
    <row r="554" spans="1:8">
      <c r="A554" s="71">
        <v>1011</v>
      </c>
      <c r="B554" s="69" t="s">
        <v>2613</v>
      </c>
      <c r="C554" s="70" t="s">
        <v>1060</v>
      </c>
      <c r="D554" s="70" t="s">
        <v>2610</v>
      </c>
      <c r="E554" s="72">
        <v>3</v>
      </c>
      <c r="F554" s="70"/>
      <c r="G554" s="70" t="str">
        <f>IFERROR(VLOOKUP(A554,[1]wms_iv_f!$A$1:$E$136,4,FALSE),"")</f>
        <v/>
      </c>
      <c r="H554" s="95" t="str">
        <f>IFERROR(VLOOKUP(A554,[2]wms_lc_f!$A$1:$B$156,2,FALSE),"")</f>
        <v>12-114-C7</v>
      </c>
    </row>
    <row r="555" spans="1:8">
      <c r="A555" s="71">
        <v>1171</v>
      </c>
      <c r="B555" s="69" t="s">
        <v>2613</v>
      </c>
      <c r="C555" s="70" t="s">
        <v>1169</v>
      </c>
      <c r="D555" s="70" t="s">
        <v>2610</v>
      </c>
      <c r="E555" s="72">
        <v>3</v>
      </c>
      <c r="F555" s="70"/>
      <c r="G555" s="70" t="str">
        <f>IFERROR(VLOOKUP(A555,[1]wms_iv_f!$A$1:$E$136,4,FALSE),"")</f>
        <v/>
      </c>
      <c r="H555" s="95" t="str">
        <f>IFERROR(VLOOKUP(A555,[2]wms_lc_f!$A$1:$B$156,2,FALSE),"")</f>
        <v>12-112-D6</v>
      </c>
    </row>
    <row r="556" spans="1:8">
      <c r="A556" s="71">
        <v>5284</v>
      </c>
      <c r="B556" s="69" t="s">
        <v>2613</v>
      </c>
      <c r="C556" s="70" t="s">
        <v>1171</v>
      </c>
      <c r="D556" s="70" t="s">
        <v>2610</v>
      </c>
      <c r="E556" s="72">
        <v>3</v>
      </c>
      <c r="F556" s="70"/>
      <c r="G556" s="70" t="str">
        <f>IFERROR(VLOOKUP(A556,[1]wms_iv_f!$A$1:$E$136,4,FALSE),"")</f>
        <v/>
      </c>
      <c r="H556" s="95" t="str">
        <f>IFERROR(VLOOKUP(A556,[2]wms_lc_f!$A$1:$B$156,2,FALSE),"")</f>
        <v>12-110-E3</v>
      </c>
    </row>
    <row r="557" spans="1:8">
      <c r="A557" s="71">
        <v>114318</v>
      </c>
      <c r="B557" s="69" t="s">
        <v>2613</v>
      </c>
      <c r="C557" s="70" t="s">
        <v>1172</v>
      </c>
      <c r="D557" s="70" t="s">
        <v>2610</v>
      </c>
      <c r="E557" s="72">
        <v>3</v>
      </c>
      <c r="F557" s="70"/>
      <c r="G557" s="70" t="str">
        <f>IFERROR(VLOOKUP(A557,[1]wms_iv_f!$A$1:$E$136,4,FALSE),"")</f>
        <v/>
      </c>
      <c r="H557" s="95" t="str">
        <f>IFERROR(VLOOKUP(A557,[2]wms_lc_f!$A$1:$B$156,2,FALSE),"")</f>
        <v/>
      </c>
    </row>
    <row r="558" spans="1:8">
      <c r="A558" s="71">
        <v>804</v>
      </c>
      <c r="B558" s="69" t="s">
        <v>2613</v>
      </c>
      <c r="C558" s="70" t="s">
        <v>712</v>
      </c>
      <c r="D558" s="70" t="s">
        <v>2610</v>
      </c>
      <c r="E558" s="72">
        <v>3</v>
      </c>
      <c r="F558" s="70"/>
      <c r="G558" s="70" t="str">
        <f>IFERROR(VLOOKUP(A558,[1]wms_iv_f!$A$1:$E$136,4,FALSE),"")</f>
        <v/>
      </c>
      <c r="H558" s="95" t="str">
        <f>IFERROR(VLOOKUP(A558,[2]wms_lc_f!$A$1:$B$156,2,FALSE),"")</f>
        <v/>
      </c>
    </row>
    <row r="559" spans="1:8">
      <c r="A559" s="71">
        <v>93413</v>
      </c>
      <c r="B559" s="69" t="s">
        <v>2613</v>
      </c>
      <c r="C559" s="70" t="s">
        <v>715</v>
      </c>
      <c r="D559" s="70" t="s">
        <v>2610</v>
      </c>
      <c r="E559" s="72">
        <v>3</v>
      </c>
      <c r="F559" s="70"/>
      <c r="G559" s="70" t="str">
        <f>IFERROR(VLOOKUP(A559,[1]wms_iv_f!$A$1:$E$136,4,FALSE),"")</f>
        <v/>
      </c>
      <c r="H559" s="95" t="str">
        <f>IFERROR(VLOOKUP(A559,[2]wms_lc_f!$A$1:$B$156,2,FALSE),"")</f>
        <v/>
      </c>
    </row>
    <row r="560" spans="1:8">
      <c r="A560" s="71">
        <v>10464</v>
      </c>
      <c r="B560" s="69" t="s">
        <v>2613</v>
      </c>
      <c r="C560" s="70" t="s">
        <v>716</v>
      </c>
      <c r="D560" s="70" t="s">
        <v>2610</v>
      </c>
      <c r="E560" s="72">
        <v>3</v>
      </c>
      <c r="F560" s="70"/>
      <c r="G560" s="70" t="str">
        <f>IFERROR(VLOOKUP(A560,[1]wms_iv_f!$A$1:$E$136,4,FALSE),"")</f>
        <v/>
      </c>
      <c r="H560" s="95" t="str">
        <f>IFERROR(VLOOKUP(A560,[2]wms_lc_f!$A$1:$B$156,2,FALSE),"")</f>
        <v/>
      </c>
    </row>
    <row r="561" spans="1:8">
      <c r="A561" s="71">
        <v>310</v>
      </c>
      <c r="B561" s="69" t="s">
        <v>2613</v>
      </c>
      <c r="C561" s="70" t="s">
        <v>717</v>
      </c>
      <c r="D561" s="70" t="s">
        <v>2610</v>
      </c>
      <c r="E561" s="72">
        <v>3</v>
      </c>
      <c r="F561" s="70"/>
      <c r="G561" s="70" t="str">
        <f>IFERROR(VLOOKUP(A561,[1]wms_iv_f!$A$1:$E$136,4,FALSE),"")</f>
        <v/>
      </c>
      <c r="H561" s="95" t="str">
        <f>IFERROR(VLOOKUP(A561,[2]wms_lc_f!$A$1:$B$156,2,FALSE),"")</f>
        <v/>
      </c>
    </row>
    <row r="562" spans="1:8">
      <c r="A562" s="71">
        <v>114040</v>
      </c>
      <c r="B562" s="69" t="s">
        <v>2613</v>
      </c>
      <c r="C562" s="70" t="s">
        <v>936</v>
      </c>
      <c r="D562" s="70" t="s">
        <v>2610</v>
      </c>
      <c r="E562" s="72">
        <v>3</v>
      </c>
      <c r="F562" s="70"/>
      <c r="G562" s="70" t="str">
        <f>IFERROR(VLOOKUP(A562,[1]wms_iv_f!$A$1:$E$136,4,FALSE),"")</f>
        <v/>
      </c>
      <c r="H562" s="95" t="str">
        <f>IFERROR(VLOOKUP(A562,[2]wms_lc_f!$A$1:$B$156,2,FALSE),"")</f>
        <v/>
      </c>
    </row>
    <row r="563" spans="1:8">
      <c r="A563" s="71">
        <v>110683</v>
      </c>
      <c r="B563" s="69" t="s">
        <v>2613</v>
      </c>
      <c r="C563" s="70" t="s">
        <v>937</v>
      </c>
      <c r="D563" s="70" t="s">
        <v>2610</v>
      </c>
      <c r="E563" s="72">
        <v>3</v>
      </c>
      <c r="F563" s="70"/>
      <c r="G563" s="70" t="str">
        <f>IFERROR(VLOOKUP(A563,[1]wms_iv_f!$A$1:$E$136,4,FALSE),"")</f>
        <v/>
      </c>
      <c r="H563" s="95" t="str">
        <f>IFERROR(VLOOKUP(A563,[2]wms_lc_f!$A$1:$B$156,2,FALSE),"")</f>
        <v/>
      </c>
    </row>
    <row r="564" spans="1:8">
      <c r="A564" s="71">
        <v>119995</v>
      </c>
      <c r="B564" s="69" t="s">
        <v>2613</v>
      </c>
      <c r="C564" s="70" t="s">
        <v>938</v>
      </c>
      <c r="D564" s="70" t="s">
        <v>2610</v>
      </c>
      <c r="E564" s="72">
        <v>3</v>
      </c>
      <c r="F564" s="70"/>
      <c r="G564" s="70" t="str">
        <f>IFERROR(VLOOKUP(A564,[1]wms_iv_f!$A$1:$E$136,4,FALSE),"")</f>
        <v/>
      </c>
      <c r="H564" s="95" t="str">
        <f>IFERROR(VLOOKUP(A564,[2]wms_lc_f!$A$1:$B$156,2,FALSE),"")</f>
        <v>12-110-D6</v>
      </c>
    </row>
    <row r="565" spans="1:8">
      <c r="A565" s="71">
        <v>69380</v>
      </c>
      <c r="B565" s="69" t="s">
        <v>2613</v>
      </c>
      <c r="C565" s="70" t="s">
        <v>939</v>
      </c>
      <c r="D565" s="70" t="s">
        <v>2610</v>
      </c>
      <c r="E565" s="72">
        <v>3</v>
      </c>
      <c r="F565" s="70"/>
      <c r="G565" s="70" t="str">
        <f>IFERROR(VLOOKUP(A565,[1]wms_iv_f!$A$1:$E$136,4,FALSE),"")</f>
        <v/>
      </c>
      <c r="H565" s="95" t="str">
        <f>IFERROR(VLOOKUP(A565,[2]wms_lc_f!$A$1:$B$156,2,FALSE),"")</f>
        <v/>
      </c>
    </row>
    <row r="566" spans="1:8">
      <c r="A566" s="71">
        <v>31435</v>
      </c>
      <c r="B566" s="69" t="s">
        <v>2613</v>
      </c>
      <c r="C566" s="70" t="s">
        <v>940</v>
      </c>
      <c r="D566" s="70" t="s">
        <v>2610</v>
      </c>
      <c r="E566" s="72">
        <v>3</v>
      </c>
      <c r="F566" s="70"/>
      <c r="G566" s="70" t="str">
        <f>IFERROR(VLOOKUP(A566,[1]wms_iv_f!$A$1:$E$136,4,FALSE),"")</f>
        <v/>
      </c>
      <c r="H566" s="95" t="str">
        <f>IFERROR(VLOOKUP(A566,[2]wms_lc_f!$A$1:$B$156,2,FALSE),"")</f>
        <v/>
      </c>
    </row>
    <row r="567" spans="1:8">
      <c r="A567" s="71">
        <v>50054</v>
      </c>
      <c r="B567" s="69" t="s">
        <v>2613</v>
      </c>
      <c r="C567" s="70" t="s">
        <v>941</v>
      </c>
      <c r="D567" s="70" t="s">
        <v>2610</v>
      </c>
      <c r="E567" s="72">
        <v>3</v>
      </c>
      <c r="F567" s="70"/>
      <c r="G567" s="70" t="str">
        <f>IFERROR(VLOOKUP(A567,[1]wms_iv_f!$A$1:$E$136,4,FALSE),"")</f>
        <v/>
      </c>
      <c r="H567" s="95" t="str">
        <f>IFERROR(VLOOKUP(A567,[2]wms_lc_f!$A$1:$B$156,2,FALSE),"")</f>
        <v>12-118-E7</v>
      </c>
    </row>
    <row r="568" spans="1:8">
      <c r="A568" s="71">
        <v>79984</v>
      </c>
      <c r="B568" s="69" t="s">
        <v>2613</v>
      </c>
      <c r="C568" s="70" t="s">
        <v>827</v>
      </c>
      <c r="D568" s="70" t="s">
        <v>2610</v>
      </c>
      <c r="E568" s="72">
        <v>3</v>
      </c>
      <c r="F568" s="70"/>
      <c r="G568" s="70" t="str">
        <f>IFERROR(VLOOKUP(A568,[1]wms_iv_f!$A$1:$E$136,4,FALSE),"")</f>
        <v/>
      </c>
      <c r="H568" s="95" t="str">
        <f>IFERROR(VLOOKUP(A568,[2]wms_lc_f!$A$1:$B$156,2,FALSE),"")</f>
        <v/>
      </c>
    </row>
    <row r="569" spans="1:8">
      <c r="A569" s="71">
        <v>138555</v>
      </c>
      <c r="B569" s="69" t="s">
        <v>2613</v>
      </c>
      <c r="C569" s="70" t="s">
        <v>828</v>
      </c>
      <c r="D569" s="70" t="s">
        <v>2610</v>
      </c>
      <c r="E569" s="72">
        <v>3</v>
      </c>
      <c r="F569" s="70"/>
      <c r="G569" s="70" t="str">
        <f>IFERROR(VLOOKUP(A569,[1]wms_iv_f!$A$1:$E$136,4,FALSE),"")</f>
        <v/>
      </c>
      <c r="H569" s="95" t="str">
        <f>IFERROR(VLOOKUP(A569,[2]wms_lc_f!$A$1:$B$156,2,FALSE),"")</f>
        <v/>
      </c>
    </row>
    <row r="570" spans="1:8">
      <c r="A570" s="71">
        <v>474</v>
      </c>
      <c r="B570" s="69" t="s">
        <v>2613</v>
      </c>
      <c r="C570" s="70" t="s">
        <v>829</v>
      </c>
      <c r="D570" s="70" t="s">
        <v>2610</v>
      </c>
      <c r="E570" s="72">
        <v>3</v>
      </c>
      <c r="F570" s="70"/>
      <c r="G570" s="70" t="str">
        <f>IFERROR(VLOOKUP(A570,[1]wms_iv_f!$A$1:$E$136,4,FALSE),"")</f>
        <v/>
      </c>
      <c r="H570" s="95" t="str">
        <f>IFERROR(VLOOKUP(A570,[2]wms_lc_f!$A$1:$B$156,2,FALSE),"")</f>
        <v/>
      </c>
    </row>
    <row r="571" spans="1:8">
      <c r="A571" s="71">
        <v>82</v>
      </c>
      <c r="B571" s="69" t="s">
        <v>2613</v>
      </c>
      <c r="C571" s="70" t="s">
        <v>1010</v>
      </c>
      <c r="D571" s="70" t="s">
        <v>2610</v>
      </c>
      <c r="E571" s="72">
        <v>3</v>
      </c>
      <c r="F571" s="70"/>
      <c r="G571" s="70" t="str">
        <f>IFERROR(VLOOKUP(A571,[1]wms_iv_f!$A$1:$E$136,4,FALSE),"")</f>
        <v/>
      </c>
      <c r="H571" s="95" t="str">
        <f>IFERROR(VLOOKUP(A571,[2]wms_lc_f!$A$1:$B$156,2,FALSE),"")</f>
        <v/>
      </c>
    </row>
    <row r="572" spans="1:8">
      <c r="A572" s="71">
        <v>237</v>
      </c>
      <c r="B572" s="69" t="s">
        <v>2613</v>
      </c>
      <c r="C572" s="70" t="s">
        <v>1012</v>
      </c>
      <c r="D572" s="70" t="s">
        <v>2610</v>
      </c>
      <c r="E572" s="72">
        <v>3</v>
      </c>
      <c r="F572" s="70"/>
      <c r="G572" s="70" t="str">
        <f>IFERROR(VLOOKUP(A572,[1]wms_iv_f!$A$1:$E$136,4,FALSE),"")</f>
        <v/>
      </c>
      <c r="H572" s="95" t="str">
        <f>IFERROR(VLOOKUP(A572,[2]wms_lc_f!$A$1:$B$156,2,FALSE),"")</f>
        <v/>
      </c>
    </row>
    <row r="573" spans="1:8">
      <c r="A573" s="71">
        <v>1359</v>
      </c>
      <c r="B573" s="69" t="s">
        <v>2613</v>
      </c>
      <c r="C573" s="70" t="s">
        <v>1013</v>
      </c>
      <c r="D573" s="70" t="s">
        <v>2610</v>
      </c>
      <c r="E573" s="72">
        <v>3</v>
      </c>
      <c r="F573" s="70"/>
      <c r="G573" s="70" t="str">
        <f>IFERROR(VLOOKUP(A573,[1]wms_iv_f!$A$1:$E$136,4,FALSE),"")</f>
        <v/>
      </c>
      <c r="H573" s="95" t="str">
        <f>IFERROR(VLOOKUP(A573,[2]wms_lc_f!$A$1:$B$156,2,FALSE),"")</f>
        <v/>
      </c>
    </row>
    <row r="574" spans="1:8">
      <c r="A574" s="71">
        <v>20169</v>
      </c>
      <c r="B574" s="69" t="s">
        <v>2613</v>
      </c>
      <c r="C574" s="70" t="s">
        <v>1011</v>
      </c>
      <c r="D574" s="70" t="s">
        <v>2610</v>
      </c>
      <c r="E574" s="72">
        <v>3</v>
      </c>
      <c r="F574" s="70"/>
      <c r="G574" s="70" t="str">
        <f>IFERROR(VLOOKUP(A574,[1]wms_iv_f!$A$1:$E$136,4,FALSE),"")</f>
        <v/>
      </c>
      <c r="H574" s="95" t="str">
        <f>IFERROR(VLOOKUP(A574,[2]wms_lc_f!$A$1:$B$156,2,FALSE),"")</f>
        <v/>
      </c>
    </row>
    <row r="575" spans="1:8">
      <c r="A575" s="71">
        <v>82522</v>
      </c>
      <c r="B575" s="69" t="s">
        <v>2613</v>
      </c>
      <c r="C575" s="70" t="s">
        <v>1236</v>
      </c>
      <c r="D575" s="70" t="s">
        <v>2610</v>
      </c>
      <c r="E575" s="72">
        <v>3</v>
      </c>
      <c r="F575" s="70"/>
      <c r="G575" s="70" t="str">
        <f>IFERROR(VLOOKUP(A575,[1]wms_iv_f!$A$1:$E$136,4,FALSE),"")</f>
        <v/>
      </c>
      <c r="H575" s="95" t="str">
        <f>IFERROR(VLOOKUP(A575,[2]wms_lc_f!$A$1:$B$156,2,FALSE),"")</f>
        <v/>
      </c>
    </row>
    <row r="576" spans="1:8">
      <c r="A576" s="71">
        <v>112429</v>
      </c>
      <c r="B576" s="69" t="s">
        <v>2613</v>
      </c>
      <c r="C576" s="70" t="s">
        <v>1239</v>
      </c>
      <c r="D576" s="70" t="s">
        <v>2610</v>
      </c>
      <c r="E576" s="72">
        <v>3</v>
      </c>
      <c r="F576" s="70"/>
      <c r="G576" s="70" t="str">
        <f>IFERROR(VLOOKUP(A576,[1]wms_iv_f!$A$1:$E$136,4,FALSE),"")</f>
        <v/>
      </c>
      <c r="H576" s="95" t="str">
        <f>IFERROR(VLOOKUP(A576,[2]wms_lc_f!$A$1:$B$156,2,FALSE),"")</f>
        <v/>
      </c>
    </row>
    <row r="577" spans="1:8">
      <c r="A577" s="71">
        <v>115039</v>
      </c>
      <c r="B577" s="69" t="s">
        <v>2613</v>
      </c>
      <c r="C577" s="70" t="s">
        <v>1014</v>
      </c>
      <c r="D577" s="70" t="s">
        <v>2610</v>
      </c>
      <c r="E577" s="72">
        <v>3</v>
      </c>
      <c r="F577" s="70"/>
      <c r="G577" s="70" t="str">
        <f>IFERROR(VLOOKUP(A577,[1]wms_iv_f!$A$1:$E$136,4,FALSE),"")</f>
        <v/>
      </c>
      <c r="H577" s="95" t="str">
        <f>IFERROR(VLOOKUP(A577,[2]wms_lc_f!$A$1:$B$156,2,FALSE),"")</f>
        <v>12-116-D6</v>
      </c>
    </row>
    <row r="578" spans="1:8">
      <c r="A578" s="71">
        <v>115470</v>
      </c>
      <c r="B578" s="69" t="s">
        <v>2613</v>
      </c>
      <c r="C578" s="70" t="s">
        <v>1235</v>
      </c>
      <c r="D578" s="70" t="s">
        <v>2610</v>
      </c>
      <c r="E578" s="72">
        <v>3</v>
      </c>
      <c r="F578" s="70"/>
      <c r="G578" s="70" t="str">
        <f>IFERROR(VLOOKUP(A578,[1]wms_iv_f!$A$1:$E$136,4,FALSE),"")</f>
        <v/>
      </c>
      <c r="H578" s="95" t="str">
        <f>IFERROR(VLOOKUP(A578,[2]wms_lc_f!$A$1:$B$156,2,FALSE),"")</f>
        <v/>
      </c>
    </row>
    <row r="579" spans="1:8">
      <c r="A579" s="71">
        <v>118945</v>
      </c>
      <c r="B579" s="69" t="s">
        <v>2613</v>
      </c>
      <c r="C579" s="70" t="s">
        <v>1240</v>
      </c>
      <c r="D579" s="70" t="s">
        <v>2610</v>
      </c>
      <c r="E579" s="72">
        <v>3</v>
      </c>
      <c r="F579" s="70"/>
      <c r="G579" s="70" t="str">
        <f>IFERROR(VLOOKUP(A579,[1]wms_iv_f!$A$1:$E$136,4,FALSE),"")</f>
        <v/>
      </c>
      <c r="H579" s="95" t="str">
        <f>IFERROR(VLOOKUP(A579,[2]wms_lc_f!$A$1:$B$156,2,FALSE),"")</f>
        <v/>
      </c>
    </row>
    <row r="580" spans="1:8">
      <c r="A580" s="71">
        <v>124938</v>
      </c>
      <c r="B580" s="69" t="s">
        <v>2613</v>
      </c>
      <c r="C580" s="70" t="s">
        <v>1238</v>
      </c>
      <c r="D580" s="70" t="s">
        <v>2610</v>
      </c>
      <c r="E580" s="72">
        <v>3</v>
      </c>
      <c r="F580" s="70"/>
      <c r="G580" s="70" t="str">
        <f>IFERROR(VLOOKUP(A580,[1]wms_iv_f!$A$1:$E$136,4,FALSE),"")</f>
        <v/>
      </c>
      <c r="H580" s="95" t="str">
        <f>IFERROR(VLOOKUP(A580,[2]wms_lc_f!$A$1:$B$156,2,FALSE),"")</f>
        <v>12-110-D5</v>
      </c>
    </row>
    <row r="581" spans="1:8">
      <c r="A581" s="71">
        <v>129080</v>
      </c>
      <c r="B581" s="69" t="s">
        <v>2613</v>
      </c>
      <c r="C581" s="70" t="s">
        <v>1237</v>
      </c>
      <c r="D581" s="70" t="s">
        <v>2610</v>
      </c>
      <c r="E581" s="72">
        <v>3</v>
      </c>
      <c r="F581" s="70"/>
      <c r="G581" s="70" t="str">
        <f>IFERROR(VLOOKUP(A581,[1]wms_iv_f!$A$1:$E$136,4,FALSE),"")</f>
        <v/>
      </c>
      <c r="H581" s="95" t="str">
        <f>IFERROR(VLOOKUP(A581,[2]wms_lc_f!$A$1:$B$156,2,FALSE),"")</f>
        <v/>
      </c>
    </row>
    <row r="582" spans="1:8">
      <c r="A582" s="71">
        <v>142820</v>
      </c>
      <c r="B582" s="69" t="s">
        <v>2613</v>
      </c>
      <c r="C582" s="70" t="s">
        <v>1008</v>
      </c>
      <c r="D582" s="70" t="s">
        <v>2610</v>
      </c>
      <c r="E582" s="72">
        <v>3</v>
      </c>
      <c r="F582" s="70"/>
      <c r="G582" s="70" t="str">
        <f>IFERROR(VLOOKUP(A582,[1]wms_iv_f!$A$1:$E$136,4,FALSE),"")</f>
        <v/>
      </c>
      <c r="H582" s="95" t="str">
        <f>IFERROR(VLOOKUP(A582,[2]wms_lc_f!$A$1:$B$156,2,FALSE),"")</f>
        <v/>
      </c>
    </row>
    <row r="583" spans="1:8">
      <c r="A583" s="71">
        <v>158197</v>
      </c>
      <c r="B583" s="69" t="s">
        <v>2613</v>
      </c>
      <c r="C583" s="70" t="s">
        <v>874</v>
      </c>
      <c r="D583" s="70" t="s">
        <v>2610</v>
      </c>
      <c r="E583" s="72">
        <v>3</v>
      </c>
      <c r="F583" s="70"/>
      <c r="G583" s="70" t="str">
        <f>IFERROR(VLOOKUP(A583,[1]wms_iv_f!$A$1:$E$136,4,FALSE),"")</f>
        <v/>
      </c>
      <c r="H583" s="95" t="str">
        <f>IFERROR(VLOOKUP(A583,[2]wms_lc_f!$A$1:$B$156,2,FALSE),"")</f>
        <v/>
      </c>
    </row>
    <row r="584" spans="1:8">
      <c r="A584" s="71">
        <v>95299</v>
      </c>
      <c r="B584" s="69" t="s">
        <v>2613</v>
      </c>
      <c r="C584" s="70" t="s">
        <v>875</v>
      </c>
      <c r="D584" s="70" t="s">
        <v>2610</v>
      </c>
      <c r="E584" s="72">
        <v>3</v>
      </c>
      <c r="F584" s="70"/>
      <c r="G584" s="70" t="str">
        <f>IFERROR(VLOOKUP(A584,[1]wms_iv_f!$A$1:$E$136,4,FALSE),"")</f>
        <v/>
      </c>
      <c r="H584" s="95" t="str">
        <f>IFERROR(VLOOKUP(A584,[2]wms_lc_f!$A$1:$B$156,2,FALSE),"")</f>
        <v>12-116-C8</v>
      </c>
    </row>
    <row r="585" spans="1:8">
      <c r="A585" s="71">
        <v>2448</v>
      </c>
      <c r="B585" s="69" t="s">
        <v>2613</v>
      </c>
      <c r="C585" s="70" t="s">
        <v>887</v>
      </c>
      <c r="D585" s="70" t="s">
        <v>2610</v>
      </c>
      <c r="E585" s="72">
        <v>3</v>
      </c>
      <c r="F585" s="70"/>
      <c r="G585" s="70" t="str">
        <f>IFERROR(VLOOKUP(A585,[1]wms_iv_f!$A$1:$E$136,4,FALSE),"")</f>
        <v/>
      </c>
      <c r="H585" s="95" t="str">
        <f>IFERROR(VLOOKUP(A585,[2]wms_lc_f!$A$1:$B$156,2,FALSE),"")</f>
        <v/>
      </c>
    </row>
    <row r="586" spans="1:8">
      <c r="A586" s="71">
        <v>112595</v>
      </c>
      <c r="B586" s="69" t="s">
        <v>2613</v>
      </c>
      <c r="C586" s="70" t="s">
        <v>889</v>
      </c>
      <c r="D586" s="70" t="s">
        <v>2610</v>
      </c>
      <c r="E586" s="72">
        <v>3</v>
      </c>
      <c r="F586" s="70"/>
      <c r="G586" s="70" t="str">
        <f>IFERROR(VLOOKUP(A586,[1]wms_iv_f!$A$1:$E$136,4,FALSE),"")</f>
        <v/>
      </c>
      <c r="H586" s="95" t="str">
        <f>IFERROR(VLOOKUP(A586,[2]wms_lc_f!$A$1:$B$156,2,FALSE),"")</f>
        <v/>
      </c>
    </row>
    <row r="587" spans="1:8">
      <c r="A587" s="71">
        <v>114922</v>
      </c>
      <c r="B587" s="69" t="s">
        <v>2613</v>
      </c>
      <c r="C587" s="70" t="s">
        <v>890</v>
      </c>
      <c r="D587" s="70" t="s">
        <v>2610</v>
      </c>
      <c r="E587" s="72">
        <v>3</v>
      </c>
      <c r="F587" s="70"/>
      <c r="G587" s="70" t="str">
        <f>IFERROR(VLOOKUP(A587,[1]wms_iv_f!$A$1:$E$136,4,FALSE),"")</f>
        <v/>
      </c>
      <c r="H587" s="95" t="str">
        <f>IFERROR(VLOOKUP(A587,[2]wms_lc_f!$A$1:$B$156,2,FALSE),"")</f>
        <v/>
      </c>
    </row>
    <row r="588" spans="1:8">
      <c r="A588" s="71">
        <v>110811</v>
      </c>
      <c r="B588" s="69" t="s">
        <v>2613</v>
      </c>
      <c r="C588" s="70" t="s">
        <v>669</v>
      </c>
      <c r="D588" s="70" t="s">
        <v>2610</v>
      </c>
      <c r="E588" s="72">
        <v>3</v>
      </c>
      <c r="F588" s="70"/>
      <c r="G588" s="70" t="str">
        <f>IFERROR(VLOOKUP(A588,[1]wms_iv_f!$A$1:$E$136,4,FALSE),"")</f>
        <v/>
      </c>
      <c r="H588" s="95" t="str">
        <f>IFERROR(VLOOKUP(A588,[2]wms_lc_f!$A$1:$B$156,2,FALSE),"")</f>
        <v/>
      </c>
    </row>
    <row r="589" spans="1:8">
      <c r="A589" s="71">
        <v>126009</v>
      </c>
      <c r="B589" s="69" t="s">
        <v>2613</v>
      </c>
      <c r="C589" s="70" t="s">
        <v>670</v>
      </c>
      <c r="D589" s="70" t="s">
        <v>2610</v>
      </c>
      <c r="E589" s="72">
        <v>3</v>
      </c>
      <c r="F589" s="70"/>
      <c r="G589" s="70" t="str">
        <f>IFERROR(VLOOKUP(A589,[1]wms_iv_f!$A$1:$E$136,4,FALSE),"")</f>
        <v/>
      </c>
      <c r="H589" s="95" t="str">
        <f>IFERROR(VLOOKUP(A589,[2]wms_lc_f!$A$1:$B$156,2,FALSE),"")</f>
        <v/>
      </c>
    </row>
    <row r="590" spans="1:8">
      <c r="A590" s="71">
        <v>32827</v>
      </c>
      <c r="B590" s="69" t="s">
        <v>2613</v>
      </c>
      <c r="C590" s="70" t="s">
        <v>671</v>
      </c>
      <c r="D590" s="70" t="s">
        <v>2610</v>
      </c>
      <c r="E590" s="72">
        <v>3</v>
      </c>
      <c r="F590" s="70"/>
      <c r="G590" s="70" t="str">
        <f>IFERROR(VLOOKUP(A590,[1]wms_iv_f!$A$1:$E$136,4,FALSE),"")</f>
        <v/>
      </c>
      <c r="H590" s="95" t="str">
        <f>IFERROR(VLOOKUP(A590,[2]wms_lc_f!$A$1:$B$156,2,FALSE),"")</f>
        <v/>
      </c>
    </row>
    <row r="591" spans="1:8">
      <c r="A591" s="71">
        <v>132821</v>
      </c>
      <c r="B591" s="69" t="s">
        <v>2613</v>
      </c>
      <c r="C591" s="70" t="s">
        <v>672</v>
      </c>
      <c r="D591" s="70" t="s">
        <v>2610</v>
      </c>
      <c r="E591" s="72">
        <v>3</v>
      </c>
      <c r="F591" s="70"/>
      <c r="G591" s="70" t="str">
        <f>IFERROR(VLOOKUP(A591,[1]wms_iv_f!$A$1:$E$136,4,FALSE),"")</f>
        <v/>
      </c>
      <c r="H591" s="95" t="str">
        <f>IFERROR(VLOOKUP(A591,[2]wms_lc_f!$A$1:$B$156,2,FALSE),"")</f>
        <v/>
      </c>
    </row>
    <row r="592" spans="1:8">
      <c r="A592" s="71">
        <v>35111</v>
      </c>
      <c r="B592" s="69" t="s">
        <v>2613</v>
      </c>
      <c r="C592" s="70" t="s">
        <v>891</v>
      </c>
      <c r="D592" s="70" t="s">
        <v>2610</v>
      </c>
      <c r="E592" s="72">
        <v>3</v>
      </c>
      <c r="F592" s="70"/>
      <c r="G592" s="70" t="str">
        <f>IFERROR(VLOOKUP(A592,[1]wms_iv_f!$A$1:$E$136,4,FALSE),"")</f>
        <v/>
      </c>
      <c r="H592" s="95" t="str">
        <f>IFERROR(VLOOKUP(A592,[2]wms_lc_f!$A$1:$B$156,2,FALSE),"")</f>
        <v>12-112-C4</v>
      </c>
    </row>
    <row r="593" spans="1:8">
      <c r="A593" s="71">
        <v>17</v>
      </c>
      <c r="B593" s="69" t="s">
        <v>2613</v>
      </c>
      <c r="C593" s="70" t="s">
        <v>892</v>
      </c>
      <c r="D593" s="70" t="s">
        <v>2610</v>
      </c>
      <c r="E593" s="72">
        <v>3</v>
      </c>
      <c r="F593" s="70"/>
      <c r="G593" s="70" t="str">
        <f>IFERROR(VLOOKUP(A593,[1]wms_iv_f!$A$1:$E$136,4,FALSE),"")</f>
        <v/>
      </c>
      <c r="H593" s="95" t="str">
        <f>IFERROR(VLOOKUP(A593,[2]wms_lc_f!$A$1:$B$156,2,FALSE),"")</f>
        <v/>
      </c>
    </row>
    <row r="594" spans="1:8">
      <c r="A594" s="71">
        <v>558</v>
      </c>
      <c r="B594" s="69" t="s">
        <v>2613</v>
      </c>
      <c r="C594" s="70" t="s">
        <v>782</v>
      </c>
      <c r="D594" s="70" t="s">
        <v>2610</v>
      </c>
      <c r="E594" s="72">
        <v>3</v>
      </c>
      <c r="F594" s="70"/>
      <c r="G594" s="70" t="str">
        <f>IFERROR(VLOOKUP(A594,[1]wms_iv_f!$A$1:$E$136,4,FALSE),"")</f>
        <v/>
      </c>
      <c r="H594" s="95" t="str">
        <f>IFERROR(VLOOKUP(A594,[2]wms_lc_f!$A$1:$B$156,2,FALSE),"")</f>
        <v/>
      </c>
    </row>
    <row r="595" spans="1:8">
      <c r="A595" s="71">
        <v>35270</v>
      </c>
      <c r="B595" s="69" t="s">
        <v>2613</v>
      </c>
      <c r="C595" s="70" t="s">
        <v>786</v>
      </c>
      <c r="D595" s="70" t="s">
        <v>2610</v>
      </c>
      <c r="E595" s="72">
        <v>3</v>
      </c>
      <c r="F595" s="70"/>
      <c r="G595" s="70" t="str">
        <f>IFERROR(VLOOKUP(A595,[1]wms_iv_f!$A$1:$E$136,4,FALSE),"")</f>
        <v/>
      </c>
      <c r="H595" s="95" t="str">
        <f>IFERROR(VLOOKUP(A595,[2]wms_lc_f!$A$1:$B$156,2,FALSE),"")</f>
        <v/>
      </c>
    </row>
    <row r="596" spans="1:8">
      <c r="A596" s="71">
        <v>4887</v>
      </c>
      <c r="B596" s="69" t="s">
        <v>2613</v>
      </c>
      <c r="C596" s="70" t="s">
        <v>787</v>
      </c>
      <c r="D596" s="70" t="s">
        <v>2610</v>
      </c>
      <c r="E596" s="72">
        <v>3</v>
      </c>
      <c r="F596" s="70"/>
      <c r="G596" s="70" t="str">
        <f>IFERROR(VLOOKUP(A596,[1]wms_iv_f!$A$1:$E$136,4,FALSE),"")</f>
        <v/>
      </c>
      <c r="H596" s="95" t="str">
        <f>IFERROR(VLOOKUP(A596,[2]wms_lc_f!$A$1:$B$156,2,FALSE),"")</f>
        <v/>
      </c>
    </row>
    <row r="597" spans="1:8">
      <c r="A597" s="71">
        <v>116471</v>
      </c>
      <c r="B597" s="69" t="s">
        <v>2613</v>
      </c>
      <c r="C597" s="70" t="s">
        <v>673</v>
      </c>
      <c r="D597" s="70" t="s">
        <v>2610</v>
      </c>
      <c r="E597" s="72">
        <v>3</v>
      </c>
      <c r="F597" s="70"/>
      <c r="G597" s="70" t="str">
        <f>IFERROR(VLOOKUP(A597,[1]wms_iv_f!$A$1:$E$136,4,FALSE),"")</f>
        <v/>
      </c>
      <c r="H597" s="95" t="str">
        <f>IFERROR(VLOOKUP(A597,[2]wms_lc_f!$A$1:$B$156,2,FALSE),"")</f>
        <v/>
      </c>
    </row>
    <row r="598" spans="1:8">
      <c r="A598" s="71">
        <v>39736</v>
      </c>
      <c r="B598" s="69" t="s">
        <v>2613</v>
      </c>
      <c r="C598" s="70" t="s">
        <v>674</v>
      </c>
      <c r="D598" s="70" t="s">
        <v>2610</v>
      </c>
      <c r="E598" s="79">
        <v>3</v>
      </c>
      <c r="F598" s="70"/>
      <c r="G598" s="70" t="str">
        <f>IFERROR(VLOOKUP(A598,[1]wms_iv_f!$A$1:$E$136,4,FALSE),"")</f>
        <v/>
      </c>
      <c r="H598" s="95" t="str">
        <f>IFERROR(VLOOKUP(A598,[2]wms_lc_f!$A$1:$B$156,2,FALSE),"")</f>
        <v/>
      </c>
    </row>
    <row r="599" spans="1:8">
      <c r="A599" s="71">
        <v>110679</v>
      </c>
      <c r="B599" s="69" t="s">
        <v>2613</v>
      </c>
      <c r="C599" s="70" t="s">
        <v>675</v>
      </c>
      <c r="D599" s="70" t="s">
        <v>2610</v>
      </c>
      <c r="E599" s="72">
        <v>3</v>
      </c>
      <c r="F599" s="70"/>
      <c r="G599" s="70" t="str">
        <f>IFERROR(VLOOKUP(A599,[1]wms_iv_f!$A$1:$E$136,4,FALSE),"")</f>
        <v/>
      </c>
      <c r="H599" s="95" t="str">
        <f>IFERROR(VLOOKUP(A599,[2]wms_lc_f!$A$1:$B$156,2,FALSE),"")</f>
        <v/>
      </c>
    </row>
    <row r="600" spans="1:8">
      <c r="A600" s="71">
        <v>157428</v>
      </c>
      <c r="B600" s="69" t="s">
        <v>2613</v>
      </c>
      <c r="C600" s="70" t="s">
        <v>676</v>
      </c>
      <c r="D600" s="70" t="s">
        <v>2610</v>
      </c>
      <c r="E600" s="72">
        <v>3</v>
      </c>
      <c r="F600" s="70"/>
      <c r="G600" s="70" t="str">
        <f>IFERROR(VLOOKUP(A600,[1]wms_iv_f!$A$1:$E$136,4,FALSE),"")</f>
        <v/>
      </c>
      <c r="H600" s="95" t="str">
        <f>IFERROR(VLOOKUP(A600,[2]wms_lc_f!$A$1:$B$156,2,FALSE),"")</f>
        <v/>
      </c>
    </row>
    <row r="601" spans="1:8">
      <c r="A601" s="71">
        <v>8575</v>
      </c>
      <c r="B601" s="69" t="s">
        <v>2613</v>
      </c>
      <c r="C601" s="70" t="s">
        <v>677</v>
      </c>
      <c r="D601" s="70" t="s">
        <v>2610</v>
      </c>
      <c r="E601" s="80">
        <v>3</v>
      </c>
      <c r="F601" s="70"/>
      <c r="G601" s="70" t="str">
        <f>IFERROR(VLOOKUP(A601,[1]wms_iv_f!$A$1:$E$136,4,FALSE),"")</f>
        <v/>
      </c>
      <c r="H601" s="95" t="str">
        <f>IFERROR(VLOOKUP(A601,[2]wms_lc_f!$A$1:$B$156,2,FALSE),"")</f>
        <v/>
      </c>
    </row>
    <row r="602" spans="1:8">
      <c r="A602" s="71">
        <v>129771</v>
      </c>
      <c r="B602" s="69" t="s">
        <v>2613</v>
      </c>
      <c r="C602" s="70" t="s">
        <v>678</v>
      </c>
      <c r="D602" s="70" t="s">
        <v>2610</v>
      </c>
      <c r="E602" s="72">
        <v>3</v>
      </c>
      <c r="F602" s="70"/>
      <c r="G602" s="70" t="str">
        <f>IFERROR(VLOOKUP(A602,[1]wms_iv_f!$A$1:$E$136,4,FALSE),"")</f>
        <v/>
      </c>
      <c r="H602" s="95" t="str">
        <f>IFERROR(VLOOKUP(A602,[2]wms_lc_f!$A$1:$B$156,2,FALSE),"")</f>
        <v/>
      </c>
    </row>
    <row r="603" spans="1:8">
      <c r="A603" s="71">
        <v>35247</v>
      </c>
      <c r="B603" s="69" t="s">
        <v>2613</v>
      </c>
      <c r="C603" s="70" t="s">
        <v>897</v>
      </c>
      <c r="D603" s="70" t="s">
        <v>2610</v>
      </c>
      <c r="E603" s="72">
        <v>3</v>
      </c>
      <c r="F603" s="70"/>
      <c r="G603" s="70" t="str">
        <f>IFERROR(VLOOKUP(A603,[1]wms_iv_f!$A$1:$E$136,4,FALSE),"")</f>
        <v/>
      </c>
      <c r="H603" s="95" t="str">
        <f>IFERROR(VLOOKUP(A603,[2]wms_lc_f!$A$1:$B$156,2,FALSE),"")</f>
        <v>12-110-D4</v>
      </c>
    </row>
    <row r="604" spans="1:8">
      <c r="A604" s="71">
        <v>129748</v>
      </c>
      <c r="B604" s="69" t="s">
        <v>2613</v>
      </c>
      <c r="C604" s="74" t="s">
        <v>898</v>
      </c>
      <c r="D604" s="74" t="s">
        <v>2610</v>
      </c>
      <c r="E604" s="79">
        <v>3</v>
      </c>
      <c r="F604" s="70"/>
      <c r="G604" s="70" t="str">
        <f>IFERROR(VLOOKUP(A604,[1]wms_iv_f!$A$1:$E$136,4,FALSE),"")</f>
        <v/>
      </c>
      <c r="H604" s="95" t="str">
        <f>IFERROR(VLOOKUP(A604,[2]wms_lc_f!$A$1:$B$156,2,FALSE),"")</f>
        <v>12-112-C6</v>
      </c>
    </row>
    <row r="605" spans="1:8">
      <c r="A605" s="71">
        <v>558</v>
      </c>
      <c r="B605" s="69" t="s">
        <v>2613</v>
      </c>
      <c r="C605" s="70" t="s">
        <v>2357</v>
      </c>
      <c r="D605" s="70" t="s">
        <v>2610</v>
      </c>
      <c r="E605" s="72">
        <v>3</v>
      </c>
      <c r="F605" s="70"/>
      <c r="G605" s="70" t="str">
        <f>IFERROR(VLOOKUP(A605,[1]wms_iv_f!$A$1:$E$136,4,FALSE),"")</f>
        <v/>
      </c>
      <c r="H605" s="95" t="str">
        <f>IFERROR(VLOOKUP(A605,[2]wms_lc_f!$A$1:$B$156,2,FALSE),"")</f>
        <v/>
      </c>
    </row>
    <row r="606" spans="1:8">
      <c r="A606" s="71">
        <v>118318</v>
      </c>
      <c r="B606" s="69" t="s">
        <v>2613</v>
      </c>
      <c r="C606" s="70" t="s">
        <v>2582</v>
      </c>
      <c r="D606" s="70" t="s">
        <v>2610</v>
      </c>
      <c r="E606" s="72">
        <v>3</v>
      </c>
      <c r="F606" s="70"/>
      <c r="G606" s="70" t="str">
        <f>IFERROR(VLOOKUP(A606,[1]wms_iv_f!$A$1:$E$136,4,FALSE),"")</f>
        <v/>
      </c>
      <c r="H606" s="95" t="str">
        <f>IFERROR(VLOOKUP(A606,[2]wms_lc_f!$A$1:$B$156,2,FALSE),"")</f>
        <v>12-116-D2</v>
      </c>
    </row>
    <row r="607" spans="1:8">
      <c r="A607" s="71">
        <v>101246</v>
      </c>
      <c r="B607" s="69" t="s">
        <v>2613</v>
      </c>
      <c r="C607" s="70" t="s">
        <v>2227</v>
      </c>
      <c r="D607" s="70" t="s">
        <v>2610</v>
      </c>
      <c r="E607" s="72">
        <v>3</v>
      </c>
      <c r="F607" s="70"/>
      <c r="G607" s="70" t="str">
        <f>IFERROR(VLOOKUP(A607,[1]wms_iv_f!$A$1:$E$136,4,FALSE),"")</f>
        <v/>
      </c>
      <c r="H607" s="95" t="str">
        <f>IFERROR(VLOOKUP(A607,[2]wms_lc_f!$A$1:$B$156,2,FALSE),"")</f>
        <v/>
      </c>
    </row>
    <row r="608" spans="1:8">
      <c r="A608" s="87">
        <v>91601</v>
      </c>
      <c r="B608" s="69" t="s">
        <v>2613</v>
      </c>
      <c r="C608" s="70" t="s">
        <v>2228</v>
      </c>
      <c r="D608" s="70" t="s">
        <v>2610</v>
      </c>
      <c r="E608" s="72">
        <v>3</v>
      </c>
      <c r="F608" s="70"/>
      <c r="G608" s="70" t="str">
        <f>IFERROR(VLOOKUP(A608,[1]wms_iv_f!$A$1:$E$136,4,FALSE),"")</f>
        <v/>
      </c>
      <c r="H608" s="95" t="str">
        <f>IFERROR(VLOOKUP(A608,[2]wms_lc_f!$A$1:$B$156,2,FALSE),"")</f>
        <v/>
      </c>
    </row>
    <row r="609" spans="1:8">
      <c r="A609" s="87">
        <v>156830</v>
      </c>
      <c r="B609" s="69" t="s">
        <v>2613</v>
      </c>
      <c r="C609" s="70" t="s">
        <v>2229</v>
      </c>
      <c r="D609" s="70" t="s">
        <v>2610</v>
      </c>
      <c r="E609" s="72">
        <v>3</v>
      </c>
      <c r="F609" s="70"/>
      <c r="G609" s="70" t="str">
        <f>IFERROR(VLOOKUP(A609,[1]wms_iv_f!$A$1:$E$136,4,FALSE),"")</f>
        <v/>
      </c>
      <c r="H609" s="95" t="str">
        <f>IFERROR(VLOOKUP(A609,[2]wms_lc_f!$A$1:$B$156,2,FALSE),"")</f>
        <v/>
      </c>
    </row>
    <row r="610" spans="1:8">
      <c r="A610" s="87">
        <v>110681</v>
      </c>
      <c r="B610" s="69" t="s">
        <v>2613</v>
      </c>
      <c r="C610" s="70" t="s">
        <v>2230</v>
      </c>
      <c r="D610" s="70" t="s">
        <v>2610</v>
      </c>
      <c r="E610" s="72">
        <v>3</v>
      </c>
      <c r="F610" s="70"/>
      <c r="G610" s="70" t="str">
        <f>IFERROR(VLOOKUP(A610,[1]wms_iv_f!$A$1:$E$136,4,FALSE),"")</f>
        <v/>
      </c>
      <c r="H610" s="95" t="str">
        <f>IFERROR(VLOOKUP(A610,[2]wms_lc_f!$A$1:$B$156,2,FALSE),"")</f>
        <v/>
      </c>
    </row>
    <row r="611" spans="1:8">
      <c r="A611" s="87">
        <v>100498</v>
      </c>
      <c r="B611" s="69" t="s">
        <v>2613</v>
      </c>
      <c r="C611" s="70" t="s">
        <v>2231</v>
      </c>
      <c r="D611" s="70" t="s">
        <v>2610</v>
      </c>
      <c r="E611" s="72">
        <v>3</v>
      </c>
      <c r="F611" s="70"/>
      <c r="G611" s="70" t="str">
        <f>IFERROR(VLOOKUP(A611,[1]wms_iv_f!$A$1:$E$136,4,FALSE),"")</f>
        <v/>
      </c>
      <c r="H611" s="95" t="str">
        <f>IFERROR(VLOOKUP(A611,[2]wms_lc_f!$A$1:$B$156,2,FALSE),"")</f>
        <v>12-110-E4</v>
      </c>
    </row>
    <row r="612" spans="1:8">
      <c r="A612" s="87">
        <v>132822</v>
      </c>
      <c r="B612" s="69" t="s">
        <v>2613</v>
      </c>
      <c r="C612" s="70" t="s">
        <v>2232</v>
      </c>
      <c r="D612" s="70" t="s">
        <v>2610</v>
      </c>
      <c r="E612" s="72">
        <v>3</v>
      </c>
      <c r="F612" s="70"/>
      <c r="G612" s="70" t="str">
        <f>IFERROR(VLOOKUP(A612,[1]wms_iv_f!$A$1:$E$136,4,FALSE),"")</f>
        <v/>
      </c>
      <c r="H612" s="95" t="str">
        <f>IFERROR(VLOOKUP(A612,[2]wms_lc_f!$A$1:$B$156,2,FALSE),"")</f>
        <v/>
      </c>
    </row>
    <row r="613" spans="1:8">
      <c r="A613" s="87">
        <v>1999</v>
      </c>
      <c r="B613" s="69" t="s">
        <v>2613</v>
      </c>
      <c r="C613" s="70" t="s">
        <v>2233</v>
      </c>
      <c r="D613" s="70" t="s">
        <v>2610</v>
      </c>
      <c r="E613" s="72">
        <v>3</v>
      </c>
      <c r="F613" s="70"/>
      <c r="G613" s="70" t="str">
        <f>IFERROR(VLOOKUP(A613,[1]wms_iv_f!$A$1:$E$136,4,FALSE),"")</f>
        <v/>
      </c>
      <c r="H613" s="95" t="str">
        <f>IFERROR(VLOOKUP(A613,[2]wms_lc_f!$A$1:$B$156,2,FALSE),"")</f>
        <v/>
      </c>
    </row>
    <row r="614" spans="1:8">
      <c r="A614" s="87">
        <v>47420</v>
      </c>
      <c r="B614" s="69" t="s">
        <v>2613</v>
      </c>
      <c r="C614" s="70" t="s">
        <v>2234</v>
      </c>
      <c r="D614" s="70" t="s">
        <v>2610</v>
      </c>
      <c r="E614" s="72">
        <v>3</v>
      </c>
      <c r="F614" s="70"/>
      <c r="G614" s="70" t="str">
        <f>IFERROR(VLOOKUP(A614,[1]wms_iv_f!$A$1:$E$136,4,FALSE),"")</f>
        <v/>
      </c>
      <c r="H614" s="95" t="str">
        <f>IFERROR(VLOOKUP(A614,[2]wms_lc_f!$A$1:$B$156,2,FALSE),"")</f>
        <v>12-118-E6</v>
      </c>
    </row>
    <row r="615" spans="1:8">
      <c r="A615" s="87">
        <v>97116</v>
      </c>
      <c r="B615" s="69" t="s">
        <v>2613</v>
      </c>
      <c r="C615" s="70" t="s">
        <v>2235</v>
      </c>
      <c r="D615" s="70" t="s">
        <v>2610</v>
      </c>
      <c r="E615" s="72">
        <v>3</v>
      </c>
      <c r="F615" s="70"/>
      <c r="G615" s="70" t="str">
        <f>IFERROR(VLOOKUP(A615,[1]wms_iv_f!$A$1:$E$136,4,FALSE),"")</f>
        <v/>
      </c>
      <c r="H615" s="95" t="str">
        <f>IFERROR(VLOOKUP(A615,[2]wms_lc_f!$A$1:$B$156,2,FALSE),"")</f>
        <v/>
      </c>
    </row>
    <row r="616" spans="1:8">
      <c r="A616" s="87">
        <v>138554</v>
      </c>
      <c r="B616" s="69" t="s">
        <v>2613</v>
      </c>
      <c r="C616" s="70" t="s">
        <v>2236</v>
      </c>
      <c r="D616" s="70" t="s">
        <v>2610</v>
      </c>
      <c r="E616" s="72">
        <v>3</v>
      </c>
      <c r="F616" s="70"/>
      <c r="G616" s="70" t="str">
        <f>IFERROR(VLOOKUP(A616,[1]wms_iv_f!$A$1:$E$136,4,FALSE),"")</f>
        <v/>
      </c>
      <c r="H616" s="95" t="str">
        <f>IFERROR(VLOOKUP(A616,[2]wms_lc_f!$A$1:$B$156,2,FALSE),"")</f>
        <v/>
      </c>
    </row>
    <row r="617" spans="1:8">
      <c r="A617" s="87">
        <v>100965</v>
      </c>
      <c r="B617" s="69" t="s">
        <v>2613</v>
      </c>
      <c r="C617" s="70" t="s">
        <v>2238</v>
      </c>
      <c r="D617" s="70" t="s">
        <v>2610</v>
      </c>
      <c r="E617" s="72">
        <v>3</v>
      </c>
      <c r="F617" s="70"/>
      <c r="G617" s="70" t="str">
        <f>IFERROR(VLOOKUP(A617,[1]wms_iv_f!$A$1:$E$136,4,FALSE),"")</f>
        <v/>
      </c>
      <c r="H617" s="95" t="str">
        <f>IFERROR(VLOOKUP(A617,[2]wms_lc_f!$A$1:$B$156,2,FALSE),"")</f>
        <v>12-114-C6</v>
      </c>
    </row>
    <row r="618" spans="1:8">
      <c r="A618" s="87">
        <v>157514</v>
      </c>
      <c r="B618" s="69" t="s">
        <v>2613</v>
      </c>
      <c r="C618" s="70" t="s">
        <v>2128</v>
      </c>
      <c r="D618" s="70" t="s">
        <v>2610</v>
      </c>
      <c r="E618" s="72">
        <v>3</v>
      </c>
      <c r="F618" s="70"/>
      <c r="G618" s="70" t="str">
        <f>IFERROR(VLOOKUP(A618,[1]wms_iv_f!$A$1:$E$136,4,FALSE),"")</f>
        <v/>
      </c>
      <c r="H618" s="95" t="str">
        <f>IFERROR(VLOOKUP(A618,[2]wms_lc_f!$A$1:$B$156,2,FALSE),"")</f>
        <v/>
      </c>
    </row>
    <row r="619" spans="1:8">
      <c r="A619" s="71">
        <v>112289</v>
      </c>
      <c r="B619" s="69" t="s">
        <v>2613</v>
      </c>
      <c r="C619" s="70" t="s">
        <v>2132</v>
      </c>
      <c r="D619" s="70" t="s">
        <v>2610</v>
      </c>
      <c r="E619" s="72">
        <v>3</v>
      </c>
      <c r="F619" s="70"/>
      <c r="G619" s="70" t="str">
        <f>IFERROR(VLOOKUP(A619,[1]wms_iv_f!$A$1:$E$136,4,FALSE),"")</f>
        <v/>
      </c>
      <c r="H619" s="95" t="str">
        <f>IFERROR(VLOOKUP(A619,[2]wms_lc_f!$A$1:$B$156,2,FALSE),"")</f>
        <v/>
      </c>
    </row>
    <row r="620" spans="1:8">
      <c r="A620" s="71">
        <v>136580</v>
      </c>
      <c r="B620" s="69" t="s">
        <v>2613</v>
      </c>
      <c r="C620" s="70" t="s">
        <v>2307</v>
      </c>
      <c r="D620" s="70" t="s">
        <v>2610</v>
      </c>
      <c r="E620" s="72">
        <v>3</v>
      </c>
      <c r="F620" s="70"/>
      <c r="G620" s="70" t="str">
        <f>IFERROR(VLOOKUP(A620,[1]wms_iv_f!$A$1:$E$136,4,FALSE),"")</f>
        <v/>
      </c>
      <c r="H620" s="95" t="str">
        <f>IFERROR(VLOOKUP(A620,[2]wms_lc_f!$A$1:$B$156,2,FALSE),"")</f>
        <v/>
      </c>
    </row>
    <row r="621" spans="1:8">
      <c r="A621" s="71">
        <v>129852</v>
      </c>
      <c r="B621" s="69" t="s">
        <v>2613</v>
      </c>
      <c r="C621" s="70" t="s">
        <v>2309</v>
      </c>
      <c r="D621" s="70" t="s">
        <v>2610</v>
      </c>
      <c r="E621" s="72">
        <v>3</v>
      </c>
      <c r="F621" s="70"/>
      <c r="G621" s="70" t="str">
        <f>IFERROR(VLOOKUP(A621,[1]wms_iv_f!$A$1:$E$136,4,FALSE),"")</f>
        <v/>
      </c>
      <c r="H621" s="95" t="str">
        <f>IFERROR(VLOOKUP(A621,[2]wms_lc_f!$A$1:$B$156,2,FALSE),"")</f>
        <v/>
      </c>
    </row>
    <row r="622" spans="1:8">
      <c r="A622" s="71">
        <v>157880</v>
      </c>
      <c r="B622" s="69" t="s">
        <v>2613</v>
      </c>
      <c r="C622" s="70" t="s">
        <v>2310</v>
      </c>
      <c r="D622" s="70" t="s">
        <v>2610</v>
      </c>
      <c r="E622" s="72">
        <v>3</v>
      </c>
      <c r="F622" s="70"/>
      <c r="G622" s="70" t="str">
        <f>IFERROR(VLOOKUP(A622,[1]wms_iv_f!$A$1:$E$136,4,FALSE),"")</f>
        <v/>
      </c>
      <c r="H622" s="95" t="str">
        <f>IFERROR(VLOOKUP(A622,[2]wms_lc_f!$A$1:$B$156,2,FALSE),"")</f>
        <v/>
      </c>
    </row>
    <row r="623" spans="1:8">
      <c r="A623" s="71">
        <v>124942</v>
      </c>
      <c r="B623" s="69" t="s">
        <v>2613</v>
      </c>
      <c r="C623" s="70" t="s">
        <v>2311</v>
      </c>
      <c r="D623" s="70" t="s">
        <v>2610</v>
      </c>
      <c r="E623" s="72">
        <v>3</v>
      </c>
      <c r="F623" s="70"/>
      <c r="G623" s="70" t="str">
        <f>IFERROR(VLOOKUP(A623,[1]wms_iv_f!$A$1:$E$136,4,FALSE),"")</f>
        <v/>
      </c>
      <c r="H623" s="95" t="str">
        <f>IFERROR(VLOOKUP(A623,[2]wms_lc_f!$A$1:$B$156,2,FALSE),"")</f>
        <v>12-114-D1</v>
      </c>
    </row>
    <row r="624" spans="1:8">
      <c r="A624" s="71">
        <v>105079</v>
      </c>
      <c r="B624" s="69" t="s">
        <v>2613</v>
      </c>
      <c r="C624" s="70" t="s">
        <v>2312</v>
      </c>
      <c r="D624" s="70" t="s">
        <v>2610</v>
      </c>
      <c r="E624" s="72">
        <v>3</v>
      </c>
      <c r="F624" s="70"/>
      <c r="G624" s="70" t="str">
        <f>IFERROR(VLOOKUP(A624,[1]wms_iv_f!$A$1:$E$136,4,FALSE),"")</f>
        <v/>
      </c>
      <c r="H624" s="95" t="str">
        <f>IFERROR(VLOOKUP(A624,[2]wms_lc_f!$A$1:$B$156,2,FALSE),"")</f>
        <v/>
      </c>
    </row>
    <row r="625" spans="1:8">
      <c r="A625" s="71">
        <v>110675</v>
      </c>
      <c r="B625" s="69" t="s">
        <v>2613</v>
      </c>
      <c r="C625" s="70" t="s">
        <v>2313</v>
      </c>
      <c r="D625" s="70" t="s">
        <v>2610</v>
      </c>
      <c r="E625" s="72">
        <v>3</v>
      </c>
      <c r="F625" s="70"/>
      <c r="G625" s="70" t="str">
        <f>IFERROR(VLOOKUP(A625,[1]wms_iv_f!$A$1:$E$136,4,FALSE),"")</f>
        <v/>
      </c>
      <c r="H625" s="95" t="str">
        <f>IFERROR(VLOOKUP(A625,[2]wms_lc_f!$A$1:$B$156,2,FALSE),"")</f>
        <v/>
      </c>
    </row>
    <row r="626" spans="1:8">
      <c r="A626" s="71">
        <v>110484</v>
      </c>
      <c r="B626" s="69" t="s">
        <v>2613</v>
      </c>
      <c r="C626" s="70" t="s">
        <v>2314</v>
      </c>
      <c r="D626" s="70" t="s">
        <v>2610</v>
      </c>
      <c r="E626" s="72">
        <v>3</v>
      </c>
      <c r="F626" s="70"/>
      <c r="G626" s="70" t="str">
        <f>IFERROR(VLOOKUP(A626,[1]wms_iv_f!$A$1:$E$136,4,FALSE),"")</f>
        <v/>
      </c>
      <c r="H626" s="95" t="str">
        <f>IFERROR(VLOOKUP(A626,[2]wms_lc_f!$A$1:$B$156,2,FALSE),"")</f>
        <v/>
      </c>
    </row>
    <row r="627" spans="1:8">
      <c r="A627" s="71">
        <v>100769</v>
      </c>
      <c r="B627" s="69" t="s">
        <v>2613</v>
      </c>
      <c r="C627" s="70" t="s">
        <v>2315</v>
      </c>
      <c r="D627" s="70" t="s">
        <v>2610</v>
      </c>
      <c r="E627" s="72">
        <v>3</v>
      </c>
      <c r="F627" s="70"/>
      <c r="G627" s="70" t="str">
        <f>IFERROR(VLOOKUP(A627,[1]wms_iv_f!$A$1:$E$136,4,FALSE),"")</f>
        <v/>
      </c>
      <c r="H627" s="95" t="str">
        <f>IFERROR(VLOOKUP(A627,[2]wms_lc_f!$A$1:$B$156,2,FALSE),"")</f>
        <v/>
      </c>
    </row>
    <row r="628" spans="1:8">
      <c r="A628" s="71">
        <v>47</v>
      </c>
      <c r="B628" s="69" t="s">
        <v>2613</v>
      </c>
      <c r="C628" s="70" t="s">
        <v>2535</v>
      </c>
      <c r="D628" s="70" t="s">
        <v>2610</v>
      </c>
      <c r="E628" s="72">
        <v>3</v>
      </c>
      <c r="F628" s="70"/>
      <c r="G628" s="70" t="str">
        <f>IFERROR(VLOOKUP(A628,[1]wms_iv_f!$A$1:$E$136,4,FALSE),"")</f>
        <v/>
      </c>
      <c r="H628" s="95" t="str">
        <f>IFERROR(VLOOKUP(A628,[2]wms_lc_f!$A$1:$B$156,2,FALSE),"")</f>
        <v/>
      </c>
    </row>
    <row r="629" spans="1:8">
      <c r="A629" s="71">
        <v>49659</v>
      </c>
      <c r="B629" s="69" t="s">
        <v>2613</v>
      </c>
      <c r="C629" s="70" t="s">
        <v>2536</v>
      </c>
      <c r="D629" s="70" t="s">
        <v>2610</v>
      </c>
      <c r="E629" s="72">
        <v>3</v>
      </c>
      <c r="F629" s="70"/>
      <c r="G629" s="70" t="str">
        <f>IFERROR(VLOOKUP(A629,[1]wms_iv_f!$A$1:$E$136,4,FALSE),"")</f>
        <v/>
      </c>
      <c r="H629" s="95" t="str">
        <f>IFERROR(VLOOKUP(A629,[2]wms_lc_f!$A$1:$B$156,2,FALSE),"")</f>
        <v>12-112-E3</v>
      </c>
    </row>
    <row r="630" spans="1:8">
      <c r="A630" s="71">
        <v>103115</v>
      </c>
      <c r="B630" s="69" t="s">
        <v>2613</v>
      </c>
      <c r="C630" s="70" t="s">
        <v>2537</v>
      </c>
      <c r="D630" s="70" t="s">
        <v>2610</v>
      </c>
      <c r="E630" s="72">
        <v>3</v>
      </c>
      <c r="F630" s="70"/>
      <c r="G630" s="70" t="str">
        <f>IFERROR(VLOOKUP(A630,[1]wms_iv_f!$A$1:$E$136,4,FALSE),"")</f>
        <v/>
      </c>
      <c r="H630" s="95" t="str">
        <f>IFERROR(VLOOKUP(A630,[2]wms_lc_f!$A$1:$B$156,2,FALSE),"")</f>
        <v/>
      </c>
    </row>
    <row r="631" spans="1:8">
      <c r="A631" s="71">
        <v>32014</v>
      </c>
      <c r="B631" s="69" t="s">
        <v>2613</v>
      </c>
      <c r="C631" s="70" t="s">
        <v>2316</v>
      </c>
      <c r="D631" s="70" t="s">
        <v>2610</v>
      </c>
      <c r="E631" s="72">
        <v>3</v>
      </c>
      <c r="F631" s="70"/>
      <c r="G631" s="70" t="str">
        <f>IFERROR(VLOOKUP(A631,[1]wms_iv_f!$A$1:$E$136,4,FALSE),"")</f>
        <v/>
      </c>
      <c r="H631" s="95" t="str">
        <f>IFERROR(VLOOKUP(A631,[2]wms_lc_f!$A$1:$B$156,2,FALSE),"")</f>
        <v>12-114-E7</v>
      </c>
    </row>
    <row r="632" spans="1:8">
      <c r="A632" s="71">
        <v>39621</v>
      </c>
      <c r="B632" s="69" t="s">
        <v>2613</v>
      </c>
      <c r="C632" s="70" t="s">
        <v>2187</v>
      </c>
      <c r="D632" s="70" t="s">
        <v>2610</v>
      </c>
      <c r="E632" s="72">
        <v>3</v>
      </c>
      <c r="F632" s="70"/>
      <c r="G632" s="70" t="str">
        <f>IFERROR(VLOOKUP(A632,[1]wms_iv_f!$A$1:$E$136,4,FALSE),"")</f>
        <v/>
      </c>
      <c r="H632" s="95" t="str">
        <f>IFERROR(VLOOKUP(A632,[2]wms_lc_f!$A$1:$B$156,2,FALSE),"")</f>
        <v/>
      </c>
    </row>
    <row r="633" spans="1:8">
      <c r="A633" s="71">
        <v>63423</v>
      </c>
      <c r="B633" s="69" t="s">
        <v>2613</v>
      </c>
      <c r="C633" s="70" t="s">
        <v>2188</v>
      </c>
      <c r="D633" s="70" t="s">
        <v>2610</v>
      </c>
      <c r="E633" s="72">
        <v>3</v>
      </c>
      <c r="F633" s="70"/>
      <c r="G633" s="70" t="str">
        <f>IFERROR(VLOOKUP(A633,[1]wms_iv_f!$A$1:$E$136,4,FALSE),"")</f>
        <v/>
      </c>
      <c r="H633" s="95" t="str">
        <f>IFERROR(VLOOKUP(A633,[2]wms_lc_f!$A$1:$B$156,2,FALSE),"")</f>
        <v/>
      </c>
    </row>
    <row r="634" spans="1:8">
      <c r="A634" s="71">
        <v>15934</v>
      </c>
      <c r="B634" s="69" t="s">
        <v>2613</v>
      </c>
      <c r="C634" s="70" t="s">
        <v>2189</v>
      </c>
      <c r="D634" s="70" t="s">
        <v>2610</v>
      </c>
      <c r="E634" s="72">
        <v>3</v>
      </c>
      <c r="F634" s="70"/>
      <c r="G634" s="70" t="str">
        <f>IFERROR(VLOOKUP(A634,[1]wms_iv_f!$A$1:$E$136,4,FALSE),"")</f>
        <v/>
      </c>
      <c r="H634" s="95" t="str">
        <f>IFERROR(VLOOKUP(A634,[2]wms_lc_f!$A$1:$B$156,2,FALSE),"")</f>
        <v/>
      </c>
    </row>
    <row r="635" spans="1:8">
      <c r="A635" s="71">
        <v>156759</v>
      </c>
      <c r="B635" s="69" t="s">
        <v>2613</v>
      </c>
      <c r="C635" s="70" t="s">
        <v>2190</v>
      </c>
      <c r="D635" s="70" t="s">
        <v>2610</v>
      </c>
      <c r="E635" s="72">
        <v>3</v>
      </c>
      <c r="F635" s="70"/>
      <c r="G635" s="70" t="str">
        <f>IFERROR(VLOOKUP(A635,[1]wms_iv_f!$A$1:$E$136,4,FALSE),"")</f>
        <v/>
      </c>
      <c r="H635" s="95" t="str">
        <f>IFERROR(VLOOKUP(A635,[2]wms_lc_f!$A$1:$B$156,2,FALSE),"")</f>
        <v/>
      </c>
    </row>
    <row r="636" spans="1:8">
      <c r="A636" s="71">
        <v>130169</v>
      </c>
      <c r="B636" s="69" t="s">
        <v>2613</v>
      </c>
      <c r="C636" s="70" t="s">
        <v>2191</v>
      </c>
      <c r="D636" s="70" t="s">
        <v>2610</v>
      </c>
      <c r="E636" s="72">
        <v>3</v>
      </c>
      <c r="F636" s="70"/>
      <c r="G636" s="70" t="str">
        <f>IFERROR(VLOOKUP(A636,[1]wms_iv_f!$A$1:$E$136,4,FALSE),"")</f>
        <v/>
      </c>
      <c r="H636" s="95" t="str">
        <f>IFERROR(VLOOKUP(A636,[2]wms_lc_f!$A$1:$B$156,2,FALSE),"")</f>
        <v/>
      </c>
    </row>
    <row r="637" spans="1:8">
      <c r="A637" s="69">
        <v>62856</v>
      </c>
      <c r="B637" s="69" t="s">
        <v>2613</v>
      </c>
      <c r="C637" s="70" t="s">
        <v>2192</v>
      </c>
      <c r="D637" s="70" t="s">
        <v>2610</v>
      </c>
      <c r="E637" s="72">
        <v>3</v>
      </c>
      <c r="F637" s="70"/>
      <c r="G637" s="70" t="str">
        <f>IFERROR(VLOOKUP(A637,[1]wms_iv_f!$A$1:$E$136,4,FALSE),"")</f>
        <v/>
      </c>
      <c r="H637" s="95" t="str">
        <f>IFERROR(VLOOKUP(A637,[2]wms_lc_f!$A$1:$B$156,2,FALSE),"")</f>
        <v>12-114-E4</v>
      </c>
    </row>
    <row r="638" spans="1:8">
      <c r="A638" s="69">
        <v>79</v>
      </c>
      <c r="B638" s="69" t="s">
        <v>2613</v>
      </c>
      <c r="C638" s="70" t="s">
        <v>2193</v>
      </c>
      <c r="D638" s="70" t="s">
        <v>2610</v>
      </c>
      <c r="E638" s="72">
        <v>3</v>
      </c>
      <c r="F638" s="70"/>
      <c r="G638" s="70" t="str">
        <f>IFERROR(VLOOKUP(A638,[1]wms_iv_f!$A$1:$E$136,4,FALSE),"")</f>
        <v/>
      </c>
      <c r="H638" s="95" t="str">
        <f>IFERROR(VLOOKUP(A638,[2]wms_lc_f!$A$1:$B$156,2,FALSE),"")</f>
        <v/>
      </c>
    </row>
    <row r="639" spans="1:8">
      <c r="A639" s="69">
        <v>130172</v>
      </c>
      <c r="B639" s="69" t="s">
        <v>2613</v>
      </c>
      <c r="C639" s="70" t="s">
        <v>2194</v>
      </c>
      <c r="D639" s="70" t="s">
        <v>2610</v>
      </c>
      <c r="E639" s="72">
        <v>3</v>
      </c>
      <c r="F639" s="70"/>
      <c r="G639" s="70" t="str">
        <f>IFERROR(VLOOKUP(A639,[1]wms_iv_f!$A$1:$E$136,4,FALSE),"")</f>
        <v/>
      </c>
      <c r="H639" s="95" t="str">
        <f>IFERROR(VLOOKUP(A639,[2]wms_lc_f!$A$1:$B$156,2,FALSE),"")</f>
        <v/>
      </c>
    </row>
    <row r="640" spans="1:8">
      <c r="A640" s="69">
        <v>155883</v>
      </c>
      <c r="B640" s="69" t="s">
        <v>2613</v>
      </c>
      <c r="C640" s="70" t="s">
        <v>2195</v>
      </c>
      <c r="D640" s="70" t="s">
        <v>2610</v>
      </c>
      <c r="E640" s="72">
        <v>3</v>
      </c>
      <c r="F640" s="70"/>
      <c r="G640" s="70" t="str">
        <f>IFERROR(VLOOKUP(A640,[1]wms_iv_f!$A$1:$E$136,4,FALSE),"")</f>
        <v/>
      </c>
      <c r="H640" s="95" t="str">
        <f>IFERROR(VLOOKUP(A640,[2]wms_lc_f!$A$1:$B$156,2,FALSE),"")</f>
        <v/>
      </c>
    </row>
    <row r="641" spans="1:8">
      <c r="A641" s="69">
        <v>288</v>
      </c>
      <c r="B641" s="69" t="s">
        <v>2613</v>
      </c>
      <c r="C641" s="70" t="s">
        <v>2196</v>
      </c>
      <c r="D641" s="70" t="s">
        <v>2610</v>
      </c>
      <c r="E641" s="72">
        <v>3</v>
      </c>
      <c r="F641" s="70"/>
      <c r="G641" s="70" t="str">
        <f>IFERROR(VLOOKUP(A641,[1]wms_iv_f!$A$1:$E$136,4,FALSE),"")</f>
        <v/>
      </c>
      <c r="H641" s="95" t="str">
        <f>IFERROR(VLOOKUP(A641,[2]wms_lc_f!$A$1:$B$156,2,FALSE),"")</f>
        <v>12-112-D8</v>
      </c>
    </row>
    <row r="642" spans="1:8">
      <c r="A642" s="69">
        <v>130151</v>
      </c>
      <c r="B642" s="69" t="s">
        <v>2613</v>
      </c>
      <c r="C642" s="70" t="s">
        <v>2197</v>
      </c>
      <c r="D642" s="70" t="s">
        <v>2610</v>
      </c>
      <c r="E642" s="72">
        <v>3</v>
      </c>
      <c r="F642" s="70"/>
      <c r="G642" s="70" t="str">
        <f>IFERROR(VLOOKUP(A642,[1]wms_iv_f!$A$1:$E$136,4,FALSE),"")</f>
        <v/>
      </c>
      <c r="H642" s="95" t="str">
        <f>IFERROR(VLOOKUP(A642,[2]wms_lc_f!$A$1:$B$156,2,FALSE),"")</f>
        <v>12-110-E6</v>
      </c>
    </row>
    <row r="643" spans="1:8">
      <c r="A643" s="69">
        <v>59417</v>
      </c>
      <c r="B643" s="69" t="s">
        <v>2613</v>
      </c>
      <c r="C643" s="70" t="s">
        <v>1978</v>
      </c>
      <c r="D643" s="70" t="s">
        <v>2610</v>
      </c>
      <c r="E643" s="72">
        <v>3</v>
      </c>
      <c r="F643" s="70"/>
      <c r="G643" s="70" t="str">
        <f>IFERROR(VLOOKUP(A643,[1]wms_iv_f!$A$1:$E$136,4,FALSE),"")</f>
        <v/>
      </c>
      <c r="H643" s="95" t="str">
        <f>IFERROR(VLOOKUP(A643,[2]wms_lc_f!$A$1:$B$156,2,FALSE),"")</f>
        <v/>
      </c>
    </row>
    <row r="644" spans="1:8">
      <c r="A644" s="69">
        <v>157012</v>
      </c>
      <c r="B644" s="69" t="s">
        <v>2613</v>
      </c>
      <c r="C644" s="70" t="s">
        <v>1170</v>
      </c>
      <c r="D644" s="70" t="s">
        <v>2610</v>
      </c>
      <c r="E644" s="72">
        <v>2</v>
      </c>
      <c r="F644" s="70"/>
      <c r="G644" s="70" t="str">
        <f>IFERROR(VLOOKUP(A644,[1]wms_iv_f!$A$1:$E$136,4,FALSE),"")</f>
        <v/>
      </c>
      <c r="H644" s="95" t="str">
        <f>IFERROR(VLOOKUP(A644,[2]wms_lc_f!$A$1:$B$156,2,FALSE),"")</f>
        <v/>
      </c>
    </row>
    <row r="645" spans="1:8">
      <c r="A645" s="69">
        <v>83177</v>
      </c>
      <c r="B645" s="69" t="s">
        <v>2613</v>
      </c>
      <c r="C645" s="70" t="s">
        <v>1173</v>
      </c>
      <c r="D645" s="70" t="s">
        <v>2610</v>
      </c>
      <c r="E645" s="72">
        <v>2</v>
      </c>
      <c r="F645" s="70"/>
      <c r="G645" s="70" t="str">
        <f>IFERROR(VLOOKUP(A645,[1]wms_iv_f!$A$1:$E$136,4,FALSE),"")</f>
        <v/>
      </c>
      <c r="H645" s="95" t="str">
        <f>IFERROR(VLOOKUP(A645,[2]wms_lc_f!$A$1:$B$156,2,FALSE),"")</f>
        <v/>
      </c>
    </row>
    <row r="646" spans="1:8">
      <c r="A646" s="69">
        <v>37765</v>
      </c>
      <c r="B646" s="69" t="s">
        <v>2613</v>
      </c>
      <c r="C646" s="70" t="s">
        <v>1174</v>
      </c>
      <c r="D646" s="70" t="s">
        <v>2610</v>
      </c>
      <c r="E646" s="72">
        <v>2</v>
      </c>
      <c r="F646" s="70"/>
      <c r="G646" s="70" t="str">
        <f>IFERROR(VLOOKUP(A646,[1]wms_iv_f!$A$1:$E$136,4,FALSE),"")</f>
        <v/>
      </c>
      <c r="H646" s="95" t="str">
        <f>IFERROR(VLOOKUP(A646,[2]wms_lc_f!$A$1:$B$156,2,FALSE),"")</f>
        <v/>
      </c>
    </row>
    <row r="647" spans="1:8">
      <c r="A647" s="69">
        <v>631</v>
      </c>
      <c r="B647" s="69" t="s">
        <v>2613</v>
      </c>
      <c r="C647" s="70" t="s">
        <v>1283</v>
      </c>
      <c r="D647" s="70" t="s">
        <v>2610</v>
      </c>
      <c r="E647" s="72">
        <v>2</v>
      </c>
      <c r="F647" s="70"/>
      <c r="G647" s="70" t="str">
        <f>IFERROR(VLOOKUP(A647,[1]wms_iv_f!$A$1:$E$136,4,FALSE),"")</f>
        <v/>
      </c>
      <c r="H647" s="95" t="str">
        <f>IFERROR(VLOOKUP(A647,[2]wms_lc_f!$A$1:$B$156,2,FALSE),"")</f>
        <v/>
      </c>
    </row>
    <row r="648" spans="1:8">
      <c r="A648" s="69">
        <v>1911</v>
      </c>
      <c r="B648" s="69" t="s">
        <v>2613</v>
      </c>
      <c r="C648" s="70" t="s">
        <v>1284</v>
      </c>
      <c r="D648" s="70" t="s">
        <v>2610</v>
      </c>
      <c r="E648" s="72">
        <v>2</v>
      </c>
      <c r="F648" s="70"/>
      <c r="G648" s="70" t="str">
        <f>IFERROR(VLOOKUP(A648,[1]wms_iv_f!$A$1:$E$136,4,FALSE),"")</f>
        <v/>
      </c>
      <c r="H648" s="95" t="str">
        <f>IFERROR(VLOOKUP(A648,[2]wms_lc_f!$A$1:$B$156,2,FALSE),"")</f>
        <v/>
      </c>
    </row>
    <row r="649" spans="1:8">
      <c r="A649" s="69">
        <v>118355</v>
      </c>
      <c r="B649" s="69" t="s">
        <v>2613</v>
      </c>
      <c r="C649" s="70" t="s">
        <v>1285</v>
      </c>
      <c r="D649" s="70" t="s">
        <v>2610</v>
      </c>
      <c r="E649" s="72">
        <v>2</v>
      </c>
      <c r="F649" s="70"/>
      <c r="G649" s="70" t="str">
        <f>IFERROR(VLOOKUP(A649,[1]wms_iv_f!$A$1:$E$136,4,FALSE),"")</f>
        <v/>
      </c>
      <c r="H649" s="95" t="str">
        <f>IFERROR(VLOOKUP(A649,[2]wms_lc_f!$A$1:$B$156,2,FALSE),"")</f>
        <v/>
      </c>
    </row>
    <row r="650" spans="1:8">
      <c r="A650" s="69">
        <v>758</v>
      </c>
      <c r="B650" s="69" t="s">
        <v>2613</v>
      </c>
      <c r="C650" s="70" t="s">
        <v>1286</v>
      </c>
      <c r="D650" s="70" t="s">
        <v>2610</v>
      </c>
      <c r="E650" s="72">
        <v>2</v>
      </c>
      <c r="F650" s="70"/>
      <c r="G650" s="70" t="str">
        <f>IFERROR(VLOOKUP(A650,[1]wms_iv_f!$A$1:$E$136,4,FALSE),"")</f>
        <v/>
      </c>
      <c r="H650" s="95" t="str">
        <f>IFERROR(VLOOKUP(A650,[2]wms_lc_f!$A$1:$B$156,2,FALSE),"")</f>
        <v/>
      </c>
    </row>
    <row r="651" spans="1:8">
      <c r="A651" s="69">
        <v>104534</v>
      </c>
      <c r="B651" s="69" t="s">
        <v>2613</v>
      </c>
      <c r="C651" s="70" t="s">
        <v>1287</v>
      </c>
      <c r="D651" s="70" t="s">
        <v>2610</v>
      </c>
      <c r="E651" s="72">
        <v>2</v>
      </c>
      <c r="F651" s="70"/>
      <c r="G651" s="70" t="str">
        <f>IFERROR(VLOOKUP(A651,[1]wms_iv_f!$A$1:$E$136,4,FALSE),"")</f>
        <v/>
      </c>
      <c r="H651" s="95" t="str">
        <f>IFERROR(VLOOKUP(A651,[2]wms_lc_f!$A$1:$B$156,2,FALSE),"")</f>
        <v/>
      </c>
    </row>
    <row r="652" spans="1:8">
      <c r="A652" s="69">
        <v>94727</v>
      </c>
      <c r="B652" s="69" t="s">
        <v>2613</v>
      </c>
      <c r="C652" s="70" t="s">
        <v>1288</v>
      </c>
      <c r="D652" s="70" t="s">
        <v>2610</v>
      </c>
      <c r="E652" s="72">
        <v>2</v>
      </c>
      <c r="F652" s="70"/>
      <c r="G652" s="70" t="str">
        <f>IFERROR(VLOOKUP(A652,[1]wms_iv_f!$A$1:$E$136,4,FALSE),"")</f>
        <v/>
      </c>
      <c r="H652" s="95" t="str">
        <f>IFERROR(VLOOKUP(A652,[2]wms_lc_f!$A$1:$B$156,2,FALSE),"")</f>
        <v/>
      </c>
    </row>
    <row r="653" spans="1:8">
      <c r="A653" s="69">
        <v>108437</v>
      </c>
      <c r="B653" s="69" t="s">
        <v>2613</v>
      </c>
      <c r="C653" s="70" t="s">
        <v>1061</v>
      </c>
      <c r="D653" s="70" t="s">
        <v>2610</v>
      </c>
      <c r="E653" s="72">
        <v>2</v>
      </c>
      <c r="F653" s="70"/>
      <c r="G653" s="70" t="str">
        <f>IFERROR(VLOOKUP(A653,[1]wms_iv_f!$A$1:$E$136,4,FALSE),"")</f>
        <v/>
      </c>
      <c r="H653" s="95" t="str">
        <f>IFERROR(VLOOKUP(A653,[2]wms_lc_f!$A$1:$B$156,2,FALSE),"")</f>
        <v/>
      </c>
    </row>
    <row r="654" spans="1:8">
      <c r="A654" s="69">
        <v>110971</v>
      </c>
      <c r="B654" s="69" t="s">
        <v>2613</v>
      </c>
      <c r="C654" s="70" t="s">
        <v>1062</v>
      </c>
      <c r="D654" s="70" t="s">
        <v>2610</v>
      </c>
      <c r="E654" s="72">
        <v>2</v>
      </c>
      <c r="F654" s="70"/>
      <c r="G654" s="70" t="str">
        <f>IFERROR(VLOOKUP(A654,[1]wms_iv_f!$A$1:$E$136,4,FALSE),"")</f>
        <v/>
      </c>
      <c r="H654" s="95" t="str">
        <f>IFERROR(VLOOKUP(A654,[2]wms_lc_f!$A$1:$B$156,2,FALSE),"")</f>
        <v/>
      </c>
    </row>
    <row r="655" spans="1:8">
      <c r="A655" s="68">
        <v>662</v>
      </c>
      <c r="B655" s="69" t="s">
        <v>2613</v>
      </c>
      <c r="C655" s="76" t="s">
        <v>1063</v>
      </c>
      <c r="D655" s="76" t="s">
        <v>2610</v>
      </c>
      <c r="E655" s="72">
        <v>2</v>
      </c>
      <c r="F655" s="70"/>
      <c r="G655" s="70" t="str">
        <f>IFERROR(VLOOKUP(A655,[1]wms_iv_f!$A$1:$E$136,4,FALSE),"")</f>
        <v/>
      </c>
      <c r="H655" s="95" t="str">
        <f>IFERROR(VLOOKUP(A655,[2]wms_lc_f!$A$1:$B$156,2,FALSE),"")</f>
        <v/>
      </c>
    </row>
    <row r="656" spans="1:8">
      <c r="A656" s="71">
        <v>99746</v>
      </c>
      <c r="B656" s="69" t="s">
        <v>2613</v>
      </c>
      <c r="C656" s="70" t="s">
        <v>1064</v>
      </c>
      <c r="D656" s="70" t="s">
        <v>2610</v>
      </c>
      <c r="E656" s="72">
        <v>2</v>
      </c>
      <c r="F656" s="70"/>
      <c r="G656" s="70" t="str">
        <f>IFERROR(VLOOKUP(A656,[1]wms_iv_f!$A$1:$E$136,4,FALSE),"")</f>
        <v/>
      </c>
      <c r="H656" s="95" t="str">
        <f>IFERROR(VLOOKUP(A656,[2]wms_lc_f!$A$1:$B$156,2,FALSE),"")</f>
        <v/>
      </c>
    </row>
    <row r="657" spans="1:8">
      <c r="A657" s="71">
        <v>114047</v>
      </c>
      <c r="B657" s="69" t="s">
        <v>2613</v>
      </c>
      <c r="C657" s="70" t="s">
        <v>1065</v>
      </c>
      <c r="D657" s="70" t="s">
        <v>2610</v>
      </c>
      <c r="E657" s="72">
        <v>2</v>
      </c>
      <c r="F657" s="70"/>
      <c r="G657" s="70" t="str">
        <f>IFERROR(VLOOKUP(A657,[1]wms_iv_f!$A$1:$E$136,4,FALSE),"")</f>
        <v/>
      </c>
      <c r="H657" s="95" t="str">
        <f>IFERROR(VLOOKUP(A657,[2]wms_lc_f!$A$1:$B$156,2,FALSE),"")</f>
        <v/>
      </c>
    </row>
    <row r="658" spans="1:8">
      <c r="A658" s="71">
        <v>125478</v>
      </c>
      <c r="B658" s="69" t="s">
        <v>2613</v>
      </c>
      <c r="C658" s="70" t="s">
        <v>1066</v>
      </c>
      <c r="D658" s="70" t="s">
        <v>2610</v>
      </c>
      <c r="E658" s="72">
        <v>2</v>
      </c>
      <c r="F658" s="70"/>
      <c r="G658" s="70" t="str">
        <f>IFERROR(VLOOKUP(A658,[1]wms_iv_f!$A$1:$E$136,4,FALSE),"")</f>
        <v/>
      </c>
      <c r="H658" s="95" t="str">
        <f>IFERROR(VLOOKUP(A658,[2]wms_lc_f!$A$1:$B$156,2,FALSE),"")</f>
        <v/>
      </c>
    </row>
    <row r="659" spans="1:8">
      <c r="A659" s="71">
        <v>158300</v>
      </c>
      <c r="B659" s="69" t="s">
        <v>2613</v>
      </c>
      <c r="C659" s="70" t="s">
        <v>1175</v>
      </c>
      <c r="D659" s="70" t="s">
        <v>2610</v>
      </c>
      <c r="E659" s="72">
        <v>2</v>
      </c>
      <c r="F659" s="70"/>
      <c r="G659" s="70" t="str">
        <f>IFERROR(VLOOKUP(A659,[1]wms_iv_f!$A$1:$E$136,4,FALSE),"")</f>
        <v/>
      </c>
      <c r="H659" s="95" t="str">
        <f>IFERROR(VLOOKUP(A659,[2]wms_lc_f!$A$1:$B$156,2,FALSE),"")</f>
        <v/>
      </c>
    </row>
    <row r="660" spans="1:8">
      <c r="A660" s="71">
        <v>126060</v>
      </c>
      <c r="B660" s="69" t="s">
        <v>2613</v>
      </c>
      <c r="C660" s="70" t="s">
        <v>1176</v>
      </c>
      <c r="D660" s="70" t="s">
        <v>2610</v>
      </c>
      <c r="E660" s="72">
        <v>2</v>
      </c>
      <c r="F660" s="70"/>
      <c r="G660" s="70" t="str">
        <f>IFERROR(VLOOKUP(A660,[1]wms_iv_f!$A$1:$E$136,4,FALSE),"")</f>
        <v/>
      </c>
      <c r="H660" s="95" t="str">
        <f>IFERROR(VLOOKUP(A660,[2]wms_lc_f!$A$1:$B$156,2,FALSE),"")</f>
        <v/>
      </c>
    </row>
    <row r="661" spans="1:8">
      <c r="A661" s="71">
        <v>35317</v>
      </c>
      <c r="B661" s="69" t="s">
        <v>2613</v>
      </c>
      <c r="C661" s="70" t="s">
        <v>1177</v>
      </c>
      <c r="D661" s="70" t="s">
        <v>2610</v>
      </c>
      <c r="E661" s="72">
        <v>2</v>
      </c>
      <c r="F661" s="70"/>
      <c r="G661" s="70" t="str">
        <f>IFERROR(VLOOKUP(A661,[1]wms_iv_f!$A$1:$E$136,4,FALSE),"")</f>
        <v/>
      </c>
      <c r="H661" s="95" t="str">
        <f>IFERROR(VLOOKUP(A661,[2]wms_lc_f!$A$1:$B$156,2,FALSE),"")</f>
        <v/>
      </c>
    </row>
    <row r="662" spans="1:8">
      <c r="A662" s="71">
        <v>115022</v>
      </c>
      <c r="B662" s="69" t="s">
        <v>2613</v>
      </c>
      <c r="C662" s="70" t="s">
        <v>1178</v>
      </c>
      <c r="D662" s="70" t="s">
        <v>2610</v>
      </c>
      <c r="E662" s="72">
        <v>2</v>
      </c>
      <c r="F662" s="70"/>
      <c r="G662" s="70" t="str">
        <f>IFERROR(VLOOKUP(A662,[1]wms_iv_f!$A$1:$E$136,4,FALSE),"")</f>
        <v/>
      </c>
      <c r="H662" s="95" t="str">
        <f>IFERROR(VLOOKUP(A662,[2]wms_lc_f!$A$1:$B$156,2,FALSE),"")</f>
        <v/>
      </c>
    </row>
    <row r="663" spans="1:8">
      <c r="A663" s="71">
        <v>129754</v>
      </c>
      <c r="B663" s="69" t="s">
        <v>2613</v>
      </c>
      <c r="C663" s="70" t="s">
        <v>1179</v>
      </c>
      <c r="D663" s="70" t="s">
        <v>2610</v>
      </c>
      <c r="E663" s="72">
        <v>2</v>
      </c>
      <c r="F663" s="70"/>
      <c r="G663" s="70" t="str">
        <f>IFERROR(VLOOKUP(A663,[1]wms_iv_f!$A$1:$E$136,4,FALSE),"")</f>
        <v/>
      </c>
      <c r="H663" s="95" t="str">
        <f>IFERROR(VLOOKUP(A663,[2]wms_lc_f!$A$1:$B$156,2,FALSE),"")</f>
        <v/>
      </c>
    </row>
    <row r="664" spans="1:8">
      <c r="A664" s="71">
        <v>466</v>
      </c>
      <c r="B664" s="69" t="s">
        <v>2613</v>
      </c>
      <c r="C664" s="70" t="s">
        <v>1180</v>
      </c>
      <c r="D664" s="70" t="s">
        <v>2610</v>
      </c>
      <c r="E664" s="72">
        <v>2</v>
      </c>
      <c r="F664" s="70"/>
      <c r="G664" s="70" t="str">
        <f>IFERROR(VLOOKUP(A664,[1]wms_iv_f!$A$1:$E$136,4,FALSE),"")</f>
        <v/>
      </c>
      <c r="H664" s="95" t="str">
        <f>IFERROR(VLOOKUP(A664,[2]wms_lc_f!$A$1:$B$156,2,FALSE),"")</f>
        <v/>
      </c>
    </row>
    <row r="665" spans="1:8">
      <c r="A665" s="71">
        <v>39603</v>
      </c>
      <c r="B665" s="69" t="s">
        <v>2613</v>
      </c>
      <c r="C665" s="70" t="s">
        <v>1289</v>
      </c>
      <c r="D665" s="70" t="s">
        <v>2610</v>
      </c>
      <c r="E665" s="72">
        <v>2</v>
      </c>
      <c r="F665" s="70"/>
      <c r="G665" s="70" t="str">
        <f>IFERROR(VLOOKUP(A665,[1]wms_iv_f!$A$1:$E$136,4,FALSE),"")</f>
        <v/>
      </c>
      <c r="H665" s="95" t="str">
        <f>IFERROR(VLOOKUP(A665,[2]wms_lc_f!$A$1:$B$156,2,FALSE),"")</f>
        <v/>
      </c>
    </row>
    <row r="666" spans="1:8">
      <c r="A666" s="71">
        <v>2683</v>
      </c>
      <c r="B666" s="69" t="s">
        <v>2613</v>
      </c>
      <c r="C666" s="70" t="s">
        <v>1290</v>
      </c>
      <c r="D666" s="70" t="s">
        <v>2610</v>
      </c>
      <c r="E666" s="72">
        <v>2</v>
      </c>
      <c r="F666" s="70"/>
      <c r="G666" s="70" t="str">
        <f>IFERROR(VLOOKUP(A666,[1]wms_iv_f!$A$1:$E$136,4,FALSE),"")</f>
        <v/>
      </c>
      <c r="H666" s="95" t="str">
        <f>IFERROR(VLOOKUP(A666,[2]wms_lc_f!$A$1:$B$156,2,FALSE),"")</f>
        <v/>
      </c>
    </row>
    <row r="667" spans="1:8">
      <c r="A667" s="71">
        <v>157005</v>
      </c>
      <c r="B667" s="69" t="s">
        <v>2613</v>
      </c>
      <c r="C667" s="70" t="s">
        <v>1291</v>
      </c>
      <c r="D667" s="70" t="s">
        <v>2610</v>
      </c>
      <c r="E667" s="72">
        <v>2</v>
      </c>
      <c r="F667" s="70"/>
      <c r="G667" s="70" t="str">
        <f>IFERROR(VLOOKUP(A667,[1]wms_iv_f!$A$1:$E$136,4,FALSE),"")</f>
        <v/>
      </c>
      <c r="H667" s="95" t="str">
        <f>IFERROR(VLOOKUP(A667,[2]wms_lc_f!$A$1:$B$156,2,FALSE),"")</f>
        <v/>
      </c>
    </row>
    <row r="668" spans="1:8">
      <c r="A668" s="71">
        <v>135385</v>
      </c>
      <c r="B668" s="69" t="s">
        <v>2613</v>
      </c>
      <c r="C668" s="70" t="s">
        <v>1292</v>
      </c>
      <c r="D668" s="70" t="s">
        <v>2610</v>
      </c>
      <c r="E668" s="72">
        <v>2</v>
      </c>
      <c r="F668" s="70"/>
      <c r="G668" s="70" t="str">
        <f>IFERROR(VLOOKUP(A668,[1]wms_iv_f!$A$1:$E$136,4,FALSE),"")</f>
        <v/>
      </c>
      <c r="H668" s="95" t="str">
        <f>IFERROR(VLOOKUP(A668,[2]wms_lc_f!$A$1:$B$156,2,FALSE),"")</f>
        <v/>
      </c>
    </row>
    <row r="669" spans="1:8">
      <c r="A669" s="71">
        <v>101443</v>
      </c>
      <c r="B669" s="69" t="s">
        <v>2613</v>
      </c>
      <c r="C669" s="70" t="s">
        <v>1293</v>
      </c>
      <c r="D669" s="70" t="s">
        <v>2610</v>
      </c>
      <c r="E669" s="72">
        <v>2</v>
      </c>
      <c r="F669" s="70"/>
      <c r="G669" s="70" t="str">
        <f>IFERROR(VLOOKUP(A669,[1]wms_iv_f!$A$1:$E$136,4,FALSE),"")</f>
        <v/>
      </c>
      <c r="H669" s="95" t="str">
        <f>IFERROR(VLOOKUP(A669,[2]wms_lc_f!$A$1:$B$156,2,FALSE),"")</f>
        <v/>
      </c>
    </row>
    <row r="670" spans="1:8">
      <c r="A670" s="71">
        <v>139074</v>
      </c>
      <c r="B670" s="69" t="s">
        <v>2613</v>
      </c>
      <c r="C670" s="70" t="s">
        <v>1294</v>
      </c>
      <c r="D670" s="70" t="s">
        <v>2610</v>
      </c>
      <c r="E670" s="72">
        <v>2</v>
      </c>
      <c r="F670" s="70"/>
      <c r="G670" s="70" t="str">
        <f>IFERROR(VLOOKUP(A670,[1]wms_iv_f!$A$1:$E$136,4,FALSE),"")</f>
        <v/>
      </c>
      <c r="H670" s="95" t="str">
        <f>IFERROR(VLOOKUP(A670,[2]wms_lc_f!$A$1:$B$156,2,FALSE),"")</f>
        <v/>
      </c>
    </row>
    <row r="671" spans="1:8">
      <c r="A671" s="71">
        <v>133849</v>
      </c>
      <c r="B671" s="69" t="s">
        <v>2613</v>
      </c>
      <c r="C671" s="70" t="s">
        <v>1067</v>
      </c>
      <c r="D671" s="70" t="s">
        <v>2610</v>
      </c>
      <c r="E671" s="72">
        <v>2</v>
      </c>
      <c r="F671" s="70"/>
      <c r="G671" s="70" t="str">
        <f>IFERROR(VLOOKUP(A671,[1]wms_iv_f!$A$1:$E$136,4,FALSE),"")</f>
        <v/>
      </c>
      <c r="H671" s="95" t="str">
        <f>IFERROR(VLOOKUP(A671,[2]wms_lc_f!$A$1:$B$156,2,FALSE),"")</f>
        <v/>
      </c>
    </row>
    <row r="672" spans="1:8">
      <c r="A672" s="73">
        <v>33796</v>
      </c>
      <c r="B672" s="69" t="s">
        <v>2613</v>
      </c>
      <c r="C672" s="74" t="s">
        <v>1068</v>
      </c>
      <c r="D672" s="74" t="s">
        <v>2610</v>
      </c>
      <c r="E672" s="79">
        <v>2</v>
      </c>
      <c r="F672" s="70"/>
      <c r="G672" s="70" t="str">
        <f>IFERROR(VLOOKUP(A672,[1]wms_iv_f!$A$1:$E$136,4,FALSE),"")</f>
        <v/>
      </c>
      <c r="H672" s="95" t="str">
        <f>IFERROR(VLOOKUP(A672,[2]wms_lc_f!$A$1:$B$156,2,FALSE),"")</f>
        <v/>
      </c>
    </row>
    <row r="673" spans="1:8">
      <c r="A673" s="69">
        <v>31246</v>
      </c>
      <c r="B673" s="69" t="s">
        <v>2613</v>
      </c>
      <c r="C673" s="70" t="s">
        <v>1069</v>
      </c>
      <c r="D673" s="70" t="s">
        <v>2610</v>
      </c>
      <c r="E673" s="72">
        <v>2</v>
      </c>
      <c r="F673" s="70"/>
      <c r="G673" s="70" t="str">
        <f>IFERROR(VLOOKUP(A673,[1]wms_iv_f!$A$1:$E$136,4,FALSE),"")</f>
        <v/>
      </c>
      <c r="H673" s="95" t="str">
        <f>IFERROR(VLOOKUP(A673,[2]wms_lc_f!$A$1:$B$156,2,FALSE),"")</f>
        <v/>
      </c>
    </row>
    <row r="674" spans="1:8">
      <c r="A674" s="69">
        <v>111248</v>
      </c>
      <c r="B674" s="69" t="s">
        <v>2613</v>
      </c>
      <c r="C674" s="70" t="s">
        <v>1070</v>
      </c>
      <c r="D674" s="70" t="s">
        <v>2610</v>
      </c>
      <c r="E674" s="72">
        <v>2</v>
      </c>
      <c r="F674" s="70"/>
      <c r="G674" s="70" t="str">
        <f>IFERROR(VLOOKUP(A674,[1]wms_iv_f!$A$1:$E$136,4,FALSE),"")</f>
        <v/>
      </c>
      <c r="H674" s="95" t="str">
        <f>IFERROR(VLOOKUP(A674,[2]wms_lc_f!$A$1:$B$156,2,FALSE),"")</f>
        <v/>
      </c>
    </row>
    <row r="675" spans="1:8">
      <c r="A675" s="69">
        <v>127246</v>
      </c>
      <c r="B675" s="69" t="s">
        <v>2613</v>
      </c>
      <c r="C675" s="70" t="s">
        <v>1071</v>
      </c>
      <c r="D675" s="70" t="s">
        <v>2610</v>
      </c>
      <c r="E675" s="72">
        <v>2</v>
      </c>
      <c r="F675" s="70"/>
      <c r="G675" s="70" t="str">
        <f>IFERROR(VLOOKUP(A675,[1]wms_iv_f!$A$1:$E$136,4,FALSE),"")</f>
        <v/>
      </c>
      <c r="H675" s="95" t="str">
        <f>IFERROR(VLOOKUP(A675,[2]wms_lc_f!$A$1:$B$156,2,FALSE),"")</f>
        <v/>
      </c>
    </row>
    <row r="676" spans="1:8">
      <c r="A676" s="69">
        <v>201</v>
      </c>
      <c r="B676" s="69" t="s">
        <v>2613</v>
      </c>
      <c r="C676" s="70" t="s">
        <v>1072</v>
      </c>
      <c r="D676" s="70" t="s">
        <v>2610</v>
      </c>
      <c r="E676" s="72">
        <v>2</v>
      </c>
      <c r="F676" s="70"/>
      <c r="G676" s="70" t="str">
        <f>IFERROR(VLOOKUP(A676,[1]wms_iv_f!$A$1:$E$136,4,FALSE),"")</f>
        <v/>
      </c>
      <c r="H676" s="95" t="str">
        <f>IFERROR(VLOOKUP(A676,[2]wms_lc_f!$A$1:$B$156,2,FALSE),"")</f>
        <v/>
      </c>
    </row>
    <row r="677" spans="1:8">
      <c r="A677" s="69">
        <v>35395</v>
      </c>
      <c r="B677" s="69" t="s">
        <v>2613</v>
      </c>
      <c r="C677" s="70" t="s">
        <v>1181</v>
      </c>
      <c r="D677" s="70" t="s">
        <v>2610</v>
      </c>
      <c r="E677" s="72">
        <v>2</v>
      </c>
      <c r="F677" s="70"/>
      <c r="G677" s="70" t="str">
        <f>IFERROR(VLOOKUP(A677,[1]wms_iv_f!$A$1:$E$136,4,FALSE),"")</f>
        <v/>
      </c>
      <c r="H677" s="95" t="str">
        <f>IFERROR(VLOOKUP(A677,[2]wms_lc_f!$A$1:$B$156,2,FALSE),"")</f>
        <v/>
      </c>
    </row>
    <row r="678" spans="1:8">
      <c r="A678" s="69">
        <v>142654</v>
      </c>
      <c r="B678" s="69" t="s">
        <v>2613</v>
      </c>
      <c r="C678" s="70" t="s">
        <v>1182</v>
      </c>
      <c r="D678" s="70" t="s">
        <v>2610</v>
      </c>
      <c r="E678" s="72">
        <v>2</v>
      </c>
      <c r="F678" s="70"/>
      <c r="G678" s="70" t="str">
        <f>IFERROR(VLOOKUP(A678,[1]wms_iv_f!$A$1:$E$136,4,FALSE),"")</f>
        <v/>
      </c>
      <c r="H678" s="95" t="str">
        <f>IFERROR(VLOOKUP(A678,[2]wms_lc_f!$A$1:$B$156,2,FALSE),"")</f>
        <v/>
      </c>
    </row>
    <row r="679" spans="1:8">
      <c r="A679" s="69">
        <v>104613</v>
      </c>
      <c r="B679" s="69" t="s">
        <v>2613</v>
      </c>
      <c r="C679" s="70" t="s">
        <v>830</v>
      </c>
      <c r="D679" s="70" t="s">
        <v>2610</v>
      </c>
      <c r="E679" s="72">
        <v>2</v>
      </c>
      <c r="F679" s="70"/>
      <c r="G679" s="70" t="str">
        <f>IFERROR(VLOOKUP(A679,[1]wms_iv_f!$A$1:$E$136,4,FALSE),"")</f>
        <v/>
      </c>
      <c r="H679" s="95" t="str">
        <f>IFERROR(VLOOKUP(A679,[2]wms_lc_f!$A$1:$B$156,2,FALSE),"")</f>
        <v/>
      </c>
    </row>
    <row r="680" spans="1:8">
      <c r="A680" s="69">
        <v>136456</v>
      </c>
      <c r="B680" s="69" t="s">
        <v>2613</v>
      </c>
      <c r="C680" s="70" t="s">
        <v>831</v>
      </c>
      <c r="D680" s="70" t="s">
        <v>2610</v>
      </c>
      <c r="E680" s="72">
        <v>2</v>
      </c>
      <c r="F680" s="70"/>
      <c r="G680" s="70" t="str">
        <f>IFERROR(VLOOKUP(A680,[1]wms_iv_f!$A$1:$E$136,4,FALSE),"")</f>
        <v/>
      </c>
      <c r="H680" s="95" t="str">
        <f>IFERROR(VLOOKUP(A680,[2]wms_lc_f!$A$1:$B$156,2,FALSE),"")</f>
        <v/>
      </c>
    </row>
    <row r="681" spans="1:8">
      <c r="A681" s="69">
        <v>633</v>
      </c>
      <c r="B681" s="69" t="s">
        <v>2613</v>
      </c>
      <c r="C681" s="70" t="s">
        <v>832</v>
      </c>
      <c r="D681" s="70" t="s">
        <v>2610</v>
      </c>
      <c r="E681" s="72">
        <v>2</v>
      </c>
      <c r="F681" s="70"/>
      <c r="G681" s="70" t="str">
        <f>IFERROR(VLOOKUP(A681,[1]wms_iv_f!$A$1:$E$136,4,FALSE),"")</f>
        <v/>
      </c>
      <c r="H681" s="95" t="str">
        <f>IFERROR(VLOOKUP(A681,[2]wms_lc_f!$A$1:$B$156,2,FALSE),"")</f>
        <v/>
      </c>
    </row>
    <row r="682" spans="1:8">
      <c r="A682" s="69">
        <v>132701</v>
      </c>
      <c r="B682" s="69" t="s">
        <v>2613</v>
      </c>
      <c r="C682" s="70" t="s">
        <v>718</v>
      </c>
      <c r="D682" s="70" t="s">
        <v>2610</v>
      </c>
      <c r="E682" s="72">
        <v>2</v>
      </c>
      <c r="F682" s="70"/>
      <c r="G682" s="70" t="str">
        <f>IFERROR(VLOOKUP(A682,[1]wms_iv_f!$A$1:$E$136,4,FALSE),"")</f>
        <v/>
      </c>
      <c r="H682" s="95" t="str">
        <f>IFERROR(VLOOKUP(A682,[2]wms_lc_f!$A$1:$B$156,2,FALSE),"")</f>
        <v/>
      </c>
    </row>
    <row r="683" spans="1:8">
      <c r="A683" s="69">
        <v>94337</v>
      </c>
      <c r="B683" s="69" t="s">
        <v>2613</v>
      </c>
      <c r="C683" s="70" t="s">
        <v>719</v>
      </c>
      <c r="D683" s="70" t="s">
        <v>2610</v>
      </c>
      <c r="E683" s="72">
        <v>2</v>
      </c>
      <c r="F683" s="70"/>
      <c r="G683" s="70" t="str">
        <f>IFERROR(VLOOKUP(A683,[1]wms_iv_f!$A$1:$E$136,4,FALSE),"")</f>
        <v/>
      </c>
      <c r="H683" s="95" t="str">
        <f>IFERROR(VLOOKUP(A683,[2]wms_lc_f!$A$1:$B$156,2,FALSE),"")</f>
        <v/>
      </c>
    </row>
    <row r="684" spans="1:8">
      <c r="A684" s="69">
        <v>14492</v>
      </c>
      <c r="B684" s="69" t="s">
        <v>2613</v>
      </c>
      <c r="C684" s="70" t="s">
        <v>720</v>
      </c>
      <c r="D684" s="70" t="s">
        <v>2610</v>
      </c>
      <c r="E684" s="72">
        <v>2</v>
      </c>
      <c r="F684" s="70"/>
      <c r="G684" s="70" t="str">
        <f>IFERROR(VLOOKUP(A684,[1]wms_iv_f!$A$1:$E$136,4,FALSE),"")</f>
        <v/>
      </c>
      <c r="H684" s="95" t="str">
        <f>IFERROR(VLOOKUP(A684,[2]wms_lc_f!$A$1:$B$156,2,FALSE),"")</f>
        <v/>
      </c>
    </row>
    <row r="685" spans="1:8">
      <c r="A685" s="69">
        <v>112596</v>
      </c>
      <c r="B685" s="69" t="s">
        <v>2613</v>
      </c>
      <c r="C685" s="70" t="s">
        <v>721</v>
      </c>
      <c r="D685" s="70" t="s">
        <v>2610</v>
      </c>
      <c r="E685" s="72">
        <v>2</v>
      </c>
      <c r="F685" s="70"/>
      <c r="G685" s="70" t="str">
        <f>IFERROR(VLOOKUP(A685,[1]wms_iv_f!$A$1:$E$136,4,FALSE),"")</f>
        <v/>
      </c>
      <c r="H685" s="95" t="str">
        <f>IFERROR(VLOOKUP(A685,[2]wms_lc_f!$A$1:$B$156,2,FALSE),"")</f>
        <v/>
      </c>
    </row>
    <row r="686" spans="1:8">
      <c r="A686" s="69">
        <v>132719</v>
      </c>
      <c r="B686" s="69" t="s">
        <v>2613</v>
      </c>
      <c r="C686" s="70" t="s">
        <v>722</v>
      </c>
      <c r="D686" s="70" t="s">
        <v>2610</v>
      </c>
      <c r="E686" s="72">
        <v>2</v>
      </c>
      <c r="F686" s="70"/>
      <c r="G686" s="70" t="str">
        <f>IFERROR(VLOOKUP(A686,[1]wms_iv_f!$A$1:$E$136,4,FALSE),"")</f>
        <v/>
      </c>
      <c r="H686" s="95" t="str">
        <f>IFERROR(VLOOKUP(A686,[2]wms_lc_f!$A$1:$B$156,2,FALSE),"")</f>
        <v/>
      </c>
    </row>
    <row r="687" spans="1:8">
      <c r="A687" s="69">
        <v>848</v>
      </c>
      <c r="B687" s="69" t="s">
        <v>2613</v>
      </c>
      <c r="C687" s="70" t="s">
        <v>723</v>
      </c>
      <c r="D687" s="70" t="s">
        <v>2610</v>
      </c>
      <c r="E687" s="72">
        <v>2</v>
      </c>
      <c r="F687" s="70"/>
      <c r="G687" s="70" t="str">
        <f>IFERROR(VLOOKUP(A687,[1]wms_iv_f!$A$1:$E$136,4,FALSE),"")</f>
        <v/>
      </c>
      <c r="H687" s="95" t="str">
        <f>IFERROR(VLOOKUP(A687,[2]wms_lc_f!$A$1:$B$156,2,FALSE),"")</f>
        <v/>
      </c>
    </row>
    <row r="688" spans="1:8">
      <c r="A688" s="69">
        <v>699</v>
      </c>
      <c r="B688" s="69" t="s">
        <v>2613</v>
      </c>
      <c r="C688" s="70" t="s">
        <v>942</v>
      </c>
      <c r="D688" s="70" t="s">
        <v>2610</v>
      </c>
      <c r="E688" s="72">
        <v>2</v>
      </c>
      <c r="F688" s="70"/>
      <c r="G688" s="70" t="str">
        <f>IFERROR(VLOOKUP(A688,[1]wms_iv_f!$A$1:$E$136,4,FALSE),"")</f>
        <v/>
      </c>
      <c r="H688" s="95" t="str">
        <f>IFERROR(VLOOKUP(A688,[2]wms_lc_f!$A$1:$B$156,2,FALSE),"")</f>
        <v/>
      </c>
    </row>
    <row r="689" spans="1:8">
      <c r="A689" s="69">
        <v>134825</v>
      </c>
      <c r="B689" s="69" t="s">
        <v>2613</v>
      </c>
      <c r="C689" s="70" t="s">
        <v>943</v>
      </c>
      <c r="D689" s="70" t="s">
        <v>2610</v>
      </c>
      <c r="E689" s="72">
        <v>2</v>
      </c>
      <c r="F689" s="70"/>
      <c r="G689" s="70" t="str">
        <f>IFERROR(VLOOKUP(A689,[1]wms_iv_f!$A$1:$E$136,4,FALSE),"")</f>
        <v/>
      </c>
      <c r="H689" s="95" t="str">
        <f>IFERROR(VLOOKUP(A689,[2]wms_lc_f!$A$1:$B$156,2,FALSE),"")</f>
        <v/>
      </c>
    </row>
    <row r="690" spans="1:8">
      <c r="A690" s="81">
        <v>35047</v>
      </c>
      <c r="B690" s="69" t="s">
        <v>2613</v>
      </c>
      <c r="C690" s="70" t="s">
        <v>944</v>
      </c>
      <c r="D690" s="70" t="s">
        <v>2610</v>
      </c>
      <c r="E690" s="72">
        <v>2</v>
      </c>
      <c r="F690" s="70"/>
      <c r="G690" s="70" t="str">
        <f>IFERROR(VLOOKUP(A690,[1]wms_iv_f!$A$1:$E$136,4,FALSE),"")</f>
        <v/>
      </c>
      <c r="H690" s="95" t="str">
        <f>IFERROR(VLOOKUP(A690,[2]wms_lc_f!$A$1:$B$156,2,FALSE),"")</f>
        <v/>
      </c>
    </row>
    <row r="691" spans="1:8">
      <c r="A691" s="81">
        <v>80423</v>
      </c>
      <c r="B691" s="69" t="s">
        <v>2613</v>
      </c>
      <c r="C691" s="70" t="s">
        <v>945</v>
      </c>
      <c r="D691" s="70" t="s">
        <v>2610</v>
      </c>
      <c r="E691" s="72">
        <v>2</v>
      </c>
      <c r="F691" s="70"/>
      <c r="G691" s="70" t="str">
        <f>IFERROR(VLOOKUP(A691,[1]wms_iv_f!$A$1:$E$136,4,FALSE),"")</f>
        <v/>
      </c>
      <c r="H691" s="95" t="str">
        <f>IFERROR(VLOOKUP(A691,[2]wms_lc_f!$A$1:$B$156,2,FALSE),"")</f>
        <v/>
      </c>
    </row>
    <row r="692" spans="1:8">
      <c r="A692" s="69">
        <v>86736</v>
      </c>
      <c r="B692" s="69" t="s">
        <v>2613</v>
      </c>
      <c r="C692" s="70" t="s">
        <v>946</v>
      </c>
      <c r="D692" s="70" t="s">
        <v>2610</v>
      </c>
      <c r="E692" s="72">
        <v>2</v>
      </c>
      <c r="F692" s="70"/>
      <c r="G692" s="70" t="str">
        <f>IFERROR(VLOOKUP(A692,[1]wms_iv_f!$A$1:$E$136,4,FALSE),"")</f>
        <v/>
      </c>
      <c r="H692" s="95" t="str">
        <f>IFERROR(VLOOKUP(A692,[2]wms_lc_f!$A$1:$B$156,2,FALSE),"")</f>
        <v/>
      </c>
    </row>
    <row r="693" spans="1:8">
      <c r="A693" s="81">
        <v>113447</v>
      </c>
      <c r="B693" s="69" t="s">
        <v>2613</v>
      </c>
      <c r="C693" s="70" t="s">
        <v>947</v>
      </c>
      <c r="D693" s="70" t="s">
        <v>2610</v>
      </c>
      <c r="E693" s="72">
        <v>2</v>
      </c>
      <c r="F693" s="70"/>
      <c r="G693" s="70" t="str">
        <f>IFERROR(VLOOKUP(A693,[1]wms_iv_f!$A$1:$E$136,4,FALSE),"")</f>
        <v/>
      </c>
      <c r="H693" s="95" t="str">
        <f>IFERROR(VLOOKUP(A693,[2]wms_lc_f!$A$1:$B$156,2,FALSE),"")</f>
        <v/>
      </c>
    </row>
    <row r="694" spans="1:8">
      <c r="A694" s="81">
        <v>113996</v>
      </c>
      <c r="B694" s="69" t="s">
        <v>2613</v>
      </c>
      <c r="C694" s="70" t="s">
        <v>833</v>
      </c>
      <c r="D694" s="70" t="s">
        <v>2610</v>
      </c>
      <c r="E694" s="72">
        <v>2</v>
      </c>
      <c r="F694" s="70"/>
      <c r="G694" s="70" t="str">
        <f>IFERROR(VLOOKUP(A694,[1]wms_iv_f!$A$1:$E$136,4,FALSE),"")</f>
        <v/>
      </c>
      <c r="H694" s="95" t="str">
        <f>IFERROR(VLOOKUP(A694,[2]wms_lc_f!$A$1:$B$156,2,FALSE),"")</f>
        <v/>
      </c>
    </row>
    <row r="695" spans="1:8">
      <c r="A695" s="69">
        <v>101019</v>
      </c>
      <c r="B695" s="69" t="s">
        <v>2613</v>
      </c>
      <c r="C695" s="70" t="s">
        <v>834</v>
      </c>
      <c r="D695" s="70" t="s">
        <v>2610</v>
      </c>
      <c r="E695" s="72">
        <v>2</v>
      </c>
      <c r="F695" s="70"/>
      <c r="G695" s="70" t="str">
        <f>IFERROR(VLOOKUP(A695,[1]wms_iv_f!$A$1:$E$136,4,FALSE),"")</f>
        <v/>
      </c>
      <c r="H695" s="95" t="str">
        <f>IFERROR(VLOOKUP(A695,[2]wms_lc_f!$A$1:$B$156,2,FALSE),"")</f>
        <v/>
      </c>
    </row>
    <row r="696" spans="1:8">
      <c r="A696" s="69">
        <v>33595</v>
      </c>
      <c r="B696" s="69" t="s">
        <v>2613</v>
      </c>
      <c r="C696" s="70" t="s">
        <v>835</v>
      </c>
      <c r="D696" s="70" t="s">
        <v>2610</v>
      </c>
      <c r="E696" s="72">
        <v>2</v>
      </c>
      <c r="F696" s="70"/>
      <c r="G696" s="70" t="str">
        <f>IFERROR(VLOOKUP(A696,[1]wms_iv_f!$A$1:$E$136,4,FALSE),"")</f>
        <v/>
      </c>
      <c r="H696" s="95" t="str">
        <f>IFERROR(VLOOKUP(A696,[2]wms_lc_f!$A$1:$B$156,2,FALSE),"")</f>
        <v>12-114-C5</v>
      </c>
    </row>
    <row r="697" spans="1:8">
      <c r="A697" s="69">
        <v>7502</v>
      </c>
      <c r="B697" s="69" t="s">
        <v>2613</v>
      </c>
      <c r="C697" s="70" t="s">
        <v>836</v>
      </c>
      <c r="D697" s="70" t="s">
        <v>2610</v>
      </c>
      <c r="E697" s="72">
        <v>2</v>
      </c>
      <c r="F697" s="70"/>
      <c r="G697" s="70" t="str">
        <f>IFERROR(VLOOKUP(A697,[1]wms_iv_f!$A$1:$E$136,4,FALSE),"")</f>
        <v/>
      </c>
      <c r="H697" s="95" t="str">
        <f>IFERROR(VLOOKUP(A697,[2]wms_lc_f!$A$1:$B$156,2,FALSE),"")</f>
        <v/>
      </c>
    </row>
    <row r="698" spans="1:8">
      <c r="A698" s="69">
        <v>156826</v>
      </c>
      <c r="B698" s="69" t="s">
        <v>2613</v>
      </c>
      <c r="C698" s="70" t="s">
        <v>837</v>
      </c>
      <c r="D698" s="70" t="s">
        <v>2610</v>
      </c>
      <c r="E698" s="72">
        <v>2</v>
      </c>
      <c r="F698" s="70"/>
      <c r="G698" s="70" t="str">
        <f>IFERROR(VLOOKUP(A698,[1]wms_iv_f!$A$1:$E$136,4,FALSE),"")</f>
        <v/>
      </c>
      <c r="H698" s="95" t="str">
        <f>IFERROR(VLOOKUP(A698,[2]wms_lc_f!$A$1:$B$156,2,FALSE),"")</f>
        <v/>
      </c>
    </row>
    <row r="699" spans="1:8">
      <c r="A699" s="69">
        <v>517</v>
      </c>
      <c r="B699" s="69" t="s">
        <v>2613</v>
      </c>
      <c r="C699" s="70" t="s">
        <v>838</v>
      </c>
      <c r="D699" s="70" t="s">
        <v>2610</v>
      </c>
      <c r="E699" s="72">
        <v>2</v>
      </c>
      <c r="F699" s="70"/>
      <c r="G699" s="70" t="str">
        <f>IFERROR(VLOOKUP(A699,[1]wms_iv_f!$A$1:$E$136,4,FALSE),"")</f>
        <v/>
      </c>
      <c r="H699" s="95" t="str">
        <f>IFERROR(VLOOKUP(A699,[2]wms_lc_f!$A$1:$B$156,2,FALSE),"")</f>
        <v/>
      </c>
    </row>
    <row r="700" spans="1:8">
      <c r="A700" s="69">
        <v>124947</v>
      </c>
      <c r="B700" s="69" t="s">
        <v>2613</v>
      </c>
      <c r="C700" s="70" t="s">
        <v>724</v>
      </c>
      <c r="D700" s="70" t="s">
        <v>2610</v>
      </c>
      <c r="E700" s="72">
        <v>2</v>
      </c>
      <c r="F700" s="70"/>
      <c r="G700" s="70" t="str">
        <f>IFERROR(VLOOKUP(A700,[1]wms_iv_f!$A$1:$E$136,4,FALSE),"")</f>
        <v/>
      </c>
      <c r="H700" s="95" t="str">
        <f>IFERROR(VLOOKUP(A700,[2]wms_lc_f!$A$1:$B$156,2,FALSE),"")</f>
        <v/>
      </c>
    </row>
    <row r="701" spans="1:8">
      <c r="A701" s="69">
        <v>112435</v>
      </c>
      <c r="B701" s="69" t="s">
        <v>2613</v>
      </c>
      <c r="C701" s="70" t="s">
        <v>725</v>
      </c>
      <c r="D701" s="70" t="s">
        <v>2610</v>
      </c>
      <c r="E701" s="72">
        <v>2</v>
      </c>
      <c r="F701" s="70"/>
      <c r="G701" s="70" t="str">
        <f>IFERROR(VLOOKUP(A701,[1]wms_iv_f!$A$1:$E$136,4,FALSE),"")</f>
        <v/>
      </c>
      <c r="H701" s="95" t="str">
        <f>IFERROR(VLOOKUP(A701,[2]wms_lc_f!$A$1:$B$156,2,FALSE),"")</f>
        <v>12-116-D4</v>
      </c>
    </row>
    <row r="702" spans="1:8">
      <c r="A702" s="81">
        <v>119829</v>
      </c>
      <c r="B702" s="69" t="s">
        <v>2613</v>
      </c>
      <c r="C702" s="70" t="s">
        <v>726</v>
      </c>
      <c r="D702" s="70" t="s">
        <v>2610</v>
      </c>
      <c r="E702" s="79">
        <v>2</v>
      </c>
      <c r="F702" s="70"/>
      <c r="G702" s="70" t="str">
        <f>IFERROR(VLOOKUP(A702,[1]wms_iv_f!$A$1:$E$136,4,FALSE),"")</f>
        <v/>
      </c>
      <c r="H702" s="95" t="str">
        <f>IFERROR(VLOOKUP(A702,[2]wms_lc_f!$A$1:$B$156,2,FALSE),"")</f>
        <v/>
      </c>
    </row>
    <row r="703" spans="1:8">
      <c r="A703" s="81">
        <v>101304</v>
      </c>
      <c r="B703" s="69" t="s">
        <v>2613</v>
      </c>
      <c r="C703" s="70" t="s">
        <v>727</v>
      </c>
      <c r="D703" s="70" t="s">
        <v>2610</v>
      </c>
      <c r="E703" s="72">
        <v>2</v>
      </c>
      <c r="F703" s="70"/>
      <c r="G703" s="70" t="str">
        <f>IFERROR(VLOOKUP(A703,[1]wms_iv_f!$A$1:$E$136,4,FALSE),"")</f>
        <v/>
      </c>
      <c r="H703" s="95" t="str">
        <f>IFERROR(VLOOKUP(A703,[2]wms_lc_f!$A$1:$B$156,2,FALSE),"")</f>
        <v/>
      </c>
    </row>
    <row r="704" spans="1:8">
      <c r="A704" s="69">
        <v>110052</v>
      </c>
      <c r="B704" s="69" t="s">
        <v>2613</v>
      </c>
      <c r="C704" s="70" t="s">
        <v>728</v>
      </c>
      <c r="D704" s="70" t="s">
        <v>2610</v>
      </c>
      <c r="E704" s="72">
        <v>2</v>
      </c>
      <c r="F704" s="70"/>
      <c r="G704" s="70" t="str">
        <f>IFERROR(VLOOKUP(A704,[1]wms_iv_f!$A$1:$E$136,4,FALSE),"")</f>
        <v/>
      </c>
      <c r="H704" s="95" t="str">
        <f>IFERROR(VLOOKUP(A704,[2]wms_lc_f!$A$1:$B$156,2,FALSE),"")</f>
        <v/>
      </c>
    </row>
    <row r="705" spans="1:8">
      <c r="A705" s="81">
        <v>126196</v>
      </c>
      <c r="B705" s="69" t="s">
        <v>2613</v>
      </c>
      <c r="C705" s="70" t="s">
        <v>729</v>
      </c>
      <c r="D705" s="70" t="s">
        <v>2610</v>
      </c>
      <c r="E705" s="79">
        <v>2</v>
      </c>
      <c r="F705" s="70"/>
      <c r="G705" s="70" t="str">
        <f>IFERROR(VLOOKUP(A705,[1]wms_iv_f!$A$1:$E$136,4,FALSE),"")</f>
        <v/>
      </c>
      <c r="H705" s="95" t="str">
        <f>IFERROR(VLOOKUP(A705,[2]wms_lc_f!$A$1:$B$156,2,FALSE),"")</f>
        <v/>
      </c>
    </row>
    <row r="706" spans="1:8">
      <c r="A706" s="81">
        <v>67670</v>
      </c>
      <c r="B706" s="69" t="s">
        <v>2613</v>
      </c>
      <c r="C706" s="70" t="s">
        <v>948</v>
      </c>
      <c r="D706" s="70" t="s">
        <v>2610</v>
      </c>
      <c r="E706" s="72">
        <v>2</v>
      </c>
      <c r="F706" s="70"/>
      <c r="G706" s="70" t="str">
        <f>IFERROR(VLOOKUP(A706,[1]wms_iv_f!$A$1:$E$136,4,FALSE),"")</f>
        <v/>
      </c>
      <c r="H706" s="95" t="str">
        <f>IFERROR(VLOOKUP(A706,[2]wms_lc_f!$A$1:$B$156,2,FALSE),"")</f>
        <v>12-114-E2</v>
      </c>
    </row>
    <row r="707" spans="1:8">
      <c r="A707" s="69">
        <v>156208</v>
      </c>
      <c r="B707" s="69" t="s">
        <v>2613</v>
      </c>
      <c r="C707" s="70" t="s">
        <v>949</v>
      </c>
      <c r="D707" s="70" t="s">
        <v>2610</v>
      </c>
      <c r="E707" s="72">
        <v>2</v>
      </c>
      <c r="F707" s="70"/>
      <c r="G707" s="70" t="str">
        <f>IFERROR(VLOOKUP(A707,[1]wms_iv_f!$A$1:$E$136,4,FALSE),"")</f>
        <v/>
      </c>
      <c r="H707" s="95" t="str">
        <f>IFERROR(VLOOKUP(A707,[2]wms_lc_f!$A$1:$B$156,2,FALSE),"")</f>
        <v/>
      </c>
    </row>
    <row r="708" spans="1:8">
      <c r="A708" s="69">
        <v>109852</v>
      </c>
      <c r="B708" s="69" t="s">
        <v>2613</v>
      </c>
      <c r="C708" s="70" t="s">
        <v>950</v>
      </c>
      <c r="D708" s="70" t="s">
        <v>2610</v>
      </c>
      <c r="E708" s="72">
        <v>2</v>
      </c>
      <c r="F708" s="70"/>
      <c r="G708" s="70" t="str">
        <f>IFERROR(VLOOKUP(A708,[1]wms_iv_f!$A$1:$E$136,4,FALSE),"")</f>
        <v/>
      </c>
      <c r="H708" s="95" t="str">
        <f>IFERROR(VLOOKUP(A708,[2]wms_lc_f!$A$1:$B$156,2,FALSE),"")</f>
        <v/>
      </c>
    </row>
    <row r="709" spans="1:8">
      <c r="A709" s="81">
        <v>86626</v>
      </c>
      <c r="B709" s="69" t="s">
        <v>2613</v>
      </c>
      <c r="C709" s="70" t="s">
        <v>951</v>
      </c>
      <c r="D709" s="70" t="s">
        <v>2610</v>
      </c>
      <c r="E709" s="72">
        <v>2</v>
      </c>
      <c r="F709" s="70"/>
      <c r="G709" s="70" t="str">
        <f>IFERROR(VLOOKUP(A709,[1]wms_iv_f!$A$1:$E$136,4,FALSE),"")</f>
        <v/>
      </c>
      <c r="H709" s="95" t="str">
        <f>IFERROR(VLOOKUP(A709,[2]wms_lc_f!$A$1:$B$156,2,FALSE),"")</f>
        <v>12-112-C2</v>
      </c>
    </row>
    <row r="710" spans="1:8">
      <c r="A710" s="81">
        <v>139613</v>
      </c>
      <c r="B710" s="69" t="s">
        <v>2613</v>
      </c>
      <c r="C710" s="70" t="s">
        <v>2633</v>
      </c>
      <c r="D710" s="70" t="s">
        <v>2610</v>
      </c>
      <c r="E710" s="72">
        <v>2</v>
      </c>
      <c r="F710" s="70"/>
      <c r="G710" s="70" t="str">
        <f>IFERROR(VLOOKUP(A710,[1]wms_iv_f!$A$1:$E$136,4,FALSE),"")</f>
        <v/>
      </c>
      <c r="H710" s="95" t="str">
        <f>IFERROR(VLOOKUP(A710,[2]wms_lc_f!$A$1:$B$156,2,FALSE),"")</f>
        <v/>
      </c>
    </row>
    <row r="711" spans="1:8">
      <c r="A711" s="69">
        <v>26814</v>
      </c>
      <c r="B711" s="69" t="s">
        <v>2613</v>
      </c>
      <c r="C711" s="70" t="s">
        <v>840</v>
      </c>
      <c r="D711" s="70" t="s">
        <v>2610</v>
      </c>
      <c r="E711" s="72">
        <v>2</v>
      </c>
      <c r="F711" s="70"/>
      <c r="G711" s="70" t="str">
        <f>IFERROR(VLOOKUP(A711,[1]wms_iv_f!$A$1:$E$136,4,FALSE),"")</f>
        <v/>
      </c>
      <c r="H711" s="95" t="str">
        <f>IFERROR(VLOOKUP(A711,[2]wms_lc_f!$A$1:$B$156,2,FALSE),"")</f>
        <v>12-114-D8</v>
      </c>
    </row>
    <row r="712" spans="1:8">
      <c r="A712" s="81">
        <v>135380</v>
      </c>
      <c r="B712" s="69" t="s">
        <v>2613</v>
      </c>
      <c r="C712" s="70" t="s">
        <v>841</v>
      </c>
      <c r="D712" s="70" t="s">
        <v>2610</v>
      </c>
      <c r="E712" s="72">
        <v>2</v>
      </c>
      <c r="F712" s="70"/>
      <c r="G712" s="70" t="str">
        <f>IFERROR(VLOOKUP(A712,[1]wms_iv_f!$A$1:$E$136,4,FALSE),"")</f>
        <v/>
      </c>
      <c r="H712" s="95" t="str">
        <f>IFERROR(VLOOKUP(A712,[2]wms_lc_f!$A$1:$B$156,2,FALSE),"")</f>
        <v/>
      </c>
    </row>
    <row r="713" spans="1:8">
      <c r="A713" s="81">
        <v>119</v>
      </c>
      <c r="B713" s="69" t="s">
        <v>2613</v>
      </c>
      <c r="C713" s="70" t="s">
        <v>1251</v>
      </c>
      <c r="D713" s="70" t="s">
        <v>2610</v>
      </c>
      <c r="E713" s="72">
        <v>2</v>
      </c>
      <c r="F713" s="70"/>
      <c r="G713" s="70" t="str">
        <f>IFERROR(VLOOKUP(A713,[1]wms_iv_f!$A$1:$E$136,4,FALSE),"")</f>
        <v/>
      </c>
      <c r="H713" s="95" t="str">
        <f>IFERROR(VLOOKUP(A713,[2]wms_lc_f!$A$1:$B$156,2,FALSE),"")</f>
        <v/>
      </c>
    </row>
    <row r="714" spans="1:8">
      <c r="A714" s="69">
        <v>968</v>
      </c>
      <c r="B714" s="69" t="s">
        <v>2613</v>
      </c>
      <c r="C714" s="70" t="s">
        <v>1023</v>
      </c>
      <c r="D714" s="70" t="s">
        <v>2610</v>
      </c>
      <c r="E714" s="72">
        <v>2</v>
      </c>
      <c r="F714" s="70"/>
      <c r="G714" s="70" t="str">
        <f>IFERROR(VLOOKUP(A714,[1]wms_iv_f!$A$1:$E$136,4,FALSE),"")</f>
        <v/>
      </c>
      <c r="H714" s="95" t="str">
        <f>IFERROR(VLOOKUP(A714,[2]wms_lc_f!$A$1:$B$156,2,FALSE),"")</f>
        <v/>
      </c>
    </row>
    <row r="715" spans="1:8">
      <c r="A715" s="69">
        <v>1132</v>
      </c>
      <c r="B715" s="69" t="s">
        <v>2613</v>
      </c>
      <c r="C715" s="70" t="s">
        <v>1021</v>
      </c>
      <c r="D715" s="70" t="s">
        <v>2610</v>
      </c>
      <c r="E715" s="72">
        <v>2</v>
      </c>
      <c r="F715" s="70"/>
      <c r="G715" s="70" t="str">
        <f>IFERROR(VLOOKUP(A715,[1]wms_iv_f!$A$1:$E$136,4,FALSE),"")</f>
        <v/>
      </c>
      <c r="H715" s="95" t="str">
        <f>IFERROR(VLOOKUP(A715,[2]wms_lc_f!$A$1:$B$156,2,FALSE),"")</f>
        <v/>
      </c>
    </row>
    <row r="716" spans="1:8">
      <c r="A716" s="69">
        <v>1866</v>
      </c>
      <c r="B716" s="69" t="s">
        <v>2613</v>
      </c>
      <c r="C716" s="70" t="s">
        <v>1128</v>
      </c>
      <c r="D716" s="70" t="s">
        <v>2610</v>
      </c>
      <c r="E716" s="72">
        <v>2</v>
      </c>
      <c r="F716" s="70"/>
      <c r="G716" s="70" t="str">
        <f>IFERROR(VLOOKUP(A716,[1]wms_iv_f!$A$1:$E$136,4,FALSE),"")</f>
        <v/>
      </c>
      <c r="H716" s="95" t="str">
        <f>IFERROR(VLOOKUP(A716,[2]wms_lc_f!$A$1:$B$156,2,FALSE),"")</f>
        <v/>
      </c>
    </row>
    <row r="717" spans="1:8">
      <c r="A717" s="69">
        <v>9629</v>
      </c>
      <c r="B717" s="69" t="s">
        <v>2613</v>
      </c>
      <c r="C717" s="70" t="s">
        <v>1020</v>
      </c>
      <c r="D717" s="70" t="s">
        <v>2610</v>
      </c>
      <c r="E717" s="72">
        <v>2</v>
      </c>
      <c r="F717" s="70"/>
      <c r="G717" s="70" t="str">
        <f>IFERROR(VLOOKUP(A717,[1]wms_iv_f!$A$1:$E$136,4,FALSE),"")</f>
        <v/>
      </c>
      <c r="H717" s="95" t="str">
        <f>IFERROR(VLOOKUP(A717,[2]wms_lc_f!$A$1:$B$156,2,FALSE),"")</f>
        <v>12-112-E5</v>
      </c>
    </row>
    <row r="718" spans="1:8">
      <c r="A718" s="69">
        <v>10958</v>
      </c>
      <c r="B718" s="69" t="s">
        <v>2613</v>
      </c>
      <c r="C718" s="70" t="s">
        <v>1130</v>
      </c>
      <c r="D718" s="70" t="s">
        <v>2610</v>
      </c>
      <c r="E718" s="72">
        <v>2</v>
      </c>
      <c r="F718" s="70"/>
      <c r="G718" s="70" t="str">
        <f>IFERROR(VLOOKUP(A718,[1]wms_iv_f!$A$1:$E$136,4,FALSE),"")</f>
        <v/>
      </c>
      <c r="H718" s="95" t="str">
        <f>IFERROR(VLOOKUP(A718,[2]wms_lc_f!$A$1:$B$156,2,FALSE),"")</f>
        <v/>
      </c>
    </row>
    <row r="719" spans="1:8">
      <c r="A719" s="69">
        <v>12962</v>
      </c>
      <c r="B719" s="69" t="s">
        <v>2613</v>
      </c>
      <c r="C719" s="70" t="s">
        <v>1022</v>
      </c>
      <c r="D719" s="70" t="s">
        <v>2610</v>
      </c>
      <c r="E719" s="72">
        <v>2</v>
      </c>
      <c r="F719" s="70"/>
      <c r="G719" s="70" t="str">
        <f>IFERROR(VLOOKUP(A719,[1]wms_iv_f!$A$1:$E$136,4,FALSE),"")</f>
        <v/>
      </c>
      <c r="H719" s="95" t="str">
        <f>IFERROR(VLOOKUP(A719,[2]wms_lc_f!$A$1:$B$156,2,FALSE),"")</f>
        <v/>
      </c>
    </row>
    <row r="720" spans="1:8">
      <c r="A720" s="69">
        <v>13568</v>
      </c>
      <c r="B720" s="69" t="s">
        <v>2613</v>
      </c>
      <c r="C720" s="70" t="s">
        <v>1244</v>
      </c>
      <c r="D720" s="70" t="s">
        <v>2610</v>
      </c>
      <c r="E720" s="72">
        <v>2</v>
      </c>
      <c r="F720" s="70"/>
      <c r="G720" s="70" t="str">
        <f>IFERROR(VLOOKUP(A720,[1]wms_iv_f!$A$1:$E$136,4,FALSE),"")</f>
        <v/>
      </c>
      <c r="H720" s="95" t="str">
        <f>IFERROR(VLOOKUP(A720,[2]wms_lc_f!$A$1:$B$156,2,FALSE),"")</f>
        <v/>
      </c>
    </row>
    <row r="721" spans="1:8">
      <c r="A721" s="69">
        <v>26603</v>
      </c>
      <c r="B721" s="69" t="s">
        <v>2613</v>
      </c>
      <c r="C721" s="70" t="s">
        <v>1246</v>
      </c>
      <c r="D721" s="70" t="s">
        <v>2610</v>
      </c>
      <c r="E721" s="72">
        <v>2</v>
      </c>
      <c r="F721" s="70"/>
      <c r="G721" s="70" t="str">
        <f>IFERROR(VLOOKUP(A721,[1]wms_iv_f!$A$1:$E$136,4,FALSE),"")</f>
        <v/>
      </c>
      <c r="H721" s="95" t="str">
        <f>IFERROR(VLOOKUP(A721,[2]wms_lc_f!$A$1:$B$156,2,FALSE),"")</f>
        <v/>
      </c>
    </row>
    <row r="722" spans="1:8">
      <c r="A722" s="69">
        <v>31746</v>
      </c>
      <c r="B722" s="69" t="s">
        <v>2613</v>
      </c>
      <c r="C722" s="70" t="s">
        <v>1138</v>
      </c>
      <c r="D722" s="70" t="s">
        <v>2610</v>
      </c>
      <c r="E722" s="72">
        <v>2</v>
      </c>
      <c r="F722" s="70"/>
      <c r="G722" s="70" t="str">
        <f>IFERROR(VLOOKUP(A722,[1]wms_iv_f!$A$1:$E$136,4,FALSE),"")</f>
        <v/>
      </c>
      <c r="H722" s="95" t="str">
        <f>IFERROR(VLOOKUP(A722,[2]wms_lc_f!$A$1:$B$156,2,FALSE),"")</f>
        <v/>
      </c>
    </row>
    <row r="723" spans="1:8">
      <c r="A723" s="68">
        <v>37764</v>
      </c>
      <c r="B723" s="69" t="s">
        <v>2613</v>
      </c>
      <c r="C723" s="76" t="s">
        <v>1137</v>
      </c>
      <c r="D723" s="76" t="s">
        <v>2610</v>
      </c>
      <c r="E723" s="72">
        <v>2</v>
      </c>
      <c r="F723" s="70"/>
      <c r="G723" s="70" t="str">
        <f>IFERROR(VLOOKUP(A723,[1]wms_iv_f!$A$1:$E$136,4,FALSE),"")</f>
        <v/>
      </c>
      <c r="H723" s="95" t="str">
        <f>IFERROR(VLOOKUP(A723,[2]wms_lc_f!$A$1:$B$156,2,FALSE),"")</f>
        <v/>
      </c>
    </row>
    <row r="724" spans="1:8">
      <c r="A724" s="71">
        <v>40075</v>
      </c>
      <c r="B724" s="69" t="s">
        <v>2613</v>
      </c>
      <c r="C724" s="70" t="s">
        <v>1247</v>
      </c>
      <c r="D724" s="70" t="s">
        <v>2610</v>
      </c>
      <c r="E724" s="72">
        <v>2</v>
      </c>
      <c r="F724" s="70"/>
      <c r="G724" s="70" t="str">
        <f>IFERROR(VLOOKUP(A724,[1]wms_iv_f!$A$1:$E$136,4,FALSE),"")</f>
        <v/>
      </c>
      <c r="H724" s="95" t="str">
        <f>IFERROR(VLOOKUP(A724,[2]wms_lc_f!$A$1:$B$156,2,FALSE),"")</f>
        <v/>
      </c>
    </row>
    <row r="725" spans="1:8">
      <c r="A725" s="71">
        <v>48265</v>
      </c>
      <c r="B725" s="69" t="s">
        <v>2613</v>
      </c>
      <c r="C725" s="70" t="s">
        <v>1252</v>
      </c>
      <c r="D725" s="70" t="s">
        <v>2610</v>
      </c>
      <c r="E725" s="72">
        <v>2</v>
      </c>
      <c r="F725" s="70"/>
      <c r="G725" s="70" t="str">
        <f>IFERROR(VLOOKUP(A725,[1]wms_iv_f!$A$1:$E$136,4,FALSE),"")</f>
        <v/>
      </c>
      <c r="H725" s="95" t="str">
        <f>IFERROR(VLOOKUP(A725,[2]wms_lc_f!$A$1:$B$156,2,FALSE),"")</f>
        <v>12-118-D7</v>
      </c>
    </row>
    <row r="726" spans="1:8">
      <c r="A726" s="71">
        <v>86672</v>
      </c>
      <c r="B726" s="69" t="s">
        <v>2613</v>
      </c>
      <c r="C726" s="70" t="s">
        <v>1245</v>
      </c>
      <c r="D726" s="70" t="s">
        <v>2610</v>
      </c>
      <c r="E726" s="72">
        <v>2</v>
      </c>
      <c r="F726" s="70"/>
      <c r="G726" s="70" t="str">
        <f>IFERROR(VLOOKUP(A726,[1]wms_iv_f!$A$1:$E$136,4,FALSE),"")</f>
        <v/>
      </c>
      <c r="H726" s="95" t="str">
        <f>IFERROR(VLOOKUP(A726,[2]wms_lc_f!$A$1:$B$156,2,FALSE),"")</f>
        <v/>
      </c>
    </row>
    <row r="727" spans="1:8">
      <c r="A727" s="73">
        <v>93977</v>
      </c>
      <c r="B727" s="69" t="s">
        <v>2613</v>
      </c>
      <c r="C727" s="70" t="s">
        <v>1248</v>
      </c>
      <c r="D727" s="70" t="s">
        <v>2610</v>
      </c>
      <c r="E727" s="79">
        <v>2</v>
      </c>
      <c r="F727" s="70"/>
      <c r="G727" s="70" t="str">
        <f>IFERROR(VLOOKUP(A727,[1]wms_iv_f!$A$1:$E$136,4,FALSE),"")</f>
        <v/>
      </c>
      <c r="H727" s="95" t="str">
        <f>IFERROR(VLOOKUP(A727,[2]wms_lc_f!$A$1:$B$156,2,FALSE),"")</f>
        <v/>
      </c>
    </row>
    <row r="728" spans="1:8">
      <c r="A728" s="69">
        <v>102981</v>
      </c>
      <c r="B728" s="69" t="s">
        <v>2613</v>
      </c>
      <c r="C728" s="70" t="s">
        <v>1019</v>
      </c>
      <c r="D728" s="70" t="s">
        <v>2610</v>
      </c>
      <c r="E728" s="72">
        <v>2</v>
      </c>
      <c r="F728" s="70"/>
      <c r="G728" s="70" t="str">
        <f>IFERROR(VLOOKUP(A728,[1]wms_iv_f!$A$1:$E$136,4,FALSE),"")</f>
        <v/>
      </c>
      <c r="H728" s="95" t="str">
        <f>IFERROR(VLOOKUP(A728,[2]wms_lc_f!$A$1:$B$156,2,FALSE),"")</f>
        <v/>
      </c>
    </row>
    <row r="729" spans="1:8">
      <c r="A729" s="69">
        <v>103236</v>
      </c>
      <c r="B729" s="69" t="s">
        <v>2613</v>
      </c>
      <c r="C729" s="70" t="s">
        <v>1249</v>
      </c>
      <c r="D729" s="70" t="s">
        <v>2610</v>
      </c>
      <c r="E729" s="72">
        <v>2</v>
      </c>
      <c r="F729" s="70"/>
      <c r="G729" s="70" t="str">
        <f>IFERROR(VLOOKUP(A729,[1]wms_iv_f!$A$1:$E$136,4,FALSE),"")</f>
        <v/>
      </c>
      <c r="H729" s="95" t="str">
        <f>IFERROR(VLOOKUP(A729,[2]wms_lc_f!$A$1:$B$156,2,FALSE),"")</f>
        <v/>
      </c>
    </row>
    <row r="730" spans="1:8">
      <c r="A730" s="68">
        <v>107092</v>
      </c>
      <c r="B730" s="69" t="s">
        <v>2613</v>
      </c>
      <c r="C730" s="70" t="s">
        <v>1015</v>
      </c>
      <c r="D730" s="70" t="s">
        <v>2610</v>
      </c>
      <c r="E730" s="80">
        <v>2</v>
      </c>
      <c r="F730" s="70"/>
      <c r="G730" s="70" t="str">
        <f>IFERROR(VLOOKUP(A730,[1]wms_iv_f!$A$1:$E$136,4,FALSE),"")</f>
        <v/>
      </c>
      <c r="H730" s="95" t="str">
        <f>IFERROR(VLOOKUP(A730,[2]wms_lc_f!$A$1:$B$156,2,FALSE),"")</f>
        <v/>
      </c>
    </row>
    <row r="731" spans="1:8">
      <c r="A731" s="71">
        <v>108955</v>
      </c>
      <c r="B731" s="69" t="s">
        <v>2613</v>
      </c>
      <c r="C731" s="70" t="s">
        <v>1017</v>
      </c>
      <c r="D731" s="70" t="s">
        <v>2610</v>
      </c>
      <c r="E731" s="72">
        <v>2</v>
      </c>
      <c r="F731" s="70"/>
      <c r="G731" s="70" t="str">
        <f>IFERROR(VLOOKUP(A731,[1]wms_iv_f!$A$1:$E$136,4,FALSE),"")</f>
        <v/>
      </c>
      <c r="H731" s="95" t="str">
        <f>IFERROR(VLOOKUP(A731,[2]wms_lc_f!$A$1:$B$156,2,FALSE),"")</f>
        <v/>
      </c>
    </row>
    <row r="732" spans="1:8">
      <c r="A732" s="71">
        <v>108956</v>
      </c>
      <c r="B732" s="69" t="s">
        <v>2613</v>
      </c>
      <c r="C732" s="70" t="s">
        <v>1127</v>
      </c>
      <c r="D732" s="70" t="s">
        <v>2610</v>
      </c>
      <c r="E732" s="72">
        <v>2</v>
      </c>
      <c r="F732" s="70"/>
      <c r="G732" s="70" t="str">
        <f>IFERROR(VLOOKUP(A732,[1]wms_iv_f!$A$1:$E$136,4,FALSE),"")</f>
        <v/>
      </c>
      <c r="H732" s="95" t="str">
        <f>IFERROR(VLOOKUP(A732,[2]wms_lc_f!$A$1:$B$156,2,FALSE),"")</f>
        <v/>
      </c>
    </row>
    <row r="733" spans="1:8">
      <c r="A733" s="71">
        <v>113619</v>
      </c>
      <c r="B733" s="69" t="s">
        <v>2613</v>
      </c>
      <c r="C733" s="70" t="s">
        <v>1241</v>
      </c>
      <c r="D733" s="70" t="s">
        <v>2610</v>
      </c>
      <c r="E733" s="72">
        <v>2</v>
      </c>
      <c r="F733" s="70"/>
      <c r="G733" s="70" t="str">
        <f>IFERROR(VLOOKUP(A733,[1]wms_iv_f!$A$1:$E$136,4,FALSE),"")</f>
        <v/>
      </c>
      <c r="H733" s="95" t="str">
        <f>IFERROR(VLOOKUP(A733,[2]wms_lc_f!$A$1:$B$156,2,FALSE),"")</f>
        <v/>
      </c>
    </row>
    <row r="734" spans="1:8">
      <c r="A734" s="71">
        <v>114384</v>
      </c>
      <c r="B734" s="69" t="s">
        <v>2613</v>
      </c>
      <c r="C734" s="70" t="s">
        <v>1243</v>
      </c>
      <c r="D734" s="70" t="s">
        <v>2610</v>
      </c>
      <c r="E734" s="72">
        <v>2</v>
      </c>
      <c r="F734" s="70"/>
      <c r="G734" s="70" t="str">
        <f>IFERROR(VLOOKUP(A734,[1]wms_iv_f!$A$1:$E$136,4,FALSE),"")</f>
        <v/>
      </c>
      <c r="H734" s="95" t="str">
        <f>IFERROR(VLOOKUP(A734,[2]wms_lc_f!$A$1:$B$156,2,FALSE),"")</f>
        <v/>
      </c>
    </row>
    <row r="735" spans="1:8">
      <c r="A735" s="71">
        <v>116621</v>
      </c>
      <c r="B735" s="69" t="s">
        <v>2613</v>
      </c>
      <c r="C735" s="70" t="s">
        <v>1135</v>
      </c>
      <c r="D735" s="70" t="s">
        <v>2610</v>
      </c>
      <c r="E735" s="72">
        <v>2</v>
      </c>
      <c r="F735" s="70"/>
      <c r="G735" s="70" t="str">
        <f>IFERROR(VLOOKUP(A735,[1]wms_iv_f!$A$1:$E$136,4,FALSE),"")</f>
        <v/>
      </c>
      <c r="H735" s="95" t="str">
        <f>IFERROR(VLOOKUP(A735,[2]wms_lc_f!$A$1:$B$156,2,FALSE),"")</f>
        <v/>
      </c>
    </row>
    <row r="736" spans="1:8">
      <c r="A736" s="71">
        <v>118325</v>
      </c>
      <c r="B736" s="69" t="s">
        <v>2613</v>
      </c>
      <c r="C736" s="70" t="s">
        <v>1136</v>
      </c>
      <c r="D736" s="70" t="s">
        <v>2610</v>
      </c>
      <c r="E736" s="72">
        <v>2</v>
      </c>
      <c r="F736" s="70"/>
      <c r="G736" s="70" t="str">
        <f>IFERROR(VLOOKUP(A736,[1]wms_iv_f!$A$1:$E$136,4,FALSE),"")</f>
        <v/>
      </c>
      <c r="H736" s="95" t="str">
        <f>IFERROR(VLOOKUP(A736,[2]wms_lc_f!$A$1:$B$156,2,FALSE),"")</f>
        <v/>
      </c>
    </row>
    <row r="737" spans="1:8">
      <c r="A737" s="71">
        <v>124755</v>
      </c>
      <c r="B737" s="69" t="s">
        <v>2613</v>
      </c>
      <c r="C737" s="70" t="s">
        <v>1131</v>
      </c>
      <c r="D737" s="70" t="s">
        <v>2610</v>
      </c>
      <c r="E737" s="72">
        <v>2</v>
      </c>
      <c r="F737" s="70"/>
      <c r="G737" s="70" t="str">
        <f>IFERROR(VLOOKUP(A737,[1]wms_iv_f!$A$1:$E$136,4,FALSE),"")</f>
        <v/>
      </c>
      <c r="H737" s="95" t="str">
        <f>IFERROR(VLOOKUP(A737,[2]wms_lc_f!$A$1:$B$156,2,FALSE),"")</f>
        <v/>
      </c>
    </row>
    <row r="738" spans="1:8">
      <c r="A738" s="71">
        <v>127468</v>
      </c>
      <c r="B738" s="69" t="s">
        <v>2613</v>
      </c>
      <c r="C738" s="70" t="s">
        <v>1250</v>
      </c>
      <c r="D738" s="70" t="s">
        <v>2610</v>
      </c>
      <c r="E738" s="72">
        <v>2</v>
      </c>
      <c r="F738" s="70"/>
      <c r="G738" s="70" t="str">
        <f>IFERROR(VLOOKUP(A738,[1]wms_iv_f!$A$1:$E$136,4,FALSE),"")</f>
        <v/>
      </c>
      <c r="H738" s="95" t="str">
        <f>IFERROR(VLOOKUP(A738,[2]wms_lc_f!$A$1:$B$156,2,FALSE),"")</f>
        <v/>
      </c>
    </row>
    <row r="739" spans="1:8">
      <c r="A739" s="71">
        <v>130171</v>
      </c>
      <c r="B739" s="69" t="s">
        <v>2613</v>
      </c>
      <c r="C739" s="70" t="s">
        <v>1134</v>
      </c>
      <c r="D739" s="70" t="s">
        <v>2610</v>
      </c>
      <c r="E739" s="72">
        <v>2</v>
      </c>
      <c r="F739" s="70"/>
      <c r="G739" s="70" t="str">
        <f>IFERROR(VLOOKUP(A739,[1]wms_iv_f!$A$1:$E$136,4,FALSE),"")</f>
        <v/>
      </c>
      <c r="H739" s="95" t="str">
        <f>IFERROR(VLOOKUP(A739,[2]wms_lc_f!$A$1:$B$156,2,FALSE),"")</f>
        <v/>
      </c>
    </row>
    <row r="740" spans="1:8">
      <c r="A740" s="71">
        <v>132593</v>
      </c>
      <c r="B740" s="69" t="s">
        <v>2613</v>
      </c>
      <c r="C740" s="70" t="s">
        <v>1132</v>
      </c>
      <c r="D740" s="70" t="s">
        <v>2610</v>
      </c>
      <c r="E740" s="72">
        <v>2</v>
      </c>
      <c r="F740" s="70"/>
      <c r="G740" s="70" t="str">
        <f>IFERROR(VLOOKUP(A740,[1]wms_iv_f!$A$1:$E$136,4,FALSE),"")</f>
        <v/>
      </c>
      <c r="H740" s="95" t="str">
        <f>IFERROR(VLOOKUP(A740,[2]wms_lc_f!$A$1:$B$156,2,FALSE),"")</f>
        <v/>
      </c>
    </row>
    <row r="741" spans="1:8">
      <c r="A741" s="71">
        <v>132710</v>
      </c>
      <c r="B741" s="69" t="s">
        <v>2613</v>
      </c>
      <c r="C741" s="70" t="s">
        <v>1016</v>
      </c>
      <c r="D741" s="70" t="s">
        <v>2610</v>
      </c>
      <c r="E741" s="72">
        <v>2</v>
      </c>
      <c r="F741" s="70"/>
      <c r="G741" s="70" t="str">
        <f>IFERROR(VLOOKUP(A741,[1]wms_iv_f!$A$1:$E$136,4,FALSE),"")</f>
        <v/>
      </c>
      <c r="H741" s="95" t="str">
        <f>IFERROR(VLOOKUP(A741,[2]wms_lc_f!$A$1:$B$156,2,FALSE),"")</f>
        <v/>
      </c>
    </row>
    <row r="742" spans="1:8">
      <c r="A742" s="71">
        <v>134867</v>
      </c>
      <c r="B742" s="69" t="s">
        <v>2613</v>
      </c>
      <c r="C742" s="70" t="s">
        <v>1133</v>
      </c>
      <c r="D742" s="70" t="s">
        <v>2610</v>
      </c>
      <c r="E742" s="72">
        <v>2</v>
      </c>
      <c r="F742" s="70"/>
      <c r="G742" s="70" t="str">
        <f>IFERROR(VLOOKUP(A742,[1]wms_iv_f!$A$1:$E$136,4,FALSE),"")</f>
        <v/>
      </c>
      <c r="H742" s="95" t="str">
        <f>IFERROR(VLOOKUP(A742,[2]wms_lc_f!$A$1:$B$156,2,FALSE),"")</f>
        <v/>
      </c>
    </row>
    <row r="743" spans="1:8">
      <c r="A743" s="71">
        <v>137003</v>
      </c>
      <c r="B743" s="69" t="s">
        <v>2613</v>
      </c>
      <c r="C743" s="70" t="s">
        <v>1024</v>
      </c>
      <c r="D743" s="70" t="s">
        <v>2610</v>
      </c>
      <c r="E743" s="72">
        <v>2</v>
      </c>
      <c r="F743" s="70"/>
      <c r="G743" s="70" t="str">
        <f>IFERROR(VLOOKUP(A743,[1]wms_iv_f!$A$1:$E$136,4,FALSE),"")</f>
        <v/>
      </c>
      <c r="H743" s="95" t="str">
        <f>IFERROR(VLOOKUP(A743,[2]wms_lc_f!$A$1:$B$156,2,FALSE),"")</f>
        <v/>
      </c>
    </row>
    <row r="744" spans="1:8">
      <c r="A744" s="71">
        <v>138517</v>
      </c>
      <c r="B744" s="69" t="s">
        <v>2613</v>
      </c>
      <c r="C744" s="70" t="s">
        <v>1242</v>
      </c>
      <c r="D744" s="70" t="s">
        <v>2610</v>
      </c>
      <c r="E744" s="72">
        <v>2</v>
      </c>
      <c r="F744" s="70"/>
      <c r="G744" s="70" t="str">
        <f>IFERROR(VLOOKUP(A744,[1]wms_iv_f!$A$1:$E$136,4,FALSE),"")</f>
        <v/>
      </c>
      <c r="H744" s="95" t="str">
        <f>IFERROR(VLOOKUP(A744,[2]wms_lc_f!$A$1:$B$156,2,FALSE),"")</f>
        <v/>
      </c>
    </row>
    <row r="745" spans="1:8">
      <c r="A745" s="71">
        <v>139717</v>
      </c>
      <c r="B745" s="69" t="s">
        <v>2613</v>
      </c>
      <c r="C745" s="70" t="s">
        <v>1018</v>
      </c>
      <c r="D745" s="70" t="s">
        <v>2610</v>
      </c>
      <c r="E745" s="72">
        <v>2</v>
      </c>
      <c r="F745" s="70"/>
      <c r="G745" s="70" t="str">
        <f>IFERROR(VLOOKUP(A745,[1]wms_iv_f!$A$1:$E$136,4,FALSE),"")</f>
        <v/>
      </c>
      <c r="H745" s="95" t="str">
        <f>IFERROR(VLOOKUP(A745,[2]wms_lc_f!$A$1:$B$156,2,FALSE),"")</f>
        <v/>
      </c>
    </row>
    <row r="746" spans="1:8">
      <c r="A746" s="71">
        <v>142701</v>
      </c>
      <c r="B746" s="69" t="s">
        <v>2613</v>
      </c>
      <c r="C746" s="70" t="s">
        <v>876</v>
      </c>
      <c r="D746" s="70" t="s">
        <v>2610</v>
      </c>
      <c r="E746" s="72">
        <v>2</v>
      </c>
      <c r="F746" s="70"/>
      <c r="G746" s="70" t="str">
        <f>IFERROR(VLOOKUP(A746,[1]wms_iv_f!$A$1:$E$136,4,FALSE),"")</f>
        <v/>
      </c>
      <c r="H746" s="95" t="str">
        <f>IFERROR(VLOOKUP(A746,[2]wms_lc_f!$A$1:$B$156,2,FALSE),"")</f>
        <v/>
      </c>
    </row>
    <row r="747" spans="1:8">
      <c r="A747" s="71">
        <v>157660</v>
      </c>
      <c r="B747" s="69" t="s">
        <v>2613</v>
      </c>
      <c r="C747" s="70" t="s">
        <v>877</v>
      </c>
      <c r="D747" s="70" t="s">
        <v>2610</v>
      </c>
      <c r="E747" s="72">
        <v>2</v>
      </c>
      <c r="F747" s="70"/>
      <c r="G747" s="70" t="str">
        <f>IFERROR(VLOOKUP(A747,[1]wms_iv_f!$A$1:$E$136,4,FALSE),"")</f>
        <v/>
      </c>
      <c r="H747" s="95" t="str">
        <f>IFERROR(VLOOKUP(A747,[2]wms_lc_f!$A$1:$B$156,2,FALSE),"")</f>
        <v/>
      </c>
    </row>
    <row r="748" spans="1:8">
      <c r="A748" s="71">
        <v>113488</v>
      </c>
      <c r="B748" s="69" t="s">
        <v>2613</v>
      </c>
      <c r="C748" s="70" t="s">
        <v>2634</v>
      </c>
      <c r="D748" s="70" t="s">
        <v>2610</v>
      </c>
      <c r="E748" s="72">
        <v>2</v>
      </c>
      <c r="F748" s="70"/>
      <c r="G748" s="70" t="str">
        <f>IFERROR(VLOOKUP(A748,[1]wms_iv_f!$A$1:$E$136,4,FALSE),"")</f>
        <v/>
      </c>
      <c r="H748" s="95" t="str">
        <f>IFERROR(VLOOKUP(A748,[2]wms_lc_f!$A$1:$B$156,2,FALSE),"")</f>
        <v/>
      </c>
    </row>
    <row r="749" spans="1:8">
      <c r="A749" s="71">
        <v>108957</v>
      </c>
      <c r="B749" s="69" t="s">
        <v>2613</v>
      </c>
      <c r="C749" s="70" t="s">
        <v>878</v>
      </c>
      <c r="D749" s="70" t="s">
        <v>2610</v>
      </c>
      <c r="E749" s="72">
        <v>2</v>
      </c>
      <c r="F749" s="70"/>
      <c r="G749" s="70" t="str">
        <f>IFERROR(VLOOKUP(A749,[1]wms_iv_f!$A$1:$E$136,4,FALSE),"")</f>
        <v/>
      </c>
      <c r="H749" s="95" t="str">
        <f>IFERROR(VLOOKUP(A749,[2]wms_lc_f!$A$1:$B$156,2,FALSE),"")</f>
        <v/>
      </c>
    </row>
    <row r="750" spans="1:8">
      <c r="A750" s="71">
        <v>157576</v>
      </c>
      <c r="B750" s="69" t="s">
        <v>2613</v>
      </c>
      <c r="C750" s="70" t="s">
        <v>899</v>
      </c>
      <c r="D750" s="70" t="s">
        <v>2610</v>
      </c>
      <c r="E750" s="72">
        <v>2</v>
      </c>
      <c r="F750" s="70"/>
      <c r="G750" s="70" t="str">
        <f>IFERROR(VLOOKUP(A750,[1]wms_iv_f!$A$1:$E$136,4,FALSE),"")</f>
        <v/>
      </c>
      <c r="H750" s="95" t="str">
        <f>IFERROR(VLOOKUP(A750,[2]wms_lc_f!$A$1:$B$156,2,FALSE),"")</f>
        <v/>
      </c>
    </row>
    <row r="751" spans="1:8">
      <c r="A751" s="71">
        <v>157072</v>
      </c>
      <c r="B751" s="69" t="s">
        <v>2613</v>
      </c>
      <c r="C751" s="70" t="s">
        <v>900</v>
      </c>
      <c r="D751" s="70" t="s">
        <v>2610</v>
      </c>
      <c r="E751" s="72">
        <v>2</v>
      </c>
      <c r="F751" s="70"/>
      <c r="G751" s="70" t="str">
        <f>IFERROR(VLOOKUP(A751,[1]wms_iv_f!$A$1:$E$136,4,FALSE),"")</f>
        <v/>
      </c>
      <c r="H751" s="95" t="str">
        <f>IFERROR(VLOOKUP(A751,[2]wms_lc_f!$A$1:$B$156,2,FALSE),"")</f>
        <v/>
      </c>
    </row>
    <row r="752" spans="1:8">
      <c r="A752" s="71">
        <v>79910</v>
      </c>
      <c r="B752" s="69" t="s">
        <v>2613</v>
      </c>
      <c r="C752" s="70" t="s">
        <v>901</v>
      </c>
      <c r="D752" s="70" t="s">
        <v>2610</v>
      </c>
      <c r="E752" s="72">
        <v>2</v>
      </c>
      <c r="F752" s="70"/>
      <c r="G752" s="70" t="str">
        <f>IFERROR(VLOOKUP(A752,[1]wms_iv_f!$A$1:$E$136,4,FALSE),"")</f>
        <v/>
      </c>
      <c r="H752" s="95" t="str">
        <f>IFERROR(VLOOKUP(A752,[2]wms_lc_f!$A$1:$B$156,2,FALSE),"")</f>
        <v/>
      </c>
    </row>
    <row r="753" spans="1:8">
      <c r="A753" s="71">
        <v>58623</v>
      </c>
      <c r="B753" s="69" t="s">
        <v>2613</v>
      </c>
      <c r="C753" s="70" t="s">
        <v>902</v>
      </c>
      <c r="D753" s="70" t="s">
        <v>2610</v>
      </c>
      <c r="E753" s="72">
        <v>2</v>
      </c>
      <c r="F753" s="70"/>
      <c r="G753" s="70" t="str">
        <f>IFERROR(VLOOKUP(A753,[1]wms_iv_f!$A$1:$E$136,4,FALSE),"")</f>
        <v/>
      </c>
      <c r="H753" s="95" t="str">
        <f>IFERROR(VLOOKUP(A753,[2]wms_lc_f!$A$1:$B$156,2,FALSE),"")</f>
        <v/>
      </c>
    </row>
    <row r="754" spans="1:8">
      <c r="A754" s="71">
        <v>105097</v>
      </c>
      <c r="B754" s="69" t="s">
        <v>2613</v>
      </c>
      <c r="C754" s="70" t="s">
        <v>788</v>
      </c>
      <c r="D754" s="70" t="s">
        <v>2610</v>
      </c>
      <c r="E754" s="72">
        <v>2</v>
      </c>
      <c r="F754" s="70"/>
      <c r="G754" s="70" t="str">
        <f>IFERROR(VLOOKUP(A754,[1]wms_iv_f!$A$1:$E$136,4,FALSE),"")</f>
        <v/>
      </c>
      <c r="H754" s="95" t="str">
        <f>IFERROR(VLOOKUP(A754,[2]wms_lc_f!$A$1:$B$156,2,FALSE),"")</f>
        <v/>
      </c>
    </row>
    <row r="755" spans="1:8">
      <c r="A755" s="71">
        <v>131903</v>
      </c>
      <c r="B755" s="69" t="s">
        <v>2613</v>
      </c>
      <c r="C755" s="70" t="s">
        <v>790</v>
      </c>
      <c r="D755" s="70" t="s">
        <v>2610</v>
      </c>
      <c r="E755" s="72">
        <v>2</v>
      </c>
      <c r="F755" s="70"/>
      <c r="G755" s="70" t="str">
        <f>IFERROR(VLOOKUP(A755,[1]wms_iv_f!$A$1:$E$136,4,FALSE),"")</f>
        <v/>
      </c>
      <c r="H755" s="95" t="str">
        <f>IFERROR(VLOOKUP(A755,[2]wms_lc_f!$A$1:$B$156,2,FALSE),"")</f>
        <v/>
      </c>
    </row>
    <row r="756" spans="1:8">
      <c r="A756" s="71">
        <v>143585</v>
      </c>
      <c r="B756" s="69" t="s">
        <v>2613</v>
      </c>
      <c r="C756" s="70" t="s">
        <v>791</v>
      </c>
      <c r="D756" s="70" t="s">
        <v>2610</v>
      </c>
      <c r="E756" s="72">
        <v>2</v>
      </c>
      <c r="F756" s="70"/>
      <c r="G756" s="70" t="str">
        <f>IFERROR(VLOOKUP(A756,[1]wms_iv_f!$A$1:$E$136,4,FALSE),"")</f>
        <v/>
      </c>
      <c r="H756" s="95" t="str">
        <f>IFERROR(VLOOKUP(A756,[2]wms_lc_f!$A$1:$B$156,2,FALSE),"")</f>
        <v/>
      </c>
    </row>
    <row r="757" spans="1:8">
      <c r="A757" s="71">
        <v>48877</v>
      </c>
      <c r="B757" s="69" t="s">
        <v>2613</v>
      </c>
      <c r="C757" s="70" t="s">
        <v>792</v>
      </c>
      <c r="D757" s="70" t="s">
        <v>2610</v>
      </c>
      <c r="E757" s="72">
        <v>2</v>
      </c>
      <c r="F757" s="70"/>
      <c r="G757" s="70" t="str">
        <f>IFERROR(VLOOKUP(A757,[1]wms_iv_f!$A$1:$E$136,4,FALSE),"")</f>
        <v/>
      </c>
      <c r="H757" s="95" t="str">
        <f>IFERROR(VLOOKUP(A757,[2]wms_lc_f!$A$1:$B$156,2,FALSE),"")</f>
        <v/>
      </c>
    </row>
    <row r="758" spans="1:8">
      <c r="A758" s="71">
        <v>155878</v>
      </c>
      <c r="B758" s="69" t="s">
        <v>2613</v>
      </c>
      <c r="C758" s="70" t="s">
        <v>793</v>
      </c>
      <c r="D758" s="70" t="s">
        <v>2610</v>
      </c>
      <c r="E758" s="72">
        <v>2</v>
      </c>
      <c r="F758" s="70"/>
      <c r="G758" s="70" t="str">
        <f>IFERROR(VLOOKUP(A758,[1]wms_iv_f!$A$1:$E$136,4,FALSE),"")</f>
        <v/>
      </c>
      <c r="H758" s="95" t="str">
        <f>IFERROR(VLOOKUP(A758,[2]wms_lc_f!$A$1:$B$156,2,FALSE),"")</f>
        <v/>
      </c>
    </row>
    <row r="759" spans="1:8">
      <c r="A759" s="71">
        <v>110200</v>
      </c>
      <c r="B759" s="69" t="s">
        <v>2613</v>
      </c>
      <c r="C759" s="70" t="s">
        <v>679</v>
      </c>
      <c r="D759" s="70" t="s">
        <v>2610</v>
      </c>
      <c r="E759" s="72">
        <v>2</v>
      </c>
      <c r="F759" s="70"/>
      <c r="G759" s="70" t="str">
        <f>IFERROR(VLOOKUP(A759,[1]wms_iv_f!$A$1:$E$136,4,FALSE),"")</f>
        <v/>
      </c>
      <c r="H759" s="95" t="str">
        <f>IFERROR(VLOOKUP(A759,[2]wms_lc_f!$A$1:$B$156,2,FALSE),"")</f>
        <v/>
      </c>
    </row>
    <row r="760" spans="1:8">
      <c r="A760" s="71">
        <v>113997</v>
      </c>
      <c r="B760" s="69" t="s">
        <v>2613</v>
      </c>
      <c r="C760" s="70" t="s">
        <v>680</v>
      </c>
      <c r="D760" s="70" t="s">
        <v>2610</v>
      </c>
      <c r="E760" s="72">
        <v>2</v>
      </c>
      <c r="F760" s="70"/>
      <c r="G760" s="70" t="str">
        <f>IFERROR(VLOOKUP(A760,[1]wms_iv_f!$A$1:$E$136,4,FALSE),"")</f>
        <v/>
      </c>
      <c r="H760" s="95" t="str">
        <f>IFERROR(VLOOKUP(A760,[2]wms_lc_f!$A$1:$B$156,2,FALSE),"")</f>
        <v/>
      </c>
    </row>
    <row r="761" spans="1:8">
      <c r="A761" s="71">
        <v>97210</v>
      </c>
      <c r="B761" s="69" t="s">
        <v>2613</v>
      </c>
      <c r="C761" s="70" t="s">
        <v>681</v>
      </c>
      <c r="D761" s="70" t="s">
        <v>2610</v>
      </c>
      <c r="E761" s="72">
        <v>2</v>
      </c>
      <c r="F761" s="70"/>
      <c r="G761" s="70" t="str">
        <f>IFERROR(VLOOKUP(A761,[1]wms_iv_f!$A$1:$E$136,4,FALSE),"")</f>
        <v/>
      </c>
      <c r="H761" s="95" t="str">
        <f>IFERROR(VLOOKUP(A761,[2]wms_lc_f!$A$1:$B$156,2,FALSE),"")</f>
        <v/>
      </c>
    </row>
    <row r="762" spans="1:8">
      <c r="A762" s="71">
        <v>101633</v>
      </c>
      <c r="B762" s="69" t="s">
        <v>2613</v>
      </c>
      <c r="C762" s="70" t="s">
        <v>682</v>
      </c>
      <c r="D762" s="70" t="s">
        <v>2610</v>
      </c>
      <c r="E762" s="72">
        <v>2</v>
      </c>
      <c r="F762" s="70"/>
      <c r="G762" s="70" t="str">
        <f>IFERROR(VLOOKUP(A762,[1]wms_iv_f!$A$1:$E$136,4,FALSE),"")</f>
        <v/>
      </c>
      <c r="H762" s="95" t="str">
        <f>IFERROR(VLOOKUP(A762,[2]wms_lc_f!$A$1:$B$156,2,FALSE),"")</f>
        <v/>
      </c>
    </row>
    <row r="763" spans="1:8">
      <c r="A763" s="71">
        <v>100653</v>
      </c>
      <c r="B763" s="69" t="s">
        <v>2613</v>
      </c>
      <c r="C763" s="70" t="s">
        <v>683</v>
      </c>
      <c r="D763" s="70" t="s">
        <v>2610</v>
      </c>
      <c r="E763" s="72">
        <v>2</v>
      </c>
      <c r="F763" s="70"/>
      <c r="G763" s="70" t="str">
        <f>IFERROR(VLOOKUP(A763,[1]wms_iv_f!$A$1:$E$136,4,FALSE),"")</f>
        <v/>
      </c>
      <c r="H763" s="95" t="str">
        <f>IFERROR(VLOOKUP(A763,[2]wms_lc_f!$A$1:$B$156,2,FALSE),"")</f>
        <v/>
      </c>
    </row>
    <row r="764" spans="1:8">
      <c r="A764" s="71">
        <v>100966</v>
      </c>
      <c r="B764" s="69" t="s">
        <v>2613</v>
      </c>
      <c r="C764" s="70" t="s">
        <v>684</v>
      </c>
      <c r="D764" s="70" t="s">
        <v>2610</v>
      </c>
      <c r="E764" s="72">
        <v>2</v>
      </c>
      <c r="F764" s="70"/>
      <c r="G764" s="70" t="str">
        <f>IFERROR(VLOOKUP(A764,[1]wms_iv_f!$A$1:$E$136,4,FALSE),"")</f>
        <v/>
      </c>
      <c r="H764" s="95" t="str">
        <f>IFERROR(VLOOKUP(A764,[2]wms_lc_f!$A$1:$B$156,2,FALSE),"")</f>
        <v>12-118-D3</v>
      </c>
    </row>
    <row r="765" spans="1:8">
      <c r="A765" s="71">
        <v>467</v>
      </c>
      <c r="B765" s="69" t="s">
        <v>2613</v>
      </c>
      <c r="C765" s="70" t="s">
        <v>903</v>
      </c>
      <c r="D765" s="70" t="s">
        <v>2610</v>
      </c>
      <c r="E765" s="72">
        <v>2</v>
      </c>
      <c r="F765" s="70"/>
      <c r="G765" s="70" t="str">
        <f>IFERROR(VLOOKUP(A765,[1]wms_iv_f!$A$1:$E$136,4,FALSE),"")</f>
        <v/>
      </c>
      <c r="H765" s="95" t="str">
        <f>IFERROR(VLOOKUP(A765,[2]wms_lc_f!$A$1:$B$156,2,FALSE),"")</f>
        <v/>
      </c>
    </row>
    <row r="766" spans="1:8">
      <c r="A766" s="71">
        <v>112548</v>
      </c>
      <c r="B766" s="69" t="s">
        <v>2613</v>
      </c>
      <c r="C766" s="70" t="s">
        <v>904</v>
      </c>
      <c r="D766" s="70" t="s">
        <v>2610</v>
      </c>
      <c r="E766" s="72">
        <v>2</v>
      </c>
      <c r="F766" s="70"/>
      <c r="G766" s="70" t="str">
        <f>IFERROR(VLOOKUP(A766,[1]wms_iv_f!$A$1:$E$136,4,FALSE),"")</f>
        <v/>
      </c>
      <c r="H766" s="95" t="str">
        <f>IFERROR(VLOOKUP(A766,[2]wms_lc_f!$A$1:$B$156,2,FALSE),"")</f>
        <v>12-116-D3</v>
      </c>
    </row>
    <row r="767" spans="1:8">
      <c r="A767" s="71">
        <v>9123</v>
      </c>
      <c r="B767" s="69" t="s">
        <v>2613</v>
      </c>
      <c r="C767" s="70" t="s">
        <v>905</v>
      </c>
      <c r="D767" s="70" t="s">
        <v>2610</v>
      </c>
      <c r="E767" s="72">
        <v>2</v>
      </c>
      <c r="F767" s="70"/>
      <c r="G767" s="70" t="str">
        <f>IFERROR(VLOOKUP(A767,[1]wms_iv_f!$A$1:$E$136,4,FALSE),"")</f>
        <v/>
      </c>
      <c r="H767" s="95" t="str">
        <f>IFERROR(VLOOKUP(A767,[2]wms_lc_f!$A$1:$B$156,2,FALSE),"")</f>
        <v>12-110-E8</v>
      </c>
    </row>
    <row r="768" spans="1:8">
      <c r="A768" s="71">
        <v>31650</v>
      </c>
      <c r="B768" s="69" t="s">
        <v>2613</v>
      </c>
      <c r="C768" s="70" t="s">
        <v>906</v>
      </c>
      <c r="D768" s="70" t="s">
        <v>2610</v>
      </c>
      <c r="E768" s="72">
        <v>2</v>
      </c>
      <c r="F768" s="70"/>
      <c r="G768" s="70" t="str">
        <f>IFERROR(VLOOKUP(A768,[1]wms_iv_f!$A$1:$E$136,4,FALSE),"")</f>
        <v/>
      </c>
      <c r="H768" s="95" t="str">
        <f>IFERROR(VLOOKUP(A768,[2]wms_lc_f!$A$1:$B$156,2,FALSE),"")</f>
        <v>12-116-E5</v>
      </c>
    </row>
    <row r="769" spans="1:8">
      <c r="A769" s="71">
        <v>66750</v>
      </c>
      <c r="B769" s="69" t="s">
        <v>2613</v>
      </c>
      <c r="C769" s="70" t="s">
        <v>907</v>
      </c>
      <c r="D769" s="70" t="s">
        <v>2610</v>
      </c>
      <c r="E769" s="72">
        <v>2</v>
      </c>
      <c r="F769" s="70"/>
      <c r="G769" s="70" t="str">
        <f>IFERROR(VLOOKUP(A769,[1]wms_iv_f!$A$1:$E$136,4,FALSE),"")</f>
        <v/>
      </c>
      <c r="H769" s="95" t="str">
        <f>IFERROR(VLOOKUP(A769,[2]wms_lc_f!$A$1:$B$156,2,FALSE),"")</f>
        <v/>
      </c>
    </row>
    <row r="770" spans="1:8">
      <c r="A770" s="71">
        <v>129749</v>
      </c>
      <c r="B770" s="69" t="s">
        <v>2613</v>
      </c>
      <c r="C770" s="70" t="s">
        <v>908</v>
      </c>
      <c r="D770" s="70" t="s">
        <v>2610</v>
      </c>
      <c r="E770" s="72">
        <v>2</v>
      </c>
      <c r="F770" s="70"/>
      <c r="G770" s="70" t="str">
        <f>IFERROR(VLOOKUP(A770,[1]wms_iv_f!$A$1:$E$136,4,FALSE),"")</f>
        <v/>
      </c>
      <c r="H770" s="95" t="str">
        <f>IFERROR(VLOOKUP(A770,[2]wms_lc_f!$A$1:$B$156,2,FALSE),"")</f>
        <v/>
      </c>
    </row>
    <row r="771" spans="1:8">
      <c r="A771" s="71">
        <v>83148</v>
      </c>
      <c r="B771" s="69" t="s">
        <v>2613</v>
      </c>
      <c r="C771" s="70" t="s">
        <v>794</v>
      </c>
      <c r="D771" s="70" t="s">
        <v>2610</v>
      </c>
      <c r="E771" s="72">
        <v>2</v>
      </c>
      <c r="F771" s="70"/>
      <c r="G771" s="70" t="str">
        <f>IFERROR(VLOOKUP(A771,[1]wms_iv_f!$A$1:$E$136,4,FALSE),"")</f>
        <v/>
      </c>
      <c r="H771" s="95" t="str">
        <f>IFERROR(VLOOKUP(A771,[2]wms_lc_f!$A$1:$B$156,2,FALSE),"")</f>
        <v>12-116-C1</v>
      </c>
    </row>
    <row r="772" spans="1:8">
      <c r="A772" s="71">
        <v>1034</v>
      </c>
      <c r="B772" s="69" t="s">
        <v>2613</v>
      </c>
      <c r="C772" s="70" t="s">
        <v>795</v>
      </c>
      <c r="D772" s="70" t="s">
        <v>2610</v>
      </c>
      <c r="E772" s="72">
        <v>2</v>
      </c>
      <c r="F772" s="70"/>
      <c r="G772" s="70" t="str">
        <f>IFERROR(VLOOKUP(A772,[1]wms_iv_f!$A$1:$E$136,4,FALSE),"")</f>
        <v/>
      </c>
      <c r="H772" s="95" t="str">
        <f>IFERROR(VLOOKUP(A772,[2]wms_lc_f!$A$1:$B$156,2,FALSE),"")</f>
        <v/>
      </c>
    </row>
    <row r="773" spans="1:8">
      <c r="A773" s="71">
        <v>60081</v>
      </c>
      <c r="B773" s="69" t="s">
        <v>2613</v>
      </c>
      <c r="C773" s="70" t="s">
        <v>796</v>
      </c>
      <c r="D773" s="70" t="s">
        <v>2610</v>
      </c>
      <c r="E773" s="72">
        <v>2</v>
      </c>
      <c r="F773" s="70"/>
      <c r="G773" s="70" t="str">
        <f>IFERROR(VLOOKUP(A773,[1]wms_iv_f!$A$1:$E$136,4,FALSE),"")</f>
        <v/>
      </c>
      <c r="H773" s="95" t="str">
        <f>IFERROR(VLOOKUP(A773,[2]wms_lc_f!$A$1:$B$156,2,FALSE),"")</f>
        <v>12-110-E2</v>
      </c>
    </row>
    <row r="774" spans="1:8">
      <c r="A774" s="71">
        <v>114316</v>
      </c>
      <c r="B774" s="69" t="s">
        <v>2613</v>
      </c>
      <c r="C774" s="70" t="s">
        <v>797</v>
      </c>
      <c r="D774" s="70" t="s">
        <v>2610</v>
      </c>
      <c r="E774" s="72">
        <v>2</v>
      </c>
      <c r="F774" s="70"/>
      <c r="G774" s="70" t="str">
        <f>IFERROR(VLOOKUP(A774,[1]wms_iv_f!$A$1:$E$136,4,FALSE),"")</f>
        <v/>
      </c>
      <c r="H774" s="95" t="str">
        <f>IFERROR(VLOOKUP(A774,[2]wms_lc_f!$A$1:$B$156,2,FALSE),"")</f>
        <v/>
      </c>
    </row>
    <row r="775" spans="1:8">
      <c r="A775" s="71">
        <v>952</v>
      </c>
      <c r="B775" s="69" t="s">
        <v>2613</v>
      </c>
      <c r="C775" s="70" t="s">
        <v>798</v>
      </c>
      <c r="D775" s="70" t="s">
        <v>2610</v>
      </c>
      <c r="E775" s="72">
        <v>2</v>
      </c>
      <c r="F775" s="70"/>
      <c r="G775" s="70" t="str">
        <f>IFERROR(VLOOKUP(A775,[1]wms_iv_f!$A$1:$E$136,4,FALSE),"")</f>
        <v/>
      </c>
      <c r="H775" s="95" t="str">
        <f>IFERROR(VLOOKUP(A775,[2]wms_lc_f!$A$1:$B$156,2,FALSE),"")</f>
        <v/>
      </c>
    </row>
    <row r="776" spans="1:8">
      <c r="A776" s="71">
        <v>156829</v>
      </c>
      <c r="B776" s="69" t="s">
        <v>2613</v>
      </c>
      <c r="C776" s="70" t="s">
        <v>799</v>
      </c>
      <c r="D776" s="70" t="s">
        <v>2610</v>
      </c>
      <c r="E776" s="72">
        <v>2</v>
      </c>
      <c r="F776" s="70"/>
      <c r="G776" s="70" t="str">
        <f>IFERROR(VLOOKUP(A776,[1]wms_iv_f!$A$1:$E$136,4,FALSE),"")</f>
        <v/>
      </c>
      <c r="H776" s="95" t="str">
        <f>IFERROR(VLOOKUP(A776,[2]wms_lc_f!$A$1:$B$156,2,FALSE),"")</f>
        <v/>
      </c>
    </row>
    <row r="777" spans="1:8">
      <c r="A777" s="71">
        <v>133373</v>
      </c>
      <c r="B777" s="69" t="s">
        <v>2613</v>
      </c>
      <c r="C777" s="70" t="s">
        <v>685</v>
      </c>
      <c r="D777" s="70" t="s">
        <v>2610</v>
      </c>
      <c r="E777" s="72">
        <v>2</v>
      </c>
      <c r="F777" s="70"/>
      <c r="G777" s="70" t="str">
        <f>IFERROR(VLOOKUP(A777,[1]wms_iv_f!$A$1:$E$136,4,FALSE),"")</f>
        <v/>
      </c>
      <c r="H777" s="95" t="str">
        <f>IFERROR(VLOOKUP(A777,[2]wms_lc_f!$A$1:$B$156,2,FALSE),"")</f>
        <v>12-110-C8</v>
      </c>
    </row>
    <row r="778" spans="1:8">
      <c r="A778" s="71">
        <v>35073</v>
      </c>
      <c r="B778" s="69" t="s">
        <v>2613</v>
      </c>
      <c r="C778" s="70" t="s">
        <v>686</v>
      </c>
      <c r="D778" s="70" t="s">
        <v>2610</v>
      </c>
      <c r="E778" s="72">
        <v>2</v>
      </c>
      <c r="F778" s="70"/>
      <c r="G778" s="70" t="str">
        <f>IFERROR(VLOOKUP(A778,[1]wms_iv_f!$A$1:$E$136,4,FALSE),"")</f>
        <v/>
      </c>
      <c r="H778" s="95" t="str">
        <f>IFERROR(VLOOKUP(A778,[2]wms_lc_f!$A$1:$B$156,2,FALSE),"")</f>
        <v>12-114-C3</v>
      </c>
    </row>
    <row r="779" spans="1:8">
      <c r="A779" s="71">
        <v>1964</v>
      </c>
      <c r="B779" s="69" t="s">
        <v>2613</v>
      </c>
      <c r="C779" s="70" t="s">
        <v>2361</v>
      </c>
      <c r="D779" s="70" t="s">
        <v>2610</v>
      </c>
      <c r="E779" s="72">
        <v>2</v>
      </c>
      <c r="F779" s="70"/>
      <c r="G779" s="70" t="str">
        <f>IFERROR(VLOOKUP(A779,[1]wms_iv_f!$A$1:$E$136,4,FALSE),"")</f>
        <v/>
      </c>
      <c r="H779" s="95" t="str">
        <f>IFERROR(VLOOKUP(A779,[2]wms_lc_f!$A$1:$B$156,2,FALSE),"")</f>
        <v/>
      </c>
    </row>
    <row r="780" spans="1:8">
      <c r="A780" s="71">
        <v>31450</v>
      </c>
      <c r="B780" s="69" t="s">
        <v>2613</v>
      </c>
      <c r="C780" s="70" t="s">
        <v>2362</v>
      </c>
      <c r="D780" s="70" t="s">
        <v>2610</v>
      </c>
      <c r="E780" s="72">
        <v>2</v>
      </c>
      <c r="F780" s="70"/>
      <c r="G780" s="70" t="str">
        <f>IFERROR(VLOOKUP(A780,[1]wms_iv_f!$A$1:$E$136,4,FALSE),"")</f>
        <v/>
      </c>
      <c r="H780" s="95" t="str">
        <f>IFERROR(VLOOKUP(A780,[2]wms_lc_f!$A$1:$B$156,2,FALSE),"")</f>
        <v/>
      </c>
    </row>
    <row r="781" spans="1:8">
      <c r="A781" s="71">
        <v>628</v>
      </c>
      <c r="B781" s="69" t="s">
        <v>2613</v>
      </c>
      <c r="C781" s="70" t="s">
        <v>2363</v>
      </c>
      <c r="D781" s="70" t="s">
        <v>2610</v>
      </c>
      <c r="E781" s="72">
        <v>2</v>
      </c>
      <c r="F781" s="70"/>
      <c r="G781" s="70" t="str">
        <f>IFERROR(VLOOKUP(A781,[1]wms_iv_f!$A$1:$E$136,4,FALSE),"")</f>
        <v/>
      </c>
      <c r="H781" s="95" t="str">
        <f>IFERROR(VLOOKUP(A781,[2]wms_lc_f!$A$1:$B$156,2,FALSE),"")</f>
        <v/>
      </c>
    </row>
    <row r="782" spans="1:8">
      <c r="A782" s="71">
        <v>1724</v>
      </c>
      <c r="B782" s="69" t="s">
        <v>2613</v>
      </c>
      <c r="C782" s="70" t="s">
        <v>2364</v>
      </c>
      <c r="D782" s="70" t="s">
        <v>2610</v>
      </c>
      <c r="E782" s="72">
        <v>2</v>
      </c>
      <c r="F782" s="70"/>
      <c r="G782" s="70" t="str">
        <f>IFERROR(VLOOKUP(A782,[1]wms_iv_f!$A$1:$E$136,4,FALSE),"")</f>
        <v/>
      </c>
      <c r="H782" s="95" t="str">
        <f>IFERROR(VLOOKUP(A782,[2]wms_lc_f!$A$1:$B$156,2,FALSE),"")</f>
        <v>12-112-E7</v>
      </c>
    </row>
    <row r="783" spans="1:8">
      <c r="A783" s="71">
        <v>135154</v>
      </c>
      <c r="B783" s="69" t="s">
        <v>2613</v>
      </c>
      <c r="C783" s="70" t="s">
        <v>2365</v>
      </c>
      <c r="D783" s="70" t="s">
        <v>2610</v>
      </c>
      <c r="E783" s="72">
        <v>2</v>
      </c>
      <c r="F783" s="70"/>
      <c r="G783" s="70" t="str">
        <f>IFERROR(VLOOKUP(A783,[1]wms_iv_f!$A$1:$E$136,4,FALSE),"")</f>
        <v/>
      </c>
      <c r="H783" s="95" t="str">
        <f>IFERROR(VLOOKUP(A783,[2]wms_lc_f!$A$1:$B$156,2,FALSE),"")</f>
        <v/>
      </c>
    </row>
    <row r="784" spans="1:8">
      <c r="A784" s="71">
        <v>156911</v>
      </c>
      <c r="B784" s="69" t="s">
        <v>2613</v>
      </c>
      <c r="C784" s="70" t="s">
        <v>2366</v>
      </c>
      <c r="D784" s="70" t="s">
        <v>2610</v>
      </c>
      <c r="E784" s="72">
        <v>2</v>
      </c>
      <c r="F784" s="70"/>
      <c r="G784" s="70" t="str">
        <f>IFERROR(VLOOKUP(A784,[1]wms_iv_f!$A$1:$E$136,4,FALSE),"")</f>
        <v/>
      </c>
      <c r="H784" s="95" t="str">
        <f>IFERROR(VLOOKUP(A784,[2]wms_lc_f!$A$1:$B$156,2,FALSE),"")</f>
        <v/>
      </c>
    </row>
    <row r="785" spans="1:8">
      <c r="A785" s="71">
        <v>106840</v>
      </c>
      <c r="B785" s="69" t="s">
        <v>2613</v>
      </c>
      <c r="C785" s="70" t="s">
        <v>2472</v>
      </c>
      <c r="D785" s="70" t="s">
        <v>2610</v>
      </c>
      <c r="E785" s="72">
        <v>2</v>
      </c>
      <c r="F785" s="70"/>
      <c r="G785" s="70" t="str">
        <f>IFERROR(VLOOKUP(A785,[1]wms_iv_f!$A$1:$E$136,4,FALSE),"")</f>
        <v/>
      </c>
      <c r="H785" s="95" t="str">
        <f>IFERROR(VLOOKUP(A785,[2]wms_lc_f!$A$1:$B$156,2,FALSE),"")</f>
        <v/>
      </c>
    </row>
    <row r="786" spans="1:8">
      <c r="A786" s="71">
        <v>122320</v>
      </c>
      <c r="B786" s="69" t="s">
        <v>2613</v>
      </c>
      <c r="C786" s="70" t="s">
        <v>2475</v>
      </c>
      <c r="D786" s="70" t="s">
        <v>2610</v>
      </c>
      <c r="E786" s="72">
        <v>2</v>
      </c>
      <c r="F786" s="70"/>
      <c r="G786" s="70" t="str">
        <f>IFERROR(VLOOKUP(A786,[1]wms_iv_f!$A$1:$E$136,4,FALSE),"")</f>
        <v/>
      </c>
      <c r="H786" s="95" t="str">
        <f>IFERROR(VLOOKUP(A786,[2]wms_lc_f!$A$1:$B$156,2,FALSE),"")</f>
        <v/>
      </c>
    </row>
    <row r="787" spans="1:8">
      <c r="A787" s="71">
        <v>105102</v>
      </c>
      <c r="B787" s="69" t="s">
        <v>2613</v>
      </c>
      <c r="C787" s="70" t="s">
        <v>2476</v>
      </c>
      <c r="D787" s="70" t="s">
        <v>2610</v>
      </c>
      <c r="E787" s="72">
        <v>2</v>
      </c>
      <c r="F787" s="70"/>
      <c r="G787" s="70" t="str">
        <f>IFERROR(VLOOKUP(A787,[1]wms_iv_f!$A$1:$E$136,4,FALSE),"")</f>
        <v/>
      </c>
      <c r="H787" s="95" t="str">
        <f>IFERROR(VLOOKUP(A787,[2]wms_lc_f!$A$1:$B$156,2,FALSE),"")</f>
        <v>12-110-E5</v>
      </c>
    </row>
    <row r="788" spans="1:8">
      <c r="A788" s="71">
        <v>918</v>
      </c>
      <c r="B788" s="69" t="s">
        <v>2613</v>
      </c>
      <c r="C788" s="70" t="s">
        <v>2477</v>
      </c>
      <c r="D788" s="70" t="s">
        <v>2610</v>
      </c>
      <c r="E788" s="72">
        <v>2</v>
      </c>
      <c r="F788" s="70"/>
      <c r="G788" s="70" t="str">
        <f>IFERROR(VLOOKUP(A788,[1]wms_iv_f!$A$1:$E$136,4,FALSE),"")</f>
        <v/>
      </c>
      <c r="H788" s="95" t="str">
        <f>IFERROR(VLOOKUP(A788,[2]wms_lc_f!$A$1:$B$156,2,FALSE),"")</f>
        <v/>
      </c>
    </row>
    <row r="789" spans="1:8">
      <c r="A789" s="71">
        <v>77267</v>
      </c>
      <c r="B789" s="69" t="s">
        <v>2613</v>
      </c>
      <c r="C789" s="70" t="s">
        <v>2583</v>
      </c>
      <c r="D789" s="70" t="s">
        <v>2610</v>
      </c>
      <c r="E789" s="72">
        <v>2</v>
      </c>
      <c r="F789" s="70"/>
      <c r="G789" s="70" t="str">
        <f>IFERROR(VLOOKUP(A789,[1]wms_iv_f!$A$1:$E$136,4,FALSE),"")</f>
        <v/>
      </c>
      <c r="H789" s="95" t="str">
        <f>IFERROR(VLOOKUP(A789,[2]wms_lc_f!$A$1:$B$156,2,FALSE),"")</f>
        <v/>
      </c>
    </row>
    <row r="790" spans="1:8">
      <c r="A790" s="71">
        <v>763</v>
      </c>
      <c r="B790" s="69" t="s">
        <v>2613</v>
      </c>
      <c r="C790" s="70" t="s">
        <v>2584</v>
      </c>
      <c r="D790" s="70" t="s">
        <v>2610</v>
      </c>
      <c r="E790" s="72">
        <v>2</v>
      </c>
      <c r="F790" s="70"/>
      <c r="G790" s="70" t="str">
        <f>IFERROR(VLOOKUP(A790,[1]wms_iv_f!$A$1:$E$136,4,FALSE),"")</f>
        <v/>
      </c>
      <c r="H790" s="95" t="str">
        <f>IFERROR(VLOOKUP(A790,[2]wms_lc_f!$A$1:$B$156,2,FALSE),"")</f>
        <v/>
      </c>
    </row>
    <row r="791" spans="1:8">
      <c r="A791" s="71">
        <v>626</v>
      </c>
      <c r="B791" s="69" t="s">
        <v>2613</v>
      </c>
      <c r="C791" s="70" t="s">
        <v>2585</v>
      </c>
      <c r="D791" s="70" t="s">
        <v>2610</v>
      </c>
      <c r="E791" s="72">
        <v>2</v>
      </c>
      <c r="F791" s="70"/>
      <c r="G791" s="70" t="str">
        <f>IFERROR(VLOOKUP(A791,[1]wms_iv_f!$A$1:$E$136,4,FALSE),"")</f>
        <v/>
      </c>
      <c r="H791" s="95" t="str">
        <f>IFERROR(VLOOKUP(A791,[2]wms_lc_f!$A$1:$B$156,2,FALSE),"")</f>
        <v/>
      </c>
    </row>
    <row r="792" spans="1:8">
      <c r="A792" s="71">
        <v>80419</v>
      </c>
      <c r="B792" s="69" t="s">
        <v>2613</v>
      </c>
      <c r="C792" s="70" t="s">
        <v>2586</v>
      </c>
      <c r="D792" s="70" t="s">
        <v>2610</v>
      </c>
      <c r="E792" s="72">
        <v>2</v>
      </c>
      <c r="F792" s="70"/>
      <c r="G792" s="70" t="str">
        <f>IFERROR(VLOOKUP(A792,[1]wms_iv_f!$A$1:$E$136,4,FALSE),"")</f>
        <v/>
      </c>
      <c r="H792" s="95" t="str">
        <f>IFERROR(VLOOKUP(A792,[2]wms_lc_f!$A$1:$B$156,2,FALSE),"")</f>
        <v/>
      </c>
    </row>
    <row r="793" spans="1:8">
      <c r="A793" s="71">
        <v>31459</v>
      </c>
      <c r="B793" s="69" t="s">
        <v>2613</v>
      </c>
      <c r="C793" s="70" t="s">
        <v>2587</v>
      </c>
      <c r="D793" s="70" t="s">
        <v>2610</v>
      </c>
      <c r="E793" s="72">
        <v>2</v>
      </c>
      <c r="F793" s="70"/>
      <c r="G793" s="70" t="str">
        <f>IFERROR(VLOOKUP(A793,[1]wms_iv_f!$A$1:$E$136,4,FALSE),"")</f>
        <v/>
      </c>
      <c r="H793" s="95" t="str">
        <f>IFERROR(VLOOKUP(A793,[2]wms_lc_f!$A$1:$B$156,2,FALSE),"")</f>
        <v/>
      </c>
    </row>
    <row r="794" spans="1:8">
      <c r="A794" s="71">
        <v>113995</v>
      </c>
      <c r="B794" s="69" t="s">
        <v>2613</v>
      </c>
      <c r="C794" s="70" t="s">
        <v>2588</v>
      </c>
      <c r="D794" s="70" t="s">
        <v>2610</v>
      </c>
      <c r="E794" s="72">
        <v>2</v>
      </c>
      <c r="F794" s="70"/>
      <c r="G794" s="70" t="str">
        <f>IFERROR(VLOOKUP(A794,[1]wms_iv_f!$A$1:$E$136,4,FALSE),"")</f>
        <v/>
      </c>
      <c r="H794" s="95" t="str">
        <f>IFERROR(VLOOKUP(A794,[2]wms_lc_f!$A$1:$B$156,2,FALSE),"")</f>
        <v/>
      </c>
    </row>
    <row r="795" spans="1:8">
      <c r="A795" s="71">
        <v>86625</v>
      </c>
      <c r="B795" s="69" t="s">
        <v>2613</v>
      </c>
      <c r="C795" s="70" t="s">
        <v>2367</v>
      </c>
      <c r="D795" s="70" t="s">
        <v>2610</v>
      </c>
      <c r="E795" s="72">
        <v>2</v>
      </c>
      <c r="F795" s="70"/>
      <c r="G795" s="70" t="str">
        <f>IFERROR(VLOOKUP(A795,[1]wms_iv_f!$A$1:$E$136,4,FALSE),"")</f>
        <v/>
      </c>
      <c r="H795" s="95" t="str">
        <f>IFERROR(VLOOKUP(A795,[2]wms_lc_f!$A$1:$B$156,2,FALSE),"")</f>
        <v/>
      </c>
    </row>
    <row r="796" spans="1:8">
      <c r="A796" s="71">
        <v>20110</v>
      </c>
      <c r="B796" s="69" t="s">
        <v>2613</v>
      </c>
      <c r="C796" s="70" t="s">
        <v>2368</v>
      </c>
      <c r="D796" s="70" t="s">
        <v>2610</v>
      </c>
      <c r="E796" s="72">
        <v>2</v>
      </c>
      <c r="F796" s="70"/>
      <c r="G796" s="70" t="str">
        <f>IFERROR(VLOOKUP(A796,[1]wms_iv_f!$A$1:$E$136,4,FALSE),"")</f>
        <v/>
      </c>
      <c r="H796" s="95" t="str">
        <f>IFERROR(VLOOKUP(A796,[2]wms_lc_f!$A$1:$B$156,2,FALSE),"")</f>
        <v/>
      </c>
    </row>
    <row r="797" spans="1:8">
      <c r="A797" s="71">
        <v>700</v>
      </c>
      <c r="B797" s="69" t="s">
        <v>2613</v>
      </c>
      <c r="C797" s="70" t="s">
        <v>2369</v>
      </c>
      <c r="D797" s="70" t="s">
        <v>2610</v>
      </c>
      <c r="E797" s="72">
        <v>2</v>
      </c>
      <c r="F797" s="70"/>
      <c r="G797" s="70" t="str">
        <f>IFERROR(VLOOKUP(A797,[1]wms_iv_f!$A$1:$E$136,4,FALSE),"")</f>
        <v/>
      </c>
      <c r="H797" s="95" t="str">
        <f>IFERROR(VLOOKUP(A797,[2]wms_lc_f!$A$1:$B$156,2,FALSE),"")</f>
        <v>12-112-D5</v>
      </c>
    </row>
    <row r="798" spans="1:8">
      <c r="A798" s="71">
        <v>137506</v>
      </c>
      <c r="B798" s="69" t="s">
        <v>2613</v>
      </c>
      <c r="C798" s="70" t="s">
        <v>2370</v>
      </c>
      <c r="D798" s="70" t="s">
        <v>2610</v>
      </c>
      <c r="E798" s="72">
        <v>2</v>
      </c>
      <c r="F798" s="70"/>
      <c r="G798" s="70" t="str">
        <f>IFERROR(VLOOKUP(A798,[1]wms_iv_f!$A$1:$E$136,4,FALSE),"")</f>
        <v/>
      </c>
      <c r="H798" s="95" t="str">
        <f>IFERROR(VLOOKUP(A798,[2]wms_lc_f!$A$1:$B$156,2,FALSE),"")</f>
        <v/>
      </c>
    </row>
    <row r="799" spans="1:8">
      <c r="A799" s="71">
        <v>156192</v>
      </c>
      <c r="B799" s="69" t="s">
        <v>2613</v>
      </c>
      <c r="C799" s="70" t="s">
        <v>2371</v>
      </c>
      <c r="D799" s="70" t="s">
        <v>2610</v>
      </c>
      <c r="E799" s="72">
        <v>2</v>
      </c>
      <c r="F799" s="70"/>
      <c r="G799" s="70" t="str">
        <f>IFERROR(VLOOKUP(A799,[1]wms_iv_f!$A$1:$E$136,4,FALSE),"")</f>
        <v/>
      </c>
      <c r="H799" s="95" t="str">
        <f>IFERROR(VLOOKUP(A799,[2]wms_lc_f!$A$1:$B$156,2,FALSE),"")</f>
        <v/>
      </c>
    </row>
    <row r="800" spans="1:8">
      <c r="A800" s="71">
        <v>87</v>
      </c>
      <c r="B800" s="69" t="s">
        <v>2613</v>
      </c>
      <c r="C800" s="70" t="s">
        <v>2372</v>
      </c>
      <c r="D800" s="70" t="s">
        <v>2610</v>
      </c>
      <c r="E800" s="72">
        <v>2</v>
      </c>
      <c r="F800" s="70"/>
      <c r="G800" s="70" t="str">
        <f>IFERROR(VLOOKUP(A800,[1]wms_iv_f!$A$1:$E$136,4,FALSE),"")</f>
        <v/>
      </c>
      <c r="H800" s="95" t="str">
        <f>IFERROR(VLOOKUP(A800,[2]wms_lc_f!$A$1:$B$156,2,FALSE),"")</f>
        <v>12-110-D2</v>
      </c>
    </row>
    <row r="801" spans="1:8">
      <c r="A801" s="71">
        <v>101018</v>
      </c>
      <c r="B801" s="69" t="s">
        <v>2613</v>
      </c>
      <c r="C801" s="70" t="s">
        <v>2478</v>
      </c>
      <c r="D801" s="70" t="s">
        <v>2610</v>
      </c>
      <c r="E801" s="72">
        <v>2</v>
      </c>
      <c r="F801" s="70"/>
      <c r="G801" s="70" t="str">
        <f>IFERROR(VLOOKUP(A801,[1]wms_iv_f!$A$1:$E$136,4,FALSE),"")</f>
        <v/>
      </c>
      <c r="H801" s="95" t="str">
        <f>IFERROR(VLOOKUP(A801,[2]wms_lc_f!$A$1:$B$156,2,FALSE),"")</f>
        <v/>
      </c>
    </row>
    <row r="802" spans="1:8">
      <c r="A802" s="71">
        <v>124936</v>
      </c>
      <c r="B802" s="69" t="s">
        <v>2613</v>
      </c>
      <c r="C802" s="70" t="s">
        <v>2479</v>
      </c>
      <c r="D802" s="70" t="s">
        <v>2610</v>
      </c>
      <c r="E802" s="72">
        <v>2</v>
      </c>
      <c r="F802" s="70"/>
      <c r="G802" s="70" t="str">
        <f>IFERROR(VLOOKUP(A802,[1]wms_iv_f!$A$1:$E$136,4,FALSE),"")</f>
        <v/>
      </c>
      <c r="H802" s="95" t="str">
        <f>IFERROR(VLOOKUP(A802,[2]wms_lc_f!$A$1:$B$156,2,FALSE),"")</f>
        <v/>
      </c>
    </row>
    <row r="803" spans="1:8">
      <c r="A803" s="71">
        <v>20309</v>
      </c>
      <c r="B803" s="69" t="s">
        <v>2613</v>
      </c>
      <c r="C803" s="70" t="s">
        <v>2480</v>
      </c>
      <c r="D803" s="70" t="s">
        <v>2610</v>
      </c>
      <c r="E803" s="72">
        <v>2</v>
      </c>
      <c r="F803" s="70"/>
      <c r="G803" s="70" t="str">
        <f>IFERROR(VLOOKUP(A803,[1]wms_iv_f!$A$1:$E$136,4,FALSE),"")</f>
        <v/>
      </c>
      <c r="H803" s="95" t="str">
        <f>IFERROR(VLOOKUP(A803,[2]wms_lc_f!$A$1:$B$156,2,FALSE),"")</f>
        <v/>
      </c>
    </row>
    <row r="804" spans="1:8">
      <c r="A804" s="71">
        <v>65204</v>
      </c>
      <c r="B804" s="69" t="s">
        <v>2613</v>
      </c>
      <c r="C804" s="70" t="s">
        <v>2481</v>
      </c>
      <c r="D804" s="70" t="s">
        <v>2610</v>
      </c>
      <c r="E804" s="72">
        <v>2</v>
      </c>
      <c r="F804" s="70"/>
      <c r="G804" s="70" t="str">
        <f>IFERROR(VLOOKUP(A804,[1]wms_iv_f!$A$1:$E$136,4,FALSE),"")</f>
        <v/>
      </c>
      <c r="H804" s="95" t="str">
        <f>IFERROR(VLOOKUP(A804,[2]wms_lc_f!$A$1:$B$156,2,FALSE),"")</f>
        <v/>
      </c>
    </row>
    <row r="805" spans="1:8">
      <c r="A805" s="71">
        <v>112655</v>
      </c>
      <c r="B805" s="69" t="s">
        <v>2613</v>
      </c>
      <c r="C805" s="70" t="s">
        <v>2482</v>
      </c>
      <c r="D805" s="70" t="s">
        <v>2610</v>
      </c>
      <c r="E805" s="72">
        <v>2</v>
      </c>
      <c r="F805" s="70"/>
      <c r="G805" s="70" t="str">
        <f>IFERROR(VLOOKUP(A805,[1]wms_iv_f!$A$1:$E$136,4,FALSE),"")</f>
        <v/>
      </c>
      <c r="H805" s="95" t="str">
        <f>IFERROR(VLOOKUP(A805,[2]wms_lc_f!$A$1:$B$156,2,FALSE),"")</f>
        <v/>
      </c>
    </row>
    <row r="806" spans="1:8">
      <c r="A806" s="71">
        <v>20823</v>
      </c>
      <c r="B806" s="69" t="s">
        <v>2613</v>
      </c>
      <c r="C806" s="70" t="s">
        <v>2483</v>
      </c>
      <c r="D806" s="70" t="s">
        <v>2610</v>
      </c>
      <c r="E806" s="72">
        <v>2</v>
      </c>
      <c r="F806" s="70"/>
      <c r="G806" s="70" t="str">
        <f>IFERROR(VLOOKUP(A806,[1]wms_iv_f!$A$1:$E$136,4,FALSE),"")</f>
        <v/>
      </c>
      <c r="H806" s="95" t="str">
        <f>IFERROR(VLOOKUP(A806,[2]wms_lc_f!$A$1:$B$156,2,FALSE),"")</f>
        <v/>
      </c>
    </row>
    <row r="807" spans="1:8">
      <c r="A807" s="71">
        <v>264</v>
      </c>
      <c r="B807" s="69" t="s">
        <v>2613</v>
      </c>
      <c r="C807" s="70" t="s">
        <v>2589</v>
      </c>
      <c r="D807" s="70" t="s">
        <v>2610</v>
      </c>
      <c r="E807" s="72">
        <v>2</v>
      </c>
      <c r="F807" s="70"/>
      <c r="G807" s="70" t="str">
        <f>IFERROR(VLOOKUP(A807,[1]wms_iv_f!$A$1:$E$136,4,FALSE),"")</f>
        <v/>
      </c>
      <c r="H807" s="95" t="str">
        <f>IFERROR(VLOOKUP(A807,[2]wms_lc_f!$A$1:$B$156,2,FALSE),"")</f>
        <v/>
      </c>
    </row>
    <row r="808" spans="1:8">
      <c r="A808" s="71">
        <v>138945</v>
      </c>
      <c r="B808" s="69" t="s">
        <v>2613</v>
      </c>
      <c r="C808" s="70" t="s">
        <v>2590</v>
      </c>
      <c r="D808" s="70" t="s">
        <v>2610</v>
      </c>
      <c r="E808" s="72">
        <v>2</v>
      </c>
      <c r="F808" s="70"/>
      <c r="G808" s="70" t="str">
        <f>IFERROR(VLOOKUP(A808,[1]wms_iv_f!$A$1:$E$136,4,FALSE),"")</f>
        <v/>
      </c>
      <c r="H808" s="95" t="str">
        <f>IFERROR(VLOOKUP(A808,[2]wms_lc_f!$A$1:$B$156,2,FALSE),"")</f>
        <v/>
      </c>
    </row>
    <row r="809" spans="1:8">
      <c r="A809" s="71">
        <v>258</v>
      </c>
      <c r="B809" s="69" t="s">
        <v>2613</v>
      </c>
      <c r="C809" s="70" t="s">
        <v>2591</v>
      </c>
      <c r="D809" s="70" t="s">
        <v>2610</v>
      </c>
      <c r="E809" s="72">
        <v>2</v>
      </c>
      <c r="F809" s="70"/>
      <c r="G809" s="70" t="str">
        <f>IFERROR(VLOOKUP(A809,[1]wms_iv_f!$A$1:$E$136,4,FALSE),"")</f>
        <v/>
      </c>
      <c r="H809" s="95" t="str">
        <f>IFERROR(VLOOKUP(A809,[2]wms_lc_f!$A$1:$B$156,2,FALSE),"")</f>
        <v/>
      </c>
    </row>
    <row r="810" spans="1:8">
      <c r="A810" s="71">
        <v>429</v>
      </c>
      <c r="B810" s="69" t="s">
        <v>2613</v>
      </c>
      <c r="C810" s="70" t="s">
        <v>2592</v>
      </c>
      <c r="D810" s="70" t="s">
        <v>2610</v>
      </c>
      <c r="E810" s="72">
        <v>2</v>
      </c>
      <c r="F810" s="70"/>
      <c r="G810" s="70" t="str">
        <f>IFERROR(VLOOKUP(A810,[1]wms_iv_f!$A$1:$E$136,4,FALSE),"")</f>
        <v/>
      </c>
      <c r="H810" s="95" t="str">
        <f>IFERROR(VLOOKUP(A810,[2]wms_lc_f!$A$1:$B$156,2,FALSE),"")</f>
        <v>12-114-C1</v>
      </c>
    </row>
    <row r="811" spans="1:8">
      <c r="A811" s="71">
        <v>7326</v>
      </c>
      <c r="B811" s="69" t="s">
        <v>2613</v>
      </c>
      <c r="C811" s="70" t="s">
        <v>2593</v>
      </c>
      <c r="D811" s="70" t="s">
        <v>2610</v>
      </c>
      <c r="E811" s="72">
        <v>2</v>
      </c>
      <c r="F811" s="70"/>
      <c r="G811" s="70" t="str">
        <f>IFERROR(VLOOKUP(A811,[1]wms_iv_f!$A$1:$E$136,4,FALSE),"")</f>
        <v/>
      </c>
      <c r="H811" s="95" t="str">
        <f>IFERROR(VLOOKUP(A811,[2]wms_lc_f!$A$1:$B$156,2,FALSE),"")</f>
        <v>12-114-E6</v>
      </c>
    </row>
    <row r="812" spans="1:8">
      <c r="A812" s="71">
        <v>1372</v>
      </c>
      <c r="B812" s="69" t="s">
        <v>2613</v>
      </c>
      <c r="C812" s="70" t="s">
        <v>2594</v>
      </c>
      <c r="D812" s="70" t="s">
        <v>2610</v>
      </c>
      <c r="E812" s="72">
        <v>2</v>
      </c>
      <c r="F812" s="70"/>
      <c r="G812" s="70" t="str">
        <f>IFERROR(VLOOKUP(A812,[1]wms_iv_f!$A$1:$E$136,4,FALSE),"")</f>
        <v/>
      </c>
      <c r="H812" s="95" t="str">
        <f>IFERROR(VLOOKUP(A812,[2]wms_lc_f!$A$1:$B$156,2,FALSE),"")</f>
        <v>12-118-E4</v>
      </c>
    </row>
    <row r="813" spans="1:8">
      <c r="A813" s="71">
        <v>12360</v>
      </c>
      <c r="B813" s="69" t="s">
        <v>2613</v>
      </c>
      <c r="C813" s="70" t="s">
        <v>2373</v>
      </c>
      <c r="D813" s="70" t="s">
        <v>2610</v>
      </c>
      <c r="E813" s="72">
        <v>2</v>
      </c>
      <c r="F813" s="70"/>
      <c r="G813" s="70" t="str">
        <f>IFERROR(VLOOKUP(A813,[1]wms_iv_f!$A$1:$E$136,4,FALSE),"")</f>
        <v/>
      </c>
      <c r="H813" s="95" t="str">
        <f>IFERROR(VLOOKUP(A813,[2]wms_lc_f!$A$1:$B$156,2,FALSE),"")</f>
        <v/>
      </c>
    </row>
    <row r="814" spans="1:8">
      <c r="A814" s="71">
        <v>21523</v>
      </c>
      <c r="B814" s="69" t="s">
        <v>2613</v>
      </c>
      <c r="C814" s="70" t="s">
        <v>2239</v>
      </c>
      <c r="D814" s="70" t="s">
        <v>2610</v>
      </c>
      <c r="E814" s="72">
        <v>2</v>
      </c>
      <c r="F814" s="70"/>
      <c r="G814" s="70" t="str">
        <f>IFERROR(VLOOKUP(A814,[1]wms_iv_f!$A$1:$E$136,4,FALSE),"")</f>
        <v/>
      </c>
      <c r="H814" s="95" t="str">
        <f>IFERROR(VLOOKUP(A814,[2]wms_lc_f!$A$1:$B$156,2,FALSE),"")</f>
        <v/>
      </c>
    </row>
    <row r="815" spans="1:8">
      <c r="A815" s="71">
        <v>135746</v>
      </c>
      <c r="B815" s="69" t="s">
        <v>2613</v>
      </c>
      <c r="C815" s="70" t="s">
        <v>2240</v>
      </c>
      <c r="D815" s="70" t="s">
        <v>2610</v>
      </c>
      <c r="E815" s="72">
        <v>2</v>
      </c>
      <c r="F815" s="70"/>
      <c r="G815" s="70" t="str">
        <f>IFERROR(VLOOKUP(A815,[1]wms_iv_f!$A$1:$E$136,4,FALSE),"")</f>
        <v/>
      </c>
      <c r="H815" s="95" t="str">
        <f>IFERROR(VLOOKUP(A815,[2]wms_lc_f!$A$1:$B$156,2,FALSE),"")</f>
        <v/>
      </c>
    </row>
    <row r="816" spans="1:8">
      <c r="A816" s="71">
        <v>132595</v>
      </c>
      <c r="B816" s="69" t="s">
        <v>2613</v>
      </c>
      <c r="C816" s="70" t="s">
        <v>2241</v>
      </c>
      <c r="D816" s="70" t="s">
        <v>2610</v>
      </c>
      <c r="E816" s="72">
        <v>2</v>
      </c>
      <c r="F816" s="70"/>
      <c r="G816" s="70" t="str">
        <f>IFERROR(VLOOKUP(A816,[1]wms_iv_f!$A$1:$E$136,4,FALSE),"")</f>
        <v/>
      </c>
      <c r="H816" s="95" t="str">
        <f>IFERROR(VLOOKUP(A816,[2]wms_lc_f!$A$1:$B$156,2,FALSE),"")</f>
        <v/>
      </c>
    </row>
    <row r="817" spans="1:8">
      <c r="A817" s="71">
        <v>134047</v>
      </c>
      <c r="B817" s="69" t="s">
        <v>2613</v>
      </c>
      <c r="C817" s="70" t="s">
        <v>2242</v>
      </c>
      <c r="D817" s="70" t="s">
        <v>2610</v>
      </c>
      <c r="E817" s="72">
        <v>2</v>
      </c>
      <c r="F817" s="70"/>
      <c r="G817" s="70" t="str">
        <f>IFERROR(VLOOKUP(A817,[1]wms_iv_f!$A$1:$E$136,4,FALSE),"")</f>
        <v/>
      </c>
      <c r="H817" s="95" t="str">
        <f>IFERROR(VLOOKUP(A817,[2]wms_lc_f!$A$1:$B$156,2,FALSE),"")</f>
        <v/>
      </c>
    </row>
    <row r="818" spans="1:8">
      <c r="A818" s="71">
        <v>58974</v>
      </c>
      <c r="B818" s="69" t="s">
        <v>2613</v>
      </c>
      <c r="C818" s="70" t="s">
        <v>2131</v>
      </c>
      <c r="D818" s="70" t="s">
        <v>2610</v>
      </c>
      <c r="E818" s="72">
        <v>2</v>
      </c>
      <c r="F818" s="70"/>
      <c r="G818" s="70" t="str">
        <f>IFERROR(VLOOKUP(A818,[1]wms_iv_f!$A$1:$E$136,4,FALSE),"")</f>
        <v/>
      </c>
      <c r="H818" s="95" t="str">
        <f>IFERROR(VLOOKUP(A818,[2]wms_lc_f!$A$1:$B$156,2,FALSE),"")</f>
        <v/>
      </c>
    </row>
    <row r="819" spans="1:8">
      <c r="A819" s="71">
        <v>17422</v>
      </c>
      <c r="B819" s="69" t="s">
        <v>2613</v>
      </c>
      <c r="C819" s="70" t="s">
        <v>2019</v>
      </c>
      <c r="D819" s="70" t="s">
        <v>2610</v>
      </c>
      <c r="E819" s="72">
        <v>2</v>
      </c>
      <c r="F819" s="70"/>
      <c r="G819" s="70" t="str">
        <f>IFERROR(VLOOKUP(A819,[1]wms_iv_f!$A$1:$E$136,4,FALSE),"")</f>
        <v/>
      </c>
      <c r="H819" s="95" t="str">
        <f>IFERROR(VLOOKUP(A819,[2]wms_lc_f!$A$1:$B$156,2,FALSE),"")</f>
        <v/>
      </c>
    </row>
    <row r="820" spans="1:8">
      <c r="A820" s="71">
        <v>86031</v>
      </c>
      <c r="B820" s="69" t="s">
        <v>2613</v>
      </c>
      <c r="C820" s="70" t="s">
        <v>2020</v>
      </c>
      <c r="D820" s="70" t="s">
        <v>2610</v>
      </c>
      <c r="E820" s="72">
        <v>2</v>
      </c>
      <c r="F820" s="70"/>
      <c r="G820" s="70" t="str">
        <f>IFERROR(VLOOKUP(A820,[1]wms_iv_f!$A$1:$E$136,4,FALSE),"")</f>
        <v/>
      </c>
      <c r="H820" s="95" t="str">
        <f>IFERROR(VLOOKUP(A820,[2]wms_lc_f!$A$1:$B$156,2,FALSE),"")</f>
        <v/>
      </c>
    </row>
    <row r="821" spans="1:8">
      <c r="A821" s="73">
        <v>132709</v>
      </c>
      <c r="B821" s="69" t="s">
        <v>2613</v>
      </c>
      <c r="C821" s="74" t="s">
        <v>2021</v>
      </c>
      <c r="D821" s="74" t="s">
        <v>2610</v>
      </c>
      <c r="E821" s="79">
        <v>2</v>
      </c>
      <c r="F821" s="70"/>
      <c r="G821" s="70" t="str">
        <f>IFERROR(VLOOKUP(A821,[1]wms_iv_f!$A$1:$E$136,4,FALSE),"")</f>
        <v/>
      </c>
      <c r="H821" s="95" t="str">
        <f>IFERROR(VLOOKUP(A821,[2]wms_lc_f!$A$1:$B$156,2,FALSE),"")</f>
        <v/>
      </c>
    </row>
    <row r="822" spans="1:8">
      <c r="A822" s="69">
        <v>142311</v>
      </c>
      <c r="B822" s="69" t="s">
        <v>2613</v>
      </c>
      <c r="C822" s="70" t="s">
        <v>2022</v>
      </c>
      <c r="D822" s="70" t="s">
        <v>2610</v>
      </c>
      <c r="E822" s="72">
        <v>2</v>
      </c>
      <c r="F822" s="70"/>
      <c r="G822" s="70" t="str">
        <f>IFERROR(VLOOKUP(A822,[1]wms_iv_f!$A$1:$E$136,4,FALSE),"")</f>
        <v/>
      </c>
      <c r="H822" s="95" t="str">
        <f>IFERROR(VLOOKUP(A822,[2]wms_lc_f!$A$1:$B$156,2,FALSE),"")</f>
        <v/>
      </c>
    </row>
    <row r="823" spans="1:8">
      <c r="A823" s="69">
        <v>85074</v>
      </c>
      <c r="B823" s="69" t="s">
        <v>2613</v>
      </c>
      <c r="C823" s="70" t="s">
        <v>2023</v>
      </c>
      <c r="D823" s="70" t="s">
        <v>2610</v>
      </c>
      <c r="E823" s="72">
        <v>2</v>
      </c>
      <c r="F823" s="70"/>
      <c r="G823" s="70" t="str">
        <f>IFERROR(VLOOKUP(A823,[1]wms_iv_f!$A$1:$E$136,4,FALSE),"")</f>
        <v/>
      </c>
      <c r="H823" s="95" t="str">
        <f>IFERROR(VLOOKUP(A823,[2]wms_lc_f!$A$1:$B$156,2,FALSE),"")</f>
        <v/>
      </c>
    </row>
    <row r="824" spans="1:8">
      <c r="A824" s="69">
        <v>79428</v>
      </c>
      <c r="B824" s="69" t="s">
        <v>2613</v>
      </c>
      <c r="C824" s="70" t="s">
        <v>2024</v>
      </c>
      <c r="D824" s="70" t="s">
        <v>2610</v>
      </c>
      <c r="E824" s="72">
        <v>2</v>
      </c>
      <c r="F824" s="70"/>
      <c r="G824" s="70" t="str">
        <f>IFERROR(VLOOKUP(A824,[1]wms_iv_f!$A$1:$E$136,4,FALSE),"")</f>
        <v/>
      </c>
      <c r="H824" s="95" t="str">
        <f>IFERROR(VLOOKUP(A824,[2]wms_lc_f!$A$1:$B$156,2,FALSE),"")</f>
        <v/>
      </c>
    </row>
    <row r="825" spans="1:8">
      <c r="A825" s="69">
        <v>39735</v>
      </c>
      <c r="B825" s="69" t="s">
        <v>2613</v>
      </c>
      <c r="C825" s="70" t="s">
        <v>2243</v>
      </c>
      <c r="D825" s="70" t="s">
        <v>2610</v>
      </c>
      <c r="E825" s="72">
        <v>2</v>
      </c>
      <c r="F825" s="70"/>
      <c r="G825" s="70" t="str">
        <f>IFERROR(VLOOKUP(A825,[1]wms_iv_f!$A$1:$E$136,4,FALSE),"")</f>
        <v/>
      </c>
      <c r="H825" s="95" t="str">
        <f>IFERROR(VLOOKUP(A825,[2]wms_lc_f!$A$1:$B$156,2,FALSE),"")</f>
        <v/>
      </c>
    </row>
    <row r="826" spans="1:8">
      <c r="A826" s="69">
        <v>1449</v>
      </c>
      <c r="B826" s="69" t="s">
        <v>2613</v>
      </c>
      <c r="C826" s="70" t="s">
        <v>2244</v>
      </c>
      <c r="D826" s="70" t="s">
        <v>2610</v>
      </c>
      <c r="E826" s="72">
        <v>2</v>
      </c>
      <c r="F826" s="70"/>
      <c r="G826" s="70" t="str">
        <f>IFERROR(VLOOKUP(A826,[1]wms_iv_f!$A$1:$E$136,4,FALSE),"")</f>
        <v/>
      </c>
      <c r="H826" s="95" t="str">
        <f>IFERROR(VLOOKUP(A826,[2]wms_lc_f!$A$1:$B$156,2,FALSE),"")</f>
        <v/>
      </c>
    </row>
    <row r="827" spans="1:8">
      <c r="A827" s="69">
        <v>131531</v>
      </c>
      <c r="B827" s="69" t="s">
        <v>2613</v>
      </c>
      <c r="C827" s="70" t="s">
        <v>2245</v>
      </c>
      <c r="D827" s="70" t="s">
        <v>2610</v>
      </c>
      <c r="E827" s="72">
        <v>2</v>
      </c>
      <c r="F827" s="70"/>
      <c r="G827" s="70" t="str">
        <f>IFERROR(VLOOKUP(A827,[1]wms_iv_f!$A$1:$E$136,4,FALSE),"")</f>
        <v/>
      </c>
      <c r="H827" s="95" t="str">
        <f>IFERROR(VLOOKUP(A827,[2]wms_lc_f!$A$1:$B$156,2,FALSE),"")</f>
        <v/>
      </c>
    </row>
    <row r="828" spans="1:8">
      <c r="A828" s="69">
        <v>996</v>
      </c>
      <c r="B828" s="69" t="s">
        <v>2613</v>
      </c>
      <c r="C828" s="70" t="s">
        <v>2246</v>
      </c>
      <c r="D828" s="70" t="s">
        <v>2610</v>
      </c>
      <c r="E828" s="72">
        <v>2</v>
      </c>
      <c r="F828" s="70"/>
      <c r="G828" s="70" t="str">
        <f>IFERROR(VLOOKUP(A828,[1]wms_iv_f!$A$1:$E$136,4,FALSE),"")</f>
        <v/>
      </c>
      <c r="H828" s="95" t="str">
        <f>IFERROR(VLOOKUP(A828,[2]wms_lc_f!$A$1:$B$156,2,FALSE),"")</f>
        <v/>
      </c>
    </row>
    <row r="829" spans="1:8">
      <c r="A829" s="69">
        <v>57665</v>
      </c>
      <c r="B829" s="69" t="s">
        <v>2613</v>
      </c>
      <c r="C829" s="70" t="s">
        <v>2247</v>
      </c>
      <c r="D829" s="70" t="s">
        <v>2610</v>
      </c>
      <c r="E829" s="72">
        <v>2</v>
      </c>
      <c r="F829" s="70"/>
      <c r="G829" s="70" t="str">
        <f>IFERROR(VLOOKUP(A829,[1]wms_iv_f!$A$1:$E$136,4,FALSE),"")</f>
        <v/>
      </c>
      <c r="H829" s="95" t="str">
        <f>IFERROR(VLOOKUP(A829,[2]wms_lc_f!$A$1:$B$156,2,FALSE),"")</f>
        <v/>
      </c>
    </row>
    <row r="830" spans="1:8">
      <c r="A830" s="69">
        <v>129516</v>
      </c>
      <c r="B830" s="69" t="s">
        <v>2613</v>
      </c>
      <c r="C830" s="70" t="s">
        <v>2248</v>
      </c>
      <c r="D830" s="70" t="s">
        <v>2610</v>
      </c>
      <c r="E830" s="72">
        <v>2</v>
      </c>
      <c r="F830" s="70"/>
      <c r="G830" s="70" t="str">
        <f>IFERROR(VLOOKUP(A830,[1]wms_iv_f!$A$1:$E$136,4,FALSE),"")</f>
        <v/>
      </c>
      <c r="H830" s="95" t="str">
        <f>IFERROR(VLOOKUP(A830,[2]wms_lc_f!$A$1:$B$156,2,FALSE),"")</f>
        <v/>
      </c>
    </row>
    <row r="831" spans="1:8">
      <c r="A831" s="69">
        <v>1966</v>
      </c>
      <c r="B831" s="69" t="s">
        <v>2613</v>
      </c>
      <c r="C831" s="70" t="s">
        <v>2134</v>
      </c>
      <c r="D831" s="70" t="s">
        <v>2610</v>
      </c>
      <c r="E831" s="72">
        <v>2</v>
      </c>
      <c r="F831" s="70"/>
      <c r="G831" s="70" t="str">
        <f>IFERROR(VLOOKUP(A831,[1]wms_iv_f!$A$1:$E$136,4,FALSE),"")</f>
        <v/>
      </c>
      <c r="H831" s="95" t="str">
        <f>IFERROR(VLOOKUP(A831,[2]wms_lc_f!$A$1:$B$156,2,FALSE),"")</f>
        <v/>
      </c>
    </row>
    <row r="832" spans="1:8">
      <c r="A832" s="69">
        <v>2018</v>
      </c>
      <c r="B832" s="69" t="s">
        <v>2613</v>
      </c>
      <c r="C832" s="70" t="s">
        <v>2135</v>
      </c>
      <c r="D832" s="70" t="s">
        <v>2610</v>
      </c>
      <c r="E832" s="72">
        <v>2</v>
      </c>
      <c r="F832" s="70"/>
      <c r="G832" s="70" t="str">
        <f>IFERROR(VLOOKUP(A832,[1]wms_iv_f!$A$1:$E$136,4,FALSE),"")</f>
        <v/>
      </c>
      <c r="H832" s="95" t="str">
        <f>IFERROR(VLOOKUP(A832,[2]wms_lc_f!$A$1:$B$156,2,FALSE),"")</f>
        <v/>
      </c>
    </row>
    <row r="833" spans="1:8">
      <c r="A833" s="69">
        <v>157464</v>
      </c>
      <c r="B833" s="69" t="s">
        <v>2613</v>
      </c>
      <c r="C833" s="70" t="s">
        <v>2136</v>
      </c>
      <c r="D833" s="70" t="s">
        <v>2610</v>
      </c>
      <c r="E833" s="72">
        <v>2</v>
      </c>
      <c r="F833" s="70"/>
      <c r="G833" s="70" t="str">
        <f>IFERROR(VLOOKUP(A833,[1]wms_iv_f!$A$1:$E$136,4,FALSE),"")</f>
        <v/>
      </c>
      <c r="H833" s="95" t="str">
        <f>IFERROR(VLOOKUP(A833,[2]wms_lc_f!$A$1:$B$156,2,FALSE),"")</f>
        <v/>
      </c>
    </row>
    <row r="834" spans="1:8">
      <c r="A834" s="69">
        <v>156160</v>
      </c>
      <c r="B834" s="69" t="s">
        <v>2613</v>
      </c>
      <c r="C834" s="70" t="s">
        <v>2137</v>
      </c>
      <c r="D834" s="70" t="s">
        <v>2610</v>
      </c>
      <c r="E834" s="72">
        <v>2</v>
      </c>
      <c r="F834" s="70"/>
      <c r="G834" s="70" t="str">
        <f>IFERROR(VLOOKUP(A834,[1]wms_iv_f!$A$1:$E$136,4,FALSE),"")</f>
        <v/>
      </c>
      <c r="H834" s="95" t="str">
        <f>IFERROR(VLOOKUP(A834,[2]wms_lc_f!$A$1:$B$156,2,FALSE),"")</f>
        <v/>
      </c>
    </row>
    <row r="835" spans="1:8">
      <c r="A835" s="69">
        <v>96046</v>
      </c>
      <c r="B835" s="69" t="s">
        <v>2613</v>
      </c>
      <c r="C835" s="70" t="s">
        <v>2138</v>
      </c>
      <c r="D835" s="70" t="s">
        <v>2610</v>
      </c>
      <c r="E835" s="72">
        <v>2</v>
      </c>
      <c r="F835" s="70"/>
      <c r="G835" s="70" t="str">
        <f>IFERROR(VLOOKUP(A835,[1]wms_iv_f!$A$1:$E$136,4,FALSE),"")</f>
        <v/>
      </c>
      <c r="H835" s="95" t="str">
        <f>IFERROR(VLOOKUP(A835,[2]wms_lc_f!$A$1:$B$156,2,FALSE),"")</f>
        <v/>
      </c>
    </row>
    <row r="836" spans="1:8">
      <c r="A836" s="69">
        <v>136240</v>
      </c>
      <c r="B836" s="69" t="s">
        <v>2613</v>
      </c>
      <c r="C836" s="70" t="s">
        <v>2139</v>
      </c>
      <c r="D836" s="70" t="s">
        <v>2610</v>
      </c>
      <c r="E836" s="72">
        <v>2</v>
      </c>
      <c r="F836" s="70"/>
      <c r="G836" s="70" t="str">
        <f>IFERROR(VLOOKUP(A836,[1]wms_iv_f!$A$1:$E$136,4,FALSE),"")</f>
        <v/>
      </c>
      <c r="H836" s="95" t="str">
        <f>IFERROR(VLOOKUP(A836,[2]wms_lc_f!$A$1:$B$156,2,FALSE),"")</f>
        <v/>
      </c>
    </row>
    <row r="837" spans="1:8">
      <c r="A837" s="69">
        <v>1915</v>
      </c>
      <c r="B837" s="69" t="s">
        <v>2613</v>
      </c>
      <c r="C837" s="70" t="s">
        <v>2025</v>
      </c>
      <c r="D837" s="70" t="s">
        <v>2610</v>
      </c>
      <c r="E837" s="72">
        <v>2</v>
      </c>
      <c r="F837" s="70"/>
      <c r="G837" s="70" t="str">
        <f>IFERROR(VLOOKUP(A837,[1]wms_iv_f!$A$1:$E$136,4,FALSE),"")</f>
        <v/>
      </c>
      <c r="H837" s="95" t="str">
        <f>IFERROR(VLOOKUP(A837,[2]wms_lc_f!$A$1:$B$156,2,FALSE),"")</f>
        <v/>
      </c>
    </row>
    <row r="838" spans="1:8">
      <c r="A838" s="69">
        <v>56</v>
      </c>
      <c r="B838" s="69" t="s">
        <v>2613</v>
      </c>
      <c r="C838" s="70" t="s">
        <v>2026</v>
      </c>
      <c r="D838" s="70" t="s">
        <v>2610</v>
      </c>
      <c r="E838" s="72">
        <v>2</v>
      </c>
      <c r="F838" s="70"/>
      <c r="G838" s="70" t="str">
        <f>IFERROR(VLOOKUP(A838,[1]wms_iv_f!$A$1:$E$136,4,FALSE),"")</f>
        <v/>
      </c>
      <c r="H838" s="95" t="str">
        <f>IFERROR(VLOOKUP(A838,[2]wms_lc_f!$A$1:$B$156,2,FALSE),"")</f>
        <v>12-110-D8</v>
      </c>
    </row>
    <row r="839" spans="1:8">
      <c r="A839" s="69">
        <v>35287</v>
      </c>
      <c r="B839" s="69" t="s">
        <v>2613</v>
      </c>
      <c r="C839" s="70" t="s">
        <v>2027</v>
      </c>
      <c r="D839" s="70" t="s">
        <v>2610</v>
      </c>
      <c r="E839" s="72">
        <v>2</v>
      </c>
      <c r="F839" s="70"/>
      <c r="G839" s="70" t="str">
        <f>IFERROR(VLOOKUP(A839,[1]wms_iv_f!$A$1:$E$136,4,FALSE),"")</f>
        <v/>
      </c>
      <c r="H839" s="95" t="str">
        <f>IFERROR(VLOOKUP(A839,[2]wms_lc_f!$A$1:$B$156,2,FALSE),"")</f>
        <v/>
      </c>
    </row>
    <row r="840" spans="1:8">
      <c r="A840" s="69">
        <v>21591</v>
      </c>
      <c r="B840" s="69" t="s">
        <v>2613</v>
      </c>
      <c r="C840" s="70" t="s">
        <v>2028</v>
      </c>
      <c r="D840" s="70" t="s">
        <v>2610</v>
      </c>
      <c r="E840" s="72">
        <v>2</v>
      </c>
      <c r="F840" s="70"/>
      <c r="G840" s="70" t="str">
        <f>IFERROR(VLOOKUP(A840,[1]wms_iv_f!$A$1:$E$136,4,FALSE),"")</f>
        <v/>
      </c>
      <c r="H840" s="95" t="str">
        <f>IFERROR(VLOOKUP(A840,[2]wms_lc_f!$A$1:$B$156,2,FALSE),"")</f>
        <v>12-118-D5</v>
      </c>
    </row>
    <row r="841" spans="1:8">
      <c r="A841" s="69">
        <v>142656</v>
      </c>
      <c r="B841" s="69" t="s">
        <v>2613</v>
      </c>
      <c r="C841" s="70" t="s">
        <v>2029</v>
      </c>
      <c r="D841" s="70" t="s">
        <v>2610</v>
      </c>
      <c r="E841" s="72">
        <v>2</v>
      </c>
      <c r="F841" s="70"/>
      <c r="G841" s="70" t="str">
        <f>IFERROR(VLOOKUP(A841,[1]wms_iv_f!$A$1:$E$136,4,FALSE),"")</f>
        <v/>
      </c>
      <c r="H841" s="95" t="str">
        <f>IFERROR(VLOOKUP(A841,[2]wms_lc_f!$A$1:$B$156,2,FALSE),"")</f>
        <v/>
      </c>
    </row>
    <row r="842" spans="1:8">
      <c r="A842" s="69">
        <v>1435</v>
      </c>
      <c r="B842" s="69" t="s">
        <v>2613</v>
      </c>
      <c r="C842" s="70" t="s">
        <v>2030</v>
      </c>
      <c r="D842" s="70" t="s">
        <v>2610</v>
      </c>
      <c r="E842" s="72">
        <v>2</v>
      </c>
      <c r="F842" s="70"/>
      <c r="G842" s="70" t="str">
        <f>IFERROR(VLOOKUP(A842,[1]wms_iv_f!$A$1:$E$136,4,FALSE),"")</f>
        <v/>
      </c>
      <c r="H842" s="95" t="str">
        <f>IFERROR(VLOOKUP(A842,[2]wms_lc_f!$A$1:$B$156,2,FALSE),"")</f>
        <v>12-116-E3</v>
      </c>
    </row>
    <row r="843" spans="1:8">
      <c r="A843" s="69">
        <v>110025</v>
      </c>
      <c r="B843" s="69" t="s">
        <v>2613</v>
      </c>
      <c r="C843" s="70" t="s">
        <v>2249</v>
      </c>
      <c r="D843" s="70" t="s">
        <v>2610</v>
      </c>
      <c r="E843" s="72">
        <v>2</v>
      </c>
      <c r="F843" s="70"/>
      <c r="G843" s="70" t="str">
        <f>IFERROR(VLOOKUP(A843,[1]wms_iv_f!$A$1:$E$136,4,FALSE),"")</f>
        <v/>
      </c>
      <c r="H843" s="95" t="str">
        <f>IFERROR(VLOOKUP(A843,[2]wms_lc_f!$A$1:$B$156,2,FALSE),"")</f>
        <v/>
      </c>
    </row>
    <row r="844" spans="1:8">
      <c r="A844" s="69">
        <v>9723</v>
      </c>
      <c r="B844" s="69" t="s">
        <v>2613</v>
      </c>
      <c r="C844" s="70" t="s">
        <v>2250</v>
      </c>
      <c r="D844" s="70" t="s">
        <v>2610</v>
      </c>
      <c r="E844" s="72">
        <v>2</v>
      </c>
      <c r="F844" s="70"/>
      <c r="G844" s="70" t="str">
        <f>IFERROR(VLOOKUP(A844,[1]wms_iv_f!$A$1:$E$136,4,FALSE),"")</f>
        <v/>
      </c>
      <c r="H844" s="95" t="str">
        <f>IFERROR(VLOOKUP(A844,[2]wms_lc_f!$A$1:$B$156,2,FALSE),"")</f>
        <v/>
      </c>
    </row>
    <row r="845" spans="1:8">
      <c r="A845" s="69">
        <v>96288</v>
      </c>
      <c r="B845" s="69" t="s">
        <v>2613</v>
      </c>
      <c r="C845" s="70" t="s">
        <v>2251</v>
      </c>
      <c r="D845" s="70" t="s">
        <v>2610</v>
      </c>
      <c r="E845" s="72">
        <v>2</v>
      </c>
      <c r="F845" s="70"/>
      <c r="G845" s="70" t="str">
        <f>IFERROR(VLOOKUP(A845,[1]wms_iv_f!$A$1:$E$136,4,FALSE),"")</f>
        <v/>
      </c>
      <c r="H845" s="95" t="str">
        <f>IFERROR(VLOOKUP(A845,[2]wms_lc_f!$A$1:$B$156,2,FALSE),"")</f>
        <v>12-112-C1</v>
      </c>
    </row>
    <row r="846" spans="1:8">
      <c r="A846" s="69">
        <v>430</v>
      </c>
      <c r="B846" s="69" t="s">
        <v>2613</v>
      </c>
      <c r="C846" s="70" t="s">
        <v>2252</v>
      </c>
      <c r="D846" s="70" t="s">
        <v>2610</v>
      </c>
      <c r="E846" s="72">
        <v>2</v>
      </c>
      <c r="F846" s="70"/>
      <c r="G846" s="70" t="str">
        <f>IFERROR(VLOOKUP(A846,[1]wms_iv_f!$A$1:$E$136,4,FALSE),"")</f>
        <v/>
      </c>
      <c r="H846" s="95" t="str">
        <f>IFERROR(VLOOKUP(A846,[2]wms_lc_f!$A$1:$B$156,2,FALSE),"")</f>
        <v>12-112-D4</v>
      </c>
    </row>
    <row r="847" spans="1:8">
      <c r="A847" s="69">
        <v>57068</v>
      </c>
      <c r="B847" s="69" t="s">
        <v>2613</v>
      </c>
      <c r="C847" s="70" t="s">
        <v>2317</v>
      </c>
      <c r="D847" s="70" t="s">
        <v>2610</v>
      </c>
      <c r="E847" s="72">
        <v>2</v>
      </c>
      <c r="F847" s="70"/>
      <c r="G847" s="70" t="str">
        <f>IFERROR(VLOOKUP(A847,[1]wms_iv_f!$A$1:$E$136,4,FALSE),"")</f>
        <v/>
      </c>
      <c r="H847" s="95" t="str">
        <f>IFERROR(VLOOKUP(A847,[2]wms_lc_f!$A$1:$B$156,2,FALSE),"")</f>
        <v/>
      </c>
    </row>
    <row r="848" spans="1:8">
      <c r="A848" s="69">
        <v>83395</v>
      </c>
      <c r="B848" s="69" t="s">
        <v>2613</v>
      </c>
      <c r="C848" s="70" t="s">
        <v>2318</v>
      </c>
      <c r="D848" s="70" t="s">
        <v>2610</v>
      </c>
      <c r="E848" s="72">
        <v>2</v>
      </c>
      <c r="F848" s="70"/>
      <c r="G848" s="70" t="str">
        <f>IFERROR(VLOOKUP(A848,[1]wms_iv_f!$A$1:$E$136,4,FALSE),"")</f>
        <v/>
      </c>
      <c r="H848" s="95" t="str">
        <f>IFERROR(VLOOKUP(A848,[2]wms_lc_f!$A$1:$B$156,2,FALSE),"")</f>
        <v/>
      </c>
    </row>
    <row r="849" spans="1:8">
      <c r="A849" s="69">
        <v>108195</v>
      </c>
      <c r="B849" s="69" t="s">
        <v>2613</v>
      </c>
      <c r="C849" s="70" t="s">
        <v>2319</v>
      </c>
      <c r="D849" s="70" t="s">
        <v>2610</v>
      </c>
      <c r="E849" s="72">
        <v>2</v>
      </c>
      <c r="F849" s="70"/>
      <c r="G849" s="70" t="str">
        <f>IFERROR(VLOOKUP(A849,[1]wms_iv_f!$A$1:$E$136,4,FALSE),"")</f>
        <v/>
      </c>
      <c r="H849" s="95" t="str">
        <f>IFERROR(VLOOKUP(A849,[2]wms_lc_f!$A$1:$B$156,2,FALSE),"")</f>
        <v/>
      </c>
    </row>
    <row r="850" spans="1:8">
      <c r="A850" s="69">
        <v>59392</v>
      </c>
      <c r="B850" s="69" t="s">
        <v>2613</v>
      </c>
      <c r="C850" s="70" t="s">
        <v>2320</v>
      </c>
      <c r="D850" s="70" t="s">
        <v>2610</v>
      </c>
      <c r="E850" s="72">
        <v>2</v>
      </c>
      <c r="F850" s="70"/>
      <c r="G850" s="70" t="str">
        <f>IFERROR(VLOOKUP(A850,[1]wms_iv_f!$A$1:$E$136,4,FALSE),"")</f>
        <v/>
      </c>
      <c r="H850" s="95" t="str">
        <f>IFERROR(VLOOKUP(A850,[2]wms_lc_f!$A$1:$B$156,2,FALSE),"")</f>
        <v/>
      </c>
    </row>
    <row r="851" spans="1:8">
      <c r="A851" s="69">
        <v>136457</v>
      </c>
      <c r="B851" s="69" t="s">
        <v>2613</v>
      </c>
      <c r="C851" s="70" t="s">
        <v>2321</v>
      </c>
      <c r="D851" s="70" t="s">
        <v>2610</v>
      </c>
      <c r="E851" s="72">
        <v>2</v>
      </c>
      <c r="F851" s="70"/>
      <c r="G851" s="70" t="str">
        <f>IFERROR(VLOOKUP(A851,[1]wms_iv_f!$A$1:$E$136,4,FALSE),"")</f>
        <v/>
      </c>
      <c r="H851" s="95" t="str">
        <f>IFERROR(VLOOKUP(A851,[2]wms_lc_f!$A$1:$B$156,2,FALSE),"")</f>
        <v/>
      </c>
    </row>
    <row r="852" spans="1:8">
      <c r="A852" s="69">
        <v>96</v>
      </c>
      <c r="B852" s="69" t="s">
        <v>2613</v>
      </c>
      <c r="C852" s="70" t="s">
        <v>2427</v>
      </c>
      <c r="D852" s="70" t="s">
        <v>2610</v>
      </c>
      <c r="E852" s="72">
        <v>2</v>
      </c>
      <c r="F852" s="70"/>
      <c r="G852" s="70" t="str">
        <f>IFERROR(VLOOKUP(A852,[1]wms_iv_f!$A$1:$E$136,4,FALSE),"")</f>
        <v/>
      </c>
      <c r="H852" s="95" t="str">
        <f>IFERROR(VLOOKUP(A852,[2]wms_lc_f!$A$1:$B$156,2,FALSE),"")</f>
        <v/>
      </c>
    </row>
    <row r="853" spans="1:8">
      <c r="A853" s="69">
        <v>135574</v>
      </c>
      <c r="B853" s="69" t="s">
        <v>2613</v>
      </c>
      <c r="C853" s="70" t="s">
        <v>2429</v>
      </c>
      <c r="D853" s="70" t="s">
        <v>2610</v>
      </c>
      <c r="E853" s="72">
        <v>2</v>
      </c>
      <c r="F853" s="70"/>
      <c r="G853" s="70" t="str">
        <f>IFERROR(VLOOKUP(A853,[1]wms_iv_f!$A$1:$E$136,4,FALSE),"")</f>
        <v/>
      </c>
      <c r="H853" s="95" t="str">
        <f>IFERROR(VLOOKUP(A853,[2]wms_lc_f!$A$1:$B$156,2,FALSE),"")</f>
        <v/>
      </c>
    </row>
    <row r="854" spans="1:8">
      <c r="A854" s="81">
        <v>124757</v>
      </c>
      <c r="B854" s="69" t="s">
        <v>2613</v>
      </c>
      <c r="C854" s="70" t="s">
        <v>2430</v>
      </c>
      <c r="D854" s="70" t="s">
        <v>2610</v>
      </c>
      <c r="E854" s="72">
        <v>2</v>
      </c>
      <c r="F854" s="70"/>
      <c r="G854" s="70" t="str">
        <f>IFERROR(VLOOKUP(A854,[1]wms_iv_f!$A$1:$E$136,4,FALSE),"")</f>
        <v/>
      </c>
      <c r="H854" s="95" t="str">
        <f>IFERROR(VLOOKUP(A854,[2]wms_lc_f!$A$1:$B$156,2,FALSE),"")</f>
        <v/>
      </c>
    </row>
    <row r="855" spans="1:8">
      <c r="A855" s="81">
        <v>136451</v>
      </c>
      <c r="B855" s="69" t="s">
        <v>2613</v>
      </c>
      <c r="C855" s="70" t="s">
        <v>2431</v>
      </c>
      <c r="D855" s="70" t="s">
        <v>2610</v>
      </c>
      <c r="E855" s="72">
        <v>2</v>
      </c>
      <c r="F855" s="70"/>
      <c r="G855" s="70" t="str">
        <f>IFERROR(VLOOKUP(A855,[1]wms_iv_f!$A$1:$E$136,4,FALSE),"")</f>
        <v/>
      </c>
      <c r="H855" s="95" t="str">
        <f>IFERROR(VLOOKUP(A855,[2]wms_lc_f!$A$1:$B$156,2,FALSE),"")</f>
        <v/>
      </c>
    </row>
    <row r="856" spans="1:8">
      <c r="A856" s="81">
        <v>131626</v>
      </c>
      <c r="B856" s="69" t="s">
        <v>2613</v>
      </c>
      <c r="C856" s="70" t="s">
        <v>2432</v>
      </c>
      <c r="D856" s="70" t="s">
        <v>2610</v>
      </c>
      <c r="E856" s="72">
        <v>2</v>
      </c>
      <c r="F856" s="70"/>
      <c r="G856" s="70" t="str">
        <f>IFERROR(VLOOKUP(A856,[1]wms_iv_f!$A$1:$E$136,4,FALSE),"")</f>
        <v/>
      </c>
      <c r="H856" s="95" t="str">
        <f>IFERROR(VLOOKUP(A856,[2]wms_lc_f!$A$1:$B$156,2,FALSE),"")</f>
        <v/>
      </c>
    </row>
    <row r="857" spans="1:8">
      <c r="A857" s="69">
        <v>113472</v>
      </c>
      <c r="B857" s="69" t="s">
        <v>2613</v>
      </c>
      <c r="C857" s="70" t="s">
        <v>2538</v>
      </c>
      <c r="D857" s="70" t="s">
        <v>2610</v>
      </c>
      <c r="E857" s="72">
        <v>2</v>
      </c>
      <c r="F857" s="70"/>
      <c r="G857" s="70" t="str">
        <f>IFERROR(VLOOKUP(A857,[1]wms_iv_f!$A$1:$E$136,4,FALSE),"")</f>
        <v/>
      </c>
      <c r="H857" s="95" t="str">
        <f>IFERROR(VLOOKUP(A857,[2]wms_lc_f!$A$1:$B$156,2,FALSE),"")</f>
        <v/>
      </c>
    </row>
    <row r="858" spans="1:8">
      <c r="A858" s="69">
        <v>131401</v>
      </c>
      <c r="B858" s="69" t="s">
        <v>2613</v>
      </c>
      <c r="C858" s="70" t="s">
        <v>2539</v>
      </c>
      <c r="D858" s="70" t="s">
        <v>2610</v>
      </c>
      <c r="E858" s="72">
        <v>2</v>
      </c>
      <c r="F858" s="70"/>
      <c r="G858" s="70" t="str">
        <f>IFERROR(VLOOKUP(A858,[1]wms_iv_f!$A$1:$E$136,4,FALSE),"")</f>
        <v/>
      </c>
      <c r="H858" s="95" t="str">
        <f>IFERROR(VLOOKUP(A858,[2]wms_lc_f!$A$1:$B$156,2,FALSE),"")</f>
        <v/>
      </c>
    </row>
    <row r="859" spans="1:8">
      <c r="A859" s="81">
        <v>125446</v>
      </c>
      <c r="B859" s="69" t="s">
        <v>2613</v>
      </c>
      <c r="C859" s="70" t="s">
        <v>2540</v>
      </c>
      <c r="D859" s="70" t="s">
        <v>2610</v>
      </c>
      <c r="E859" s="72">
        <v>2</v>
      </c>
      <c r="F859" s="70"/>
      <c r="G859" s="70" t="str">
        <f>IFERROR(VLOOKUP(A859,[1]wms_iv_f!$A$1:$E$136,4,FALSE),"")</f>
        <v/>
      </c>
      <c r="H859" s="95" t="str">
        <f>IFERROR(VLOOKUP(A859,[2]wms_lc_f!$A$1:$B$156,2,FALSE),"")</f>
        <v/>
      </c>
    </row>
    <row r="860" spans="1:8">
      <c r="A860" s="81">
        <v>126041</v>
      </c>
      <c r="B860" s="69" t="s">
        <v>2613</v>
      </c>
      <c r="C860" s="70" t="s">
        <v>2541</v>
      </c>
      <c r="D860" s="70" t="s">
        <v>2610</v>
      </c>
      <c r="E860" s="72">
        <v>2</v>
      </c>
      <c r="F860" s="70"/>
      <c r="G860" s="70" t="str">
        <f>IFERROR(VLOOKUP(A860,[1]wms_iv_f!$A$1:$E$136,4,FALSE),"")</f>
        <v/>
      </c>
      <c r="H860" s="95" t="str">
        <f>IFERROR(VLOOKUP(A860,[2]wms_lc_f!$A$1:$B$156,2,FALSE),"")</f>
        <v/>
      </c>
    </row>
    <row r="861" spans="1:8">
      <c r="A861" s="69">
        <v>110676</v>
      </c>
      <c r="B861" s="69" t="s">
        <v>2613</v>
      </c>
      <c r="C861" s="70" t="s">
        <v>2542</v>
      </c>
      <c r="D861" s="70" t="s">
        <v>2610</v>
      </c>
      <c r="E861" s="72">
        <v>2</v>
      </c>
      <c r="F861" s="70"/>
      <c r="G861" s="70" t="str">
        <f>IFERROR(VLOOKUP(A861,[1]wms_iv_f!$A$1:$E$136,4,FALSE),"")</f>
        <v/>
      </c>
      <c r="H861" s="95" t="str">
        <f>IFERROR(VLOOKUP(A861,[2]wms_lc_f!$A$1:$B$156,2,FALSE),"")</f>
        <v/>
      </c>
    </row>
    <row r="862" spans="1:8">
      <c r="A862" s="69">
        <v>125445</v>
      </c>
      <c r="B862" s="69" t="s">
        <v>2613</v>
      </c>
      <c r="C862" s="70" t="s">
        <v>2543</v>
      </c>
      <c r="D862" s="70" t="s">
        <v>2610</v>
      </c>
      <c r="E862" s="72">
        <v>2</v>
      </c>
      <c r="F862" s="70"/>
      <c r="G862" s="70" t="str">
        <f>IFERROR(VLOOKUP(A862,[1]wms_iv_f!$A$1:$E$136,4,FALSE),"")</f>
        <v/>
      </c>
      <c r="H862" s="95" t="str">
        <f>IFERROR(VLOOKUP(A862,[2]wms_lc_f!$A$1:$B$156,2,FALSE),"")</f>
        <v/>
      </c>
    </row>
    <row r="863" spans="1:8">
      <c r="A863" s="69">
        <v>15450</v>
      </c>
      <c r="B863" s="69" t="s">
        <v>2613</v>
      </c>
      <c r="C863" s="70" t="s">
        <v>2322</v>
      </c>
      <c r="D863" s="70" t="s">
        <v>2610</v>
      </c>
      <c r="E863" s="72">
        <v>2</v>
      </c>
      <c r="F863" s="70"/>
      <c r="G863" s="70" t="str">
        <f>IFERROR(VLOOKUP(A863,[1]wms_iv_f!$A$1:$E$136,4,FALSE),"")</f>
        <v/>
      </c>
      <c r="H863" s="95" t="str">
        <f>IFERROR(VLOOKUP(A863,[2]wms_lc_f!$A$1:$B$156,2,FALSE),"")</f>
        <v>12-116-E6</v>
      </c>
    </row>
    <row r="864" spans="1:8">
      <c r="A864" s="69">
        <v>112656</v>
      </c>
      <c r="B864" s="69" t="s">
        <v>2613</v>
      </c>
      <c r="C864" s="70" t="s">
        <v>2323</v>
      </c>
      <c r="D864" s="70" t="s">
        <v>2610</v>
      </c>
      <c r="E864" s="72">
        <v>2</v>
      </c>
      <c r="F864" s="70"/>
      <c r="G864" s="70" t="str">
        <f>IFERROR(VLOOKUP(A864,[1]wms_iv_f!$A$1:$E$136,4,FALSE),"")</f>
        <v/>
      </c>
      <c r="H864" s="95" t="str">
        <f>IFERROR(VLOOKUP(A864,[2]wms_lc_f!$A$1:$B$156,2,FALSE),"")</f>
        <v/>
      </c>
    </row>
    <row r="865" spans="1:8">
      <c r="A865" s="69">
        <v>1454</v>
      </c>
      <c r="B865" s="69" t="s">
        <v>2613</v>
      </c>
      <c r="C865" s="70" t="s">
        <v>2324</v>
      </c>
      <c r="D865" s="70" t="s">
        <v>2610</v>
      </c>
      <c r="E865" s="72">
        <v>2</v>
      </c>
      <c r="F865" s="70"/>
      <c r="G865" s="70" t="str">
        <f>IFERROR(VLOOKUP(A865,[1]wms_iv_f!$A$1:$E$136,4,FALSE),"")</f>
        <v/>
      </c>
      <c r="H865" s="95" t="str">
        <f>IFERROR(VLOOKUP(A865,[2]wms_lc_f!$A$1:$B$156,2,FALSE),"")</f>
        <v/>
      </c>
    </row>
    <row r="866" spans="1:8">
      <c r="A866" s="81">
        <v>96363</v>
      </c>
      <c r="B866" s="69" t="s">
        <v>2613</v>
      </c>
      <c r="C866" s="70" t="s">
        <v>2325</v>
      </c>
      <c r="D866" s="70" t="s">
        <v>2610</v>
      </c>
      <c r="E866" s="72">
        <v>2</v>
      </c>
      <c r="F866" s="70"/>
      <c r="G866" s="70" t="str">
        <f>IFERROR(VLOOKUP(A866,[1]wms_iv_f!$A$1:$E$136,4,FALSE),"")</f>
        <v/>
      </c>
      <c r="H866" s="95" t="str">
        <f>IFERROR(VLOOKUP(A866,[2]wms_lc_f!$A$1:$B$156,2,FALSE),"")</f>
        <v/>
      </c>
    </row>
    <row r="867" spans="1:8">
      <c r="A867" s="81">
        <v>62297</v>
      </c>
      <c r="B867" s="69" t="s">
        <v>2613</v>
      </c>
      <c r="C867" s="70" t="s">
        <v>2326</v>
      </c>
      <c r="D867" s="70" t="s">
        <v>2610</v>
      </c>
      <c r="E867" s="72">
        <v>2</v>
      </c>
      <c r="F867" s="70"/>
      <c r="G867" s="70" t="str">
        <f>IFERROR(VLOOKUP(A867,[1]wms_iv_f!$A$1:$E$136,4,FALSE),"")</f>
        <v/>
      </c>
      <c r="H867" s="95" t="str">
        <f>IFERROR(VLOOKUP(A867,[2]wms_lc_f!$A$1:$B$156,2,FALSE),"")</f>
        <v/>
      </c>
    </row>
    <row r="868" spans="1:8">
      <c r="A868" s="81">
        <v>77</v>
      </c>
      <c r="B868" s="69" t="s">
        <v>2613</v>
      </c>
      <c r="C868" s="70" t="s">
        <v>2327</v>
      </c>
      <c r="D868" s="70" t="s">
        <v>2610</v>
      </c>
      <c r="E868" s="72">
        <v>2</v>
      </c>
      <c r="F868" s="70"/>
      <c r="G868" s="70" t="str">
        <f>IFERROR(VLOOKUP(A868,[1]wms_iv_f!$A$1:$E$136,4,FALSE),"")</f>
        <v/>
      </c>
      <c r="H868" s="95" t="str">
        <f>IFERROR(VLOOKUP(A868,[2]wms_lc_f!$A$1:$B$156,2,FALSE),"")</f>
        <v>12-114-E1</v>
      </c>
    </row>
    <row r="869" spans="1:8">
      <c r="A869" s="69">
        <v>105374</v>
      </c>
      <c r="B869" s="69" t="s">
        <v>2613</v>
      </c>
      <c r="C869" s="70" t="s">
        <v>2433</v>
      </c>
      <c r="D869" s="70" t="s">
        <v>2610</v>
      </c>
      <c r="E869" s="72">
        <v>2</v>
      </c>
      <c r="F869" s="70"/>
      <c r="G869" s="70" t="str">
        <f>IFERROR(VLOOKUP(A869,[1]wms_iv_f!$A$1:$E$136,4,FALSE),"")</f>
        <v/>
      </c>
      <c r="H869" s="95" t="str">
        <f>IFERROR(VLOOKUP(A869,[2]wms_lc_f!$A$1:$B$156,2,FALSE),"")</f>
        <v/>
      </c>
    </row>
    <row r="870" spans="1:8">
      <c r="A870" s="69">
        <v>521</v>
      </c>
      <c r="B870" s="69" t="s">
        <v>2613</v>
      </c>
      <c r="C870" s="70" t="s">
        <v>2434</v>
      </c>
      <c r="D870" s="70" t="s">
        <v>2610</v>
      </c>
      <c r="E870" s="72">
        <v>2</v>
      </c>
      <c r="F870" s="70"/>
      <c r="G870" s="70" t="str">
        <f>IFERROR(VLOOKUP(A870,[1]wms_iv_f!$A$1:$E$136,4,FALSE),"")</f>
        <v/>
      </c>
      <c r="H870" s="95" t="str">
        <f>IFERROR(VLOOKUP(A870,[2]wms_lc_f!$A$1:$B$156,2,FALSE),"")</f>
        <v/>
      </c>
    </row>
    <row r="871" spans="1:8">
      <c r="A871" s="69">
        <v>22398</v>
      </c>
      <c r="B871" s="69" t="s">
        <v>2613</v>
      </c>
      <c r="C871" s="70" t="s">
        <v>2435</v>
      </c>
      <c r="D871" s="70" t="s">
        <v>2610</v>
      </c>
      <c r="E871" s="72">
        <v>2</v>
      </c>
      <c r="F871" s="70"/>
      <c r="G871" s="70" t="str">
        <f>IFERROR(VLOOKUP(A871,[1]wms_iv_f!$A$1:$E$136,4,FALSE),"")</f>
        <v/>
      </c>
      <c r="H871" s="95" t="str">
        <f>IFERROR(VLOOKUP(A871,[2]wms_lc_f!$A$1:$B$156,2,FALSE),"")</f>
        <v/>
      </c>
    </row>
    <row r="872" spans="1:8">
      <c r="A872" s="68">
        <v>8319</v>
      </c>
      <c r="B872" s="69" t="s">
        <v>2613</v>
      </c>
      <c r="C872" s="76" t="s">
        <v>2436</v>
      </c>
      <c r="D872" s="76" t="s">
        <v>2610</v>
      </c>
      <c r="E872" s="72">
        <v>2</v>
      </c>
      <c r="F872" s="70"/>
      <c r="G872" s="70" t="str">
        <f>IFERROR(VLOOKUP(A872,[1]wms_iv_f!$A$1:$E$136,4,FALSE),"")</f>
        <v/>
      </c>
      <c r="H872" s="95" t="str">
        <f>IFERROR(VLOOKUP(A872,[2]wms_lc_f!$A$1:$B$156,2,FALSE),"")</f>
        <v>12-116-E7</v>
      </c>
    </row>
    <row r="873" spans="1:8">
      <c r="A873" s="71">
        <v>18504</v>
      </c>
      <c r="B873" s="69" t="s">
        <v>2613</v>
      </c>
      <c r="C873" s="70" t="s">
        <v>2437</v>
      </c>
      <c r="D873" s="70" t="s">
        <v>2610</v>
      </c>
      <c r="E873" s="72">
        <v>2</v>
      </c>
      <c r="F873" s="70"/>
      <c r="G873" s="70" t="str">
        <f>IFERROR(VLOOKUP(A873,[1]wms_iv_f!$A$1:$E$136,4,FALSE),"")</f>
        <v/>
      </c>
      <c r="H873" s="95" t="str">
        <f>IFERROR(VLOOKUP(A873,[2]wms_lc_f!$A$1:$B$156,2,FALSE),"")</f>
        <v/>
      </c>
    </row>
    <row r="874" spans="1:8">
      <c r="A874" s="71">
        <v>111480</v>
      </c>
      <c r="B874" s="69" t="s">
        <v>2613</v>
      </c>
      <c r="C874" s="70" t="s">
        <v>2438</v>
      </c>
      <c r="D874" s="70" t="s">
        <v>2610</v>
      </c>
      <c r="E874" s="72">
        <v>2</v>
      </c>
      <c r="F874" s="70"/>
      <c r="G874" s="70" t="str">
        <f>IFERROR(VLOOKUP(A874,[1]wms_iv_f!$A$1:$E$136,4,FALSE),"")</f>
        <v/>
      </c>
      <c r="H874" s="95" t="str">
        <f>IFERROR(VLOOKUP(A874,[2]wms_lc_f!$A$1:$B$156,2,FALSE),"")</f>
        <v/>
      </c>
    </row>
    <row r="875" spans="1:8">
      <c r="A875" s="71">
        <v>138919</v>
      </c>
      <c r="B875" s="69" t="s">
        <v>2613</v>
      </c>
      <c r="C875" s="70" t="s">
        <v>2544</v>
      </c>
      <c r="D875" s="70" t="s">
        <v>2610</v>
      </c>
      <c r="E875" s="72">
        <v>2</v>
      </c>
      <c r="F875" s="70"/>
      <c r="G875" s="70" t="str">
        <f>IFERROR(VLOOKUP(A875,[1]wms_iv_f!$A$1:$E$136,4,FALSE),"")</f>
        <v/>
      </c>
      <c r="H875" s="95" t="str">
        <f>IFERROR(VLOOKUP(A875,[2]wms_lc_f!$A$1:$B$156,2,FALSE),"")</f>
        <v/>
      </c>
    </row>
    <row r="876" spans="1:8">
      <c r="A876" s="71">
        <v>80941</v>
      </c>
      <c r="B876" s="69" t="s">
        <v>2613</v>
      </c>
      <c r="C876" s="70" t="s">
        <v>2545</v>
      </c>
      <c r="D876" s="70" t="s">
        <v>2610</v>
      </c>
      <c r="E876" s="72">
        <v>2</v>
      </c>
      <c r="F876" s="70"/>
      <c r="G876" s="70" t="str">
        <f>IFERROR(VLOOKUP(A876,[1]wms_iv_f!$A$1:$E$136,4,FALSE),"")</f>
        <v/>
      </c>
      <c r="H876" s="95" t="str">
        <f>IFERROR(VLOOKUP(A876,[2]wms_lc_f!$A$1:$B$156,2,FALSE),"")</f>
        <v/>
      </c>
    </row>
    <row r="877" spans="1:8">
      <c r="A877" s="71">
        <v>78462</v>
      </c>
      <c r="B877" s="69" t="s">
        <v>2613</v>
      </c>
      <c r="C877" s="70" t="s">
        <v>2546</v>
      </c>
      <c r="D877" s="70" t="s">
        <v>2610</v>
      </c>
      <c r="E877" s="72">
        <v>2</v>
      </c>
      <c r="F877" s="70"/>
      <c r="G877" s="70" t="str">
        <f>IFERROR(VLOOKUP(A877,[1]wms_iv_f!$A$1:$E$136,4,FALSE),"")</f>
        <v/>
      </c>
      <c r="H877" s="95" t="str">
        <f>IFERROR(VLOOKUP(A877,[2]wms_lc_f!$A$1:$B$156,2,FALSE),"")</f>
        <v/>
      </c>
    </row>
    <row r="878" spans="1:8" ht="14.45" customHeight="1">
      <c r="A878" s="84">
        <v>107057</v>
      </c>
      <c r="B878" s="69" t="s">
        <v>2613</v>
      </c>
      <c r="C878" s="70" t="s">
        <v>2547</v>
      </c>
      <c r="D878" s="70" t="s">
        <v>2610</v>
      </c>
      <c r="E878" s="83">
        <v>2</v>
      </c>
      <c r="F878" s="70"/>
      <c r="G878" s="70" t="str">
        <f>IFERROR(VLOOKUP(A878,[1]wms_iv_f!$A$1:$E$136,4,FALSE),"")</f>
        <v/>
      </c>
      <c r="H878" s="95" t="str">
        <f>IFERROR(VLOOKUP(A878,[2]wms_lc_f!$A$1:$B$156,2,FALSE),"")</f>
        <v/>
      </c>
    </row>
    <row r="879" spans="1:8">
      <c r="A879" s="69">
        <v>111375</v>
      </c>
      <c r="B879" s="69" t="s">
        <v>2613</v>
      </c>
      <c r="C879" s="70" t="s">
        <v>2548</v>
      </c>
      <c r="D879" s="70" t="s">
        <v>2610</v>
      </c>
      <c r="E879" s="72">
        <v>2</v>
      </c>
      <c r="F879" s="70"/>
      <c r="G879" s="70" t="str">
        <f>IFERROR(VLOOKUP(A879,[1]wms_iv_f!$A$1:$E$136,4,FALSE),"")</f>
        <v/>
      </c>
      <c r="H879" s="95" t="str">
        <f>IFERROR(VLOOKUP(A879,[2]wms_lc_f!$A$1:$B$156,2,FALSE),"")</f>
        <v/>
      </c>
    </row>
    <row r="880" spans="1:8">
      <c r="A880" s="69">
        <v>9386</v>
      </c>
      <c r="B880" s="69" t="s">
        <v>2613</v>
      </c>
      <c r="C880" s="70" t="s">
        <v>2549</v>
      </c>
      <c r="D880" s="70" t="s">
        <v>2610</v>
      </c>
      <c r="E880" s="72">
        <v>2</v>
      </c>
      <c r="F880" s="70"/>
      <c r="G880" s="70" t="str">
        <f>IFERROR(VLOOKUP(A880,[1]wms_iv_f!$A$1:$E$136,4,FALSE),"")</f>
        <v/>
      </c>
      <c r="H880" s="95" t="str">
        <f>IFERROR(VLOOKUP(A880,[2]wms_lc_f!$A$1:$B$156,2,FALSE),"")</f>
        <v>12-116-D7</v>
      </c>
    </row>
    <row r="881" spans="1:8">
      <c r="A881" s="69">
        <v>141155</v>
      </c>
      <c r="B881" s="69" t="s">
        <v>2613</v>
      </c>
      <c r="C881" s="70" t="s">
        <v>1977</v>
      </c>
      <c r="D881" s="70" t="s">
        <v>2610</v>
      </c>
      <c r="E881" s="72">
        <v>2</v>
      </c>
      <c r="F881" s="70"/>
      <c r="G881" s="70" t="str">
        <f>IFERROR(VLOOKUP(A881,[1]wms_iv_f!$A$1:$E$136,4,FALSE),"")</f>
        <v/>
      </c>
      <c r="H881" s="95" t="str">
        <f>IFERROR(VLOOKUP(A881,[2]wms_lc_f!$A$1:$B$156,2,FALSE),"")</f>
        <v/>
      </c>
    </row>
    <row r="882" spans="1:8">
      <c r="A882" s="69">
        <v>97130</v>
      </c>
      <c r="B882" s="69" t="s">
        <v>2613</v>
      </c>
      <c r="C882" s="70" t="s">
        <v>2198</v>
      </c>
      <c r="D882" s="70" t="s">
        <v>2610</v>
      </c>
      <c r="E882" s="72">
        <v>2</v>
      </c>
      <c r="F882" s="70"/>
      <c r="G882" s="70" t="str">
        <f>IFERROR(VLOOKUP(A882,[1]wms_iv_f!$A$1:$E$136,4,FALSE),"")</f>
        <v/>
      </c>
      <c r="H882" s="95" t="str">
        <f>IFERROR(VLOOKUP(A882,[2]wms_lc_f!$A$1:$B$156,2,FALSE),"")</f>
        <v/>
      </c>
    </row>
    <row r="883" spans="1:8">
      <c r="A883" s="69">
        <v>132599</v>
      </c>
      <c r="B883" s="69" t="s">
        <v>2613</v>
      </c>
      <c r="C883" s="70" t="s">
        <v>2199</v>
      </c>
      <c r="D883" s="70" t="s">
        <v>2610</v>
      </c>
      <c r="E883" s="72">
        <v>2</v>
      </c>
      <c r="F883" s="70"/>
      <c r="G883" s="70" t="str">
        <f>IFERROR(VLOOKUP(A883,[1]wms_iv_f!$A$1:$E$136,4,FALSE),"")</f>
        <v/>
      </c>
      <c r="H883" s="95" t="str">
        <f>IFERROR(VLOOKUP(A883,[2]wms_lc_f!$A$1:$B$156,2,FALSE),"")</f>
        <v/>
      </c>
    </row>
    <row r="884" spans="1:8">
      <c r="A884" s="69">
        <v>100651</v>
      </c>
      <c r="B884" s="69" t="s">
        <v>2613</v>
      </c>
      <c r="C884" s="70" t="s">
        <v>2200</v>
      </c>
      <c r="D884" s="70" t="s">
        <v>2610</v>
      </c>
      <c r="E884" s="72">
        <v>2</v>
      </c>
      <c r="F884" s="70"/>
      <c r="G884" s="70" t="str">
        <f>IFERROR(VLOOKUP(A884,[1]wms_iv_f!$A$1:$E$136,4,FALSE),"")</f>
        <v/>
      </c>
      <c r="H884" s="95" t="str">
        <f>IFERROR(VLOOKUP(A884,[2]wms_lc_f!$A$1:$B$156,2,FALSE),"")</f>
        <v/>
      </c>
    </row>
    <row r="885" spans="1:8">
      <c r="A885" s="69">
        <v>114101</v>
      </c>
      <c r="B885" s="69" t="s">
        <v>2613</v>
      </c>
      <c r="C885" s="70" t="s">
        <v>2201</v>
      </c>
      <c r="D885" s="70" t="s">
        <v>2610</v>
      </c>
      <c r="E885" s="72">
        <v>2</v>
      </c>
      <c r="F885" s="70"/>
      <c r="G885" s="70" t="str">
        <f>IFERROR(VLOOKUP(A885,[1]wms_iv_f!$A$1:$E$136,4,FALSE),"")</f>
        <v/>
      </c>
      <c r="H885" s="95" t="str">
        <f>IFERROR(VLOOKUP(A885,[2]wms_lc_f!$A$1:$B$156,2,FALSE),"")</f>
        <v/>
      </c>
    </row>
    <row r="886" spans="1:8">
      <c r="A886" s="69">
        <v>107025</v>
      </c>
      <c r="B886" s="69" t="s">
        <v>2613</v>
      </c>
      <c r="C886" s="70" t="s">
        <v>2202</v>
      </c>
      <c r="D886" s="70" t="s">
        <v>2610</v>
      </c>
      <c r="E886" s="72">
        <v>2</v>
      </c>
      <c r="F886" s="70"/>
      <c r="G886" s="70" t="str">
        <f>IFERROR(VLOOKUP(A886,[1]wms_iv_f!$A$1:$E$136,4,FALSE),"")</f>
        <v/>
      </c>
      <c r="H886" s="95" t="str">
        <f>IFERROR(VLOOKUP(A886,[2]wms_lc_f!$A$1:$B$156,2,FALSE),"")</f>
        <v/>
      </c>
    </row>
    <row r="887" spans="1:8">
      <c r="A887" s="69">
        <v>89551</v>
      </c>
      <c r="B887" s="69" t="s">
        <v>2613</v>
      </c>
      <c r="C887" s="70" t="s">
        <v>2203</v>
      </c>
      <c r="D887" s="70" t="s">
        <v>2610</v>
      </c>
      <c r="E887" s="72">
        <v>2</v>
      </c>
      <c r="F887" s="70"/>
      <c r="G887" s="70" t="str">
        <f>IFERROR(VLOOKUP(A887,[1]wms_iv_f!$A$1:$E$136,4,FALSE),"")</f>
        <v/>
      </c>
      <c r="H887" s="95" t="str">
        <f>IFERROR(VLOOKUP(A887,[2]wms_lc_f!$A$1:$B$156,2,FALSE),"")</f>
        <v/>
      </c>
    </row>
    <row r="888" spans="1:8">
      <c r="A888" s="69">
        <v>113471</v>
      </c>
      <c r="B888" s="69" t="s">
        <v>2613</v>
      </c>
      <c r="C888" s="70" t="s">
        <v>2089</v>
      </c>
      <c r="D888" s="70" t="s">
        <v>2610</v>
      </c>
      <c r="E888" s="72">
        <v>2</v>
      </c>
      <c r="F888" s="70"/>
      <c r="G888" s="70" t="str">
        <f>IFERROR(VLOOKUP(A888,[1]wms_iv_f!$A$1:$E$136,4,FALSE),"")</f>
        <v/>
      </c>
      <c r="H888" s="95" t="str">
        <f>IFERROR(VLOOKUP(A888,[2]wms_lc_f!$A$1:$B$156,2,FALSE),"")</f>
        <v/>
      </c>
    </row>
    <row r="889" spans="1:8">
      <c r="A889" s="69">
        <v>1406</v>
      </c>
      <c r="B889" s="69" t="s">
        <v>2613</v>
      </c>
      <c r="C889" s="74" t="s">
        <v>2091</v>
      </c>
      <c r="D889" s="74" t="s">
        <v>2610</v>
      </c>
      <c r="E889" s="72">
        <v>2</v>
      </c>
      <c r="F889" s="70"/>
      <c r="G889" s="70" t="str">
        <f>IFERROR(VLOOKUP(A889,[1]wms_iv_f!$A$1:$E$136,4,FALSE),"")</f>
        <v/>
      </c>
      <c r="H889" s="95" t="str">
        <f>IFERROR(VLOOKUP(A889,[2]wms_lc_f!$A$1:$B$156,2,FALSE),"")</f>
        <v/>
      </c>
    </row>
    <row r="890" spans="1:8">
      <c r="A890" s="69">
        <v>100382</v>
      </c>
      <c r="B890" s="69" t="s">
        <v>2613</v>
      </c>
      <c r="C890" s="70" t="s">
        <v>2092</v>
      </c>
      <c r="D890" s="70" t="s">
        <v>2610</v>
      </c>
      <c r="E890" s="72">
        <v>2</v>
      </c>
      <c r="F890" s="70"/>
      <c r="G890" s="70" t="str">
        <f>IFERROR(VLOOKUP(A890,[1]wms_iv_f!$A$1:$E$136,4,FALSE),"")</f>
        <v/>
      </c>
      <c r="H890" s="95" t="str">
        <f>IFERROR(VLOOKUP(A890,[2]wms_lc_f!$A$1:$B$156,2,FALSE),"")</f>
        <v/>
      </c>
    </row>
    <row r="891" spans="1:8">
      <c r="A891" s="69">
        <v>1381</v>
      </c>
      <c r="B891" s="69" t="s">
        <v>2613</v>
      </c>
      <c r="C891" s="70" t="s">
        <v>2093</v>
      </c>
      <c r="D891" s="70" t="s">
        <v>2610</v>
      </c>
      <c r="E891" s="72">
        <v>2</v>
      </c>
      <c r="F891" s="70"/>
      <c r="G891" s="70" t="str">
        <f>IFERROR(VLOOKUP(A891,[1]wms_iv_f!$A$1:$E$136,4,FALSE),"")</f>
        <v/>
      </c>
      <c r="H891" s="95" t="str">
        <f>IFERROR(VLOOKUP(A891,[2]wms_lc_f!$A$1:$B$156,2,FALSE),"")</f>
        <v/>
      </c>
    </row>
    <row r="892" spans="1:8">
      <c r="A892" s="69">
        <v>100217</v>
      </c>
      <c r="B892" s="69" t="s">
        <v>2613</v>
      </c>
      <c r="C892" s="70" t="s">
        <v>2094</v>
      </c>
      <c r="D892" s="70" t="s">
        <v>2610</v>
      </c>
      <c r="E892" s="72">
        <v>2</v>
      </c>
      <c r="F892" s="70"/>
      <c r="G892" s="70" t="str">
        <f>IFERROR(VLOOKUP(A892,[1]wms_iv_f!$A$1:$E$136,4,FALSE),"")</f>
        <v/>
      </c>
      <c r="H892" s="95" t="str">
        <f>IFERROR(VLOOKUP(A892,[2]wms_lc_f!$A$1:$B$156,2,FALSE),"")</f>
        <v/>
      </c>
    </row>
    <row r="893" spans="1:8">
      <c r="A893" s="69">
        <v>14485</v>
      </c>
      <c r="B893" s="69" t="s">
        <v>2613</v>
      </c>
      <c r="C893" s="70" t="s">
        <v>1980</v>
      </c>
      <c r="D893" s="70" t="s">
        <v>2610</v>
      </c>
      <c r="E893" s="72">
        <v>2</v>
      </c>
      <c r="F893" s="70"/>
      <c r="G893" s="70" t="str">
        <f>IFERROR(VLOOKUP(A893,[1]wms_iv_f!$A$1:$E$136,4,FALSE),"")</f>
        <v/>
      </c>
      <c r="H893" s="95" t="str">
        <f>IFERROR(VLOOKUP(A893,[2]wms_lc_f!$A$1:$B$156,2,FALSE),"")</f>
        <v/>
      </c>
    </row>
    <row r="894" spans="1:8">
      <c r="A894" s="69">
        <v>132699</v>
      </c>
      <c r="B894" s="69" t="s">
        <v>2613</v>
      </c>
      <c r="C894" s="70" t="s">
        <v>1981</v>
      </c>
      <c r="D894" s="70" t="s">
        <v>2610</v>
      </c>
      <c r="E894" s="72">
        <v>2</v>
      </c>
      <c r="F894" s="70"/>
      <c r="G894" s="70" t="str">
        <f>IFERROR(VLOOKUP(A894,[1]wms_iv_f!$A$1:$E$136,4,FALSE),"")</f>
        <v/>
      </c>
      <c r="H894" s="95" t="str">
        <f>IFERROR(VLOOKUP(A894,[2]wms_lc_f!$A$1:$B$156,2,FALSE),"")</f>
        <v/>
      </c>
    </row>
    <row r="895" spans="1:8">
      <c r="A895" s="69">
        <v>13542</v>
      </c>
      <c r="B895" s="69" t="s">
        <v>2613</v>
      </c>
      <c r="C895" s="70" t="s">
        <v>1982</v>
      </c>
      <c r="D895" s="70" t="s">
        <v>2610</v>
      </c>
      <c r="E895" s="72">
        <v>2</v>
      </c>
      <c r="F895" s="70"/>
      <c r="G895" s="70" t="str">
        <f>IFERROR(VLOOKUP(A895,[1]wms_iv_f!$A$1:$E$136,4,FALSE),"")</f>
        <v/>
      </c>
      <c r="H895" s="95" t="str">
        <f>IFERROR(VLOOKUP(A895,[2]wms_lc_f!$A$1:$B$156,2,FALSE),"")</f>
        <v/>
      </c>
    </row>
    <row r="896" spans="1:8">
      <c r="A896" s="69">
        <v>84017</v>
      </c>
      <c r="B896" s="69" t="s">
        <v>2613</v>
      </c>
      <c r="C896" s="70" t="s">
        <v>1983</v>
      </c>
      <c r="D896" s="70" t="s">
        <v>2610</v>
      </c>
      <c r="E896" s="72">
        <v>2</v>
      </c>
      <c r="F896" s="70"/>
      <c r="G896" s="70" t="str">
        <f>IFERROR(VLOOKUP(A896,[1]wms_iv_f!$A$1:$E$136,4,FALSE),"")</f>
        <v/>
      </c>
      <c r="H896" s="95" t="str">
        <f>IFERROR(VLOOKUP(A896,[2]wms_lc_f!$A$1:$B$156,2,FALSE),"")</f>
        <v/>
      </c>
    </row>
    <row r="897" spans="1:8">
      <c r="A897" s="69">
        <v>124932</v>
      </c>
      <c r="B897" s="69" t="s">
        <v>2613</v>
      </c>
      <c r="C897" s="70" t="s">
        <v>1984</v>
      </c>
      <c r="D897" s="70" t="s">
        <v>2610</v>
      </c>
      <c r="E897" s="72">
        <v>2</v>
      </c>
      <c r="F897" s="70"/>
      <c r="G897" s="70" t="str">
        <f>IFERROR(VLOOKUP(A897,[1]wms_iv_f!$A$1:$E$136,4,FALSE),"")</f>
        <v/>
      </c>
      <c r="H897" s="95" t="str">
        <f>IFERROR(VLOOKUP(A897,[2]wms_lc_f!$A$1:$B$156,2,FALSE),"")</f>
        <v/>
      </c>
    </row>
    <row r="898" spans="1:8">
      <c r="A898" s="69">
        <v>110872</v>
      </c>
      <c r="B898" s="69" t="s">
        <v>2613</v>
      </c>
      <c r="C898" s="70" t="s">
        <v>1985</v>
      </c>
      <c r="D898" s="70" t="s">
        <v>2610</v>
      </c>
      <c r="E898" s="72">
        <v>2</v>
      </c>
      <c r="F898" s="70"/>
      <c r="G898" s="70" t="str">
        <f>IFERROR(VLOOKUP(A898,[1]wms_iv_f!$A$1:$E$136,4,FALSE),"")</f>
        <v/>
      </c>
      <c r="H898" s="95" t="str">
        <f>IFERROR(VLOOKUP(A898,[2]wms_lc_f!$A$1:$B$156,2,FALSE),"")</f>
        <v/>
      </c>
    </row>
    <row r="899" spans="1:8">
      <c r="A899" s="69">
        <v>49200</v>
      </c>
      <c r="B899" s="69" t="s">
        <v>2613</v>
      </c>
      <c r="C899" s="70" t="s">
        <v>2204</v>
      </c>
      <c r="D899" s="70" t="s">
        <v>2610</v>
      </c>
      <c r="E899" s="72">
        <v>2</v>
      </c>
      <c r="F899" s="70"/>
      <c r="G899" s="70" t="str">
        <f>IFERROR(VLOOKUP(A899,[1]wms_iv_f!$A$1:$E$136,4,FALSE),"")</f>
        <v/>
      </c>
      <c r="H899" s="95" t="str">
        <f>IFERROR(VLOOKUP(A899,[2]wms_lc_f!$A$1:$B$156,2,FALSE),"")</f>
        <v/>
      </c>
    </row>
    <row r="900" spans="1:8">
      <c r="A900" s="69">
        <v>58621</v>
      </c>
      <c r="B900" s="69" t="s">
        <v>2613</v>
      </c>
      <c r="C900" s="70" t="s">
        <v>2205</v>
      </c>
      <c r="D900" s="70" t="s">
        <v>2610</v>
      </c>
      <c r="E900" s="72">
        <v>2</v>
      </c>
      <c r="F900" s="70"/>
      <c r="G900" s="70" t="str">
        <f>IFERROR(VLOOKUP(A900,[1]wms_iv_f!$A$1:$E$136,4,FALSE),"")</f>
        <v/>
      </c>
      <c r="H900" s="95" t="str">
        <f>IFERROR(VLOOKUP(A900,[2]wms_lc_f!$A$1:$B$156,2,FALSE),"")</f>
        <v>12-110-C6</v>
      </c>
    </row>
    <row r="901" spans="1:8">
      <c r="A901" s="69">
        <v>116844</v>
      </c>
      <c r="B901" s="69" t="s">
        <v>2613</v>
      </c>
      <c r="C901" s="70" t="s">
        <v>2206</v>
      </c>
      <c r="D901" s="70" t="s">
        <v>2610</v>
      </c>
      <c r="E901" s="72">
        <v>2</v>
      </c>
      <c r="F901" s="70"/>
      <c r="G901" s="70" t="str">
        <f>IFERROR(VLOOKUP(A901,[1]wms_iv_f!$A$1:$E$136,4,FALSE),"")</f>
        <v/>
      </c>
      <c r="H901" s="95" t="str">
        <f>IFERROR(VLOOKUP(A901,[2]wms_lc_f!$A$1:$B$156,2,FALSE),"")</f>
        <v/>
      </c>
    </row>
    <row r="902" spans="1:8">
      <c r="A902" s="69">
        <v>82458</v>
      </c>
      <c r="B902" s="69" t="s">
        <v>2613</v>
      </c>
      <c r="C902" s="70" t="s">
        <v>2207</v>
      </c>
      <c r="D902" s="70" t="s">
        <v>2610</v>
      </c>
      <c r="E902" s="72">
        <v>2</v>
      </c>
      <c r="F902" s="70"/>
      <c r="G902" s="70" t="str">
        <f>IFERROR(VLOOKUP(A902,[1]wms_iv_f!$A$1:$E$136,4,FALSE),"")</f>
        <v/>
      </c>
      <c r="H902" s="95" t="str">
        <f>IFERROR(VLOOKUP(A902,[2]wms_lc_f!$A$1:$B$156,2,FALSE),"")</f>
        <v/>
      </c>
    </row>
    <row r="903" spans="1:8">
      <c r="A903" s="69">
        <v>133874</v>
      </c>
      <c r="B903" s="69" t="s">
        <v>2613</v>
      </c>
      <c r="C903" s="70" t="s">
        <v>2208</v>
      </c>
      <c r="D903" s="70" t="s">
        <v>2610</v>
      </c>
      <c r="E903" s="72">
        <v>2</v>
      </c>
      <c r="F903" s="70"/>
      <c r="G903" s="70" t="str">
        <f>IFERROR(VLOOKUP(A903,[1]wms_iv_f!$A$1:$E$136,4,FALSE),"")</f>
        <v/>
      </c>
      <c r="H903" s="95" t="str">
        <f>IFERROR(VLOOKUP(A903,[2]wms_lc_f!$A$1:$B$156,2,FALSE),"")</f>
        <v/>
      </c>
    </row>
    <row r="904" spans="1:8">
      <c r="A904" s="69">
        <v>7348</v>
      </c>
      <c r="B904" s="69" t="s">
        <v>2613</v>
      </c>
      <c r="C904" s="70" t="s">
        <v>2209</v>
      </c>
      <c r="D904" s="70" t="s">
        <v>2610</v>
      </c>
      <c r="E904" s="72">
        <v>2</v>
      </c>
      <c r="F904" s="70"/>
      <c r="G904" s="70" t="str">
        <f>IFERROR(VLOOKUP(A904,[1]wms_iv_f!$A$1:$E$136,4,FALSE),"")</f>
        <v/>
      </c>
      <c r="H904" s="95" t="str">
        <f>IFERROR(VLOOKUP(A904,[2]wms_lc_f!$A$1:$B$156,2,FALSE),"")</f>
        <v/>
      </c>
    </row>
    <row r="905" spans="1:8">
      <c r="A905" s="69">
        <v>101441</v>
      </c>
      <c r="B905" s="69" t="s">
        <v>2613</v>
      </c>
      <c r="C905" s="70" t="s">
        <v>2095</v>
      </c>
      <c r="D905" s="70" t="s">
        <v>2610</v>
      </c>
      <c r="E905" s="72">
        <v>2</v>
      </c>
      <c r="F905" s="70"/>
      <c r="G905" s="70" t="str">
        <f>IFERROR(VLOOKUP(A905,[1]wms_iv_f!$A$1:$E$136,4,FALSE),"")</f>
        <v/>
      </c>
      <c r="H905" s="95" t="str">
        <f>IFERROR(VLOOKUP(A905,[2]wms_lc_f!$A$1:$B$156,2,FALSE),"")</f>
        <v/>
      </c>
    </row>
    <row r="906" spans="1:8">
      <c r="A906" s="69">
        <v>7770</v>
      </c>
      <c r="B906" s="69" t="s">
        <v>2613</v>
      </c>
      <c r="C906" s="70" t="s">
        <v>2096</v>
      </c>
      <c r="D906" s="70" t="s">
        <v>2610</v>
      </c>
      <c r="E906" s="72">
        <v>2</v>
      </c>
      <c r="F906" s="70"/>
      <c r="G906" s="70" t="str">
        <f>IFERROR(VLOOKUP(A906,[1]wms_iv_f!$A$1:$E$136,4,FALSE),"")</f>
        <v/>
      </c>
      <c r="H906" s="95" t="str">
        <f>IFERROR(VLOOKUP(A906,[2]wms_lc_f!$A$1:$B$156,2,FALSE),"")</f>
        <v/>
      </c>
    </row>
    <row r="907" spans="1:8">
      <c r="A907" s="69">
        <v>35274</v>
      </c>
      <c r="B907" s="69" t="s">
        <v>2613</v>
      </c>
      <c r="C907" s="70" t="s">
        <v>2097</v>
      </c>
      <c r="D907" s="70" t="s">
        <v>2610</v>
      </c>
      <c r="E907" s="72">
        <v>2</v>
      </c>
      <c r="F907" s="70"/>
      <c r="G907" s="70" t="str">
        <f>IFERROR(VLOOKUP(A907,[1]wms_iv_f!$A$1:$E$136,4,FALSE),"")</f>
        <v/>
      </c>
      <c r="H907" s="95" t="str">
        <f>IFERROR(VLOOKUP(A907,[2]wms_lc_f!$A$1:$B$156,2,FALSE),"")</f>
        <v/>
      </c>
    </row>
    <row r="908" spans="1:8">
      <c r="A908" s="69">
        <v>117922</v>
      </c>
      <c r="B908" s="69" t="s">
        <v>2613</v>
      </c>
      <c r="C908" s="70" t="s">
        <v>2098</v>
      </c>
      <c r="D908" s="70" t="s">
        <v>2610</v>
      </c>
      <c r="E908" s="72">
        <v>2</v>
      </c>
      <c r="F908" s="70"/>
      <c r="G908" s="70" t="str">
        <f>IFERROR(VLOOKUP(A908,[1]wms_iv_f!$A$1:$E$136,4,FALSE),"")</f>
        <v/>
      </c>
      <c r="H908" s="95" t="str">
        <f>IFERROR(VLOOKUP(A908,[2]wms_lc_f!$A$1:$B$156,2,FALSE),"")</f>
        <v/>
      </c>
    </row>
    <row r="909" spans="1:8">
      <c r="A909" s="69">
        <v>138759</v>
      </c>
      <c r="B909" s="69" t="s">
        <v>2613</v>
      </c>
      <c r="C909" s="70" t="s">
        <v>2099</v>
      </c>
      <c r="D909" s="70" t="s">
        <v>2610</v>
      </c>
      <c r="E909" s="72">
        <v>2</v>
      </c>
      <c r="F909" s="70"/>
      <c r="G909" s="70" t="str">
        <f>IFERROR(VLOOKUP(A909,[1]wms_iv_f!$A$1:$E$136,4,FALSE),"")</f>
        <v/>
      </c>
      <c r="H909" s="95" t="str">
        <f>IFERROR(VLOOKUP(A909,[2]wms_lc_f!$A$1:$B$156,2,FALSE),"")</f>
        <v/>
      </c>
    </row>
    <row r="910" spans="1:8">
      <c r="A910" s="69">
        <v>35104</v>
      </c>
      <c r="B910" s="69" t="s">
        <v>2613</v>
      </c>
      <c r="C910" s="70" t="s">
        <v>2100</v>
      </c>
      <c r="D910" s="70" t="s">
        <v>2610</v>
      </c>
      <c r="E910" s="72">
        <v>2</v>
      </c>
      <c r="F910" s="70"/>
      <c r="G910" s="70" t="str">
        <f>IFERROR(VLOOKUP(A910,[1]wms_iv_f!$A$1:$E$136,4,FALSE),"")</f>
        <v/>
      </c>
      <c r="H910" s="95" t="str">
        <f>IFERROR(VLOOKUP(A910,[2]wms_lc_f!$A$1:$B$156,2,FALSE),"")</f>
        <v/>
      </c>
    </row>
    <row r="911" spans="1:8">
      <c r="A911" s="69">
        <v>2698</v>
      </c>
      <c r="B911" s="69" t="s">
        <v>2613</v>
      </c>
      <c r="C911" s="70" t="s">
        <v>1986</v>
      </c>
      <c r="D911" s="70" t="s">
        <v>2610</v>
      </c>
      <c r="E911" s="72">
        <v>2</v>
      </c>
      <c r="F911" s="70"/>
      <c r="G911" s="70" t="str">
        <f>IFERROR(VLOOKUP(A911,[1]wms_iv_f!$A$1:$E$136,4,FALSE),"")</f>
        <v/>
      </c>
      <c r="H911" s="95" t="str">
        <f>IFERROR(VLOOKUP(A911,[2]wms_lc_f!$A$1:$B$156,2,FALSE),"")</f>
        <v>12-118-C2</v>
      </c>
    </row>
    <row r="912" spans="1:8">
      <c r="A912" s="69">
        <v>138368</v>
      </c>
      <c r="B912" s="69" t="s">
        <v>2613</v>
      </c>
      <c r="C912" s="70" t="s">
        <v>1987</v>
      </c>
      <c r="D912" s="70" t="s">
        <v>2610</v>
      </c>
      <c r="E912" s="72">
        <v>2</v>
      </c>
      <c r="F912" s="70"/>
      <c r="G912" s="70" t="str">
        <f>IFERROR(VLOOKUP(A912,[1]wms_iv_f!$A$1:$E$136,4,FALSE),"")</f>
        <v/>
      </c>
      <c r="H912" s="95" t="str">
        <f>IFERROR(VLOOKUP(A912,[2]wms_lc_f!$A$1:$B$156,2,FALSE),"")</f>
        <v/>
      </c>
    </row>
    <row r="913" spans="1:8">
      <c r="A913" s="69">
        <v>107899</v>
      </c>
      <c r="B913" s="69" t="s">
        <v>2613</v>
      </c>
      <c r="C913" s="70" t="s">
        <v>1988</v>
      </c>
      <c r="D913" s="70" t="s">
        <v>2610</v>
      </c>
      <c r="E913" s="72">
        <v>2</v>
      </c>
      <c r="F913" s="70"/>
      <c r="G913" s="70" t="str">
        <f>IFERROR(VLOOKUP(A913,[1]wms_iv_f!$A$1:$E$136,4,FALSE),"")</f>
        <v/>
      </c>
      <c r="H913" s="95" t="str">
        <f>IFERROR(VLOOKUP(A913,[2]wms_lc_f!$A$1:$B$156,2,FALSE),"")</f>
        <v/>
      </c>
    </row>
    <row r="914" spans="1:8" ht="14.45" customHeight="1">
      <c r="A914" s="69">
        <v>472</v>
      </c>
      <c r="B914" s="69" t="s">
        <v>2613</v>
      </c>
      <c r="C914" s="70" t="s">
        <v>1989</v>
      </c>
      <c r="D914" s="70" t="s">
        <v>2610</v>
      </c>
      <c r="E914" s="72">
        <v>2</v>
      </c>
      <c r="F914" s="70"/>
      <c r="G914" s="70" t="str">
        <f>IFERROR(VLOOKUP(A914,[1]wms_iv_f!$A$1:$E$136,4,FALSE),"")</f>
        <v/>
      </c>
      <c r="H914" s="95" t="str">
        <f>IFERROR(VLOOKUP(A914,[2]wms_lc_f!$A$1:$B$156,2,FALSE),"")</f>
        <v/>
      </c>
    </row>
    <row r="915" spans="1:8">
      <c r="A915" s="69">
        <v>119970</v>
      </c>
      <c r="B915" s="69" t="s">
        <v>2609</v>
      </c>
      <c r="C915" s="70" t="s">
        <v>375</v>
      </c>
      <c r="D915" s="70" t="s">
        <v>2610</v>
      </c>
      <c r="E915" s="72">
        <v>1</v>
      </c>
      <c r="F915" s="70"/>
      <c r="G915" s="70" t="str">
        <f>IFERROR(VLOOKUP(A915,[1]wms_iv_f!$A$1:$E$136,4,FALSE),"")</f>
        <v/>
      </c>
      <c r="H915" s="95" t="str">
        <f>IFERROR(VLOOKUP(A915,[2]wms_lc_f!$A$1:$B$156,2,FALSE),"")</f>
        <v/>
      </c>
    </row>
    <row r="916" spans="1:8">
      <c r="A916" s="69">
        <v>132708</v>
      </c>
      <c r="B916" s="69" t="s">
        <v>2609</v>
      </c>
      <c r="C916" s="70" t="s">
        <v>374</v>
      </c>
      <c r="D916" s="70" t="s">
        <v>2610</v>
      </c>
      <c r="E916" s="72">
        <v>1</v>
      </c>
      <c r="F916" s="70"/>
      <c r="G916" s="70" t="str">
        <f>IFERROR(VLOOKUP(A916,[1]wms_iv_f!$A$1:$E$136,4,FALSE),"")</f>
        <v/>
      </c>
      <c r="H916" s="95" t="str">
        <f>IFERROR(VLOOKUP(A916,[2]wms_lc_f!$A$1:$B$156,2,FALSE),"")</f>
        <v/>
      </c>
    </row>
    <row r="917" spans="1:8">
      <c r="A917" s="69">
        <v>857</v>
      </c>
      <c r="B917" s="69" t="s">
        <v>2609</v>
      </c>
      <c r="C917" s="70" t="s">
        <v>373</v>
      </c>
      <c r="D917" s="70" t="s">
        <v>2610</v>
      </c>
      <c r="E917" s="72">
        <v>1</v>
      </c>
      <c r="F917" s="70"/>
      <c r="G917" s="70" t="str">
        <f>IFERROR(VLOOKUP(A917,[1]wms_iv_f!$A$1:$E$136,4,FALSE),"")</f>
        <v/>
      </c>
      <c r="H917" s="95" t="str">
        <f>IFERROR(VLOOKUP(A917,[2]wms_lc_f!$A$1:$B$156,2,FALSE),"")</f>
        <v/>
      </c>
    </row>
    <row r="918" spans="1:8">
      <c r="A918" s="69">
        <v>71984</v>
      </c>
      <c r="B918" s="69" t="s">
        <v>2609</v>
      </c>
      <c r="C918" s="70" t="s">
        <v>372</v>
      </c>
      <c r="D918" s="70" t="s">
        <v>2610</v>
      </c>
      <c r="E918" s="72">
        <v>1</v>
      </c>
      <c r="F918" s="70"/>
      <c r="G918" s="70" t="str">
        <f>IFERROR(VLOOKUP(A918,[1]wms_iv_f!$A$1:$E$136,4,FALSE),"")</f>
        <v/>
      </c>
      <c r="H918" s="95" t="str">
        <f>IFERROR(VLOOKUP(A918,[2]wms_lc_f!$A$1:$B$156,2,FALSE),"")</f>
        <v/>
      </c>
    </row>
    <row r="919" spans="1:8">
      <c r="A919" s="69">
        <v>113453</v>
      </c>
      <c r="B919" s="69" t="s">
        <v>2609</v>
      </c>
      <c r="C919" s="70" t="s">
        <v>371</v>
      </c>
      <c r="D919" s="70" t="s">
        <v>2610</v>
      </c>
      <c r="E919" s="72">
        <v>1</v>
      </c>
      <c r="F919" s="70"/>
      <c r="G919" s="70" t="str">
        <f>IFERROR(VLOOKUP(A919,[1]wms_iv_f!$A$1:$E$136,4,FALSE),"")</f>
        <v/>
      </c>
      <c r="H919" s="95" t="str">
        <f>IFERROR(VLOOKUP(A919,[2]wms_lc_f!$A$1:$B$156,2,FALSE),"")</f>
        <v/>
      </c>
    </row>
    <row r="920" spans="1:8">
      <c r="A920" s="69">
        <v>636</v>
      </c>
      <c r="B920" s="69" t="s">
        <v>2609</v>
      </c>
      <c r="C920" s="70" t="s">
        <v>370</v>
      </c>
      <c r="D920" s="70" t="s">
        <v>2610</v>
      </c>
      <c r="E920" s="72">
        <v>1</v>
      </c>
      <c r="F920" s="70"/>
      <c r="G920" s="70" t="str">
        <f>IFERROR(VLOOKUP(A920,[1]wms_iv_f!$A$1:$E$136,4,FALSE),"")</f>
        <v/>
      </c>
      <c r="H920" s="95" t="str">
        <f>IFERROR(VLOOKUP(A920,[2]wms_lc_f!$A$1:$B$156,2,FALSE),"")</f>
        <v/>
      </c>
    </row>
    <row r="921" spans="1:8">
      <c r="A921" s="69">
        <v>155997</v>
      </c>
      <c r="B921" s="69" t="s">
        <v>2609</v>
      </c>
      <c r="C921" s="70" t="s">
        <v>486</v>
      </c>
      <c r="D921" s="70" t="s">
        <v>2610</v>
      </c>
      <c r="E921" s="72">
        <v>1</v>
      </c>
      <c r="F921" s="70" t="s">
        <v>2612</v>
      </c>
      <c r="G921" s="70" t="str">
        <f>IFERROR(VLOOKUP(A921,[1]wms_iv_f!$A$1:$E$136,4,FALSE),"")</f>
        <v/>
      </c>
      <c r="H921" s="95" t="str">
        <f>IFERROR(VLOOKUP(A921,[2]wms_lc_f!$A$1:$B$156,2,FALSE),"")</f>
        <v/>
      </c>
    </row>
    <row r="922" spans="1:8">
      <c r="A922" s="69">
        <v>1822</v>
      </c>
      <c r="B922" s="69" t="s">
        <v>2609</v>
      </c>
      <c r="C922" s="70" t="s">
        <v>485</v>
      </c>
      <c r="D922" s="70" t="s">
        <v>2610</v>
      </c>
      <c r="E922" s="72">
        <v>1</v>
      </c>
      <c r="F922" s="70" t="s">
        <v>2612</v>
      </c>
      <c r="G922" s="70" t="str">
        <f>IFERROR(VLOOKUP(A922,[1]wms_iv_f!$A$1:$E$136,4,FALSE),"")</f>
        <v/>
      </c>
      <c r="H922" s="95" t="str">
        <f>IFERROR(VLOOKUP(A922,[2]wms_lc_f!$A$1:$B$156,2,FALSE),"")</f>
        <v/>
      </c>
    </row>
    <row r="923" spans="1:8">
      <c r="A923" s="69">
        <v>132706</v>
      </c>
      <c r="B923" s="69" t="s">
        <v>2609</v>
      </c>
      <c r="C923" s="70" t="s">
        <v>484</v>
      </c>
      <c r="D923" s="70" t="s">
        <v>2610</v>
      </c>
      <c r="E923" s="72">
        <v>1</v>
      </c>
      <c r="F923" s="70" t="s">
        <v>2612</v>
      </c>
      <c r="G923" s="70" t="str">
        <f>IFERROR(VLOOKUP(A923,[1]wms_iv_f!$A$1:$E$136,4,FALSE),"")</f>
        <v/>
      </c>
      <c r="H923" s="95" t="str">
        <f>IFERROR(VLOOKUP(A923,[2]wms_lc_f!$A$1:$B$156,2,FALSE),"")</f>
        <v/>
      </c>
    </row>
    <row r="924" spans="1:8">
      <c r="A924" s="69">
        <v>139411</v>
      </c>
      <c r="B924" s="69" t="s">
        <v>2609</v>
      </c>
      <c r="C924" s="70" t="s">
        <v>483</v>
      </c>
      <c r="D924" s="70" t="s">
        <v>2610</v>
      </c>
      <c r="E924" s="72">
        <v>1</v>
      </c>
      <c r="F924" s="70" t="s">
        <v>2612</v>
      </c>
      <c r="G924" s="70" t="str">
        <f>IFERROR(VLOOKUP(A924,[1]wms_iv_f!$A$1:$E$136,4,FALSE),"")</f>
        <v/>
      </c>
      <c r="H924" s="95" t="str">
        <f>IFERROR(VLOOKUP(A924,[2]wms_lc_f!$A$1:$B$156,2,FALSE),"")</f>
        <v/>
      </c>
    </row>
    <row r="925" spans="1:8">
      <c r="A925" s="69">
        <v>136330</v>
      </c>
      <c r="B925" s="69" t="s">
        <v>2609</v>
      </c>
      <c r="C925" s="70" t="s">
        <v>482</v>
      </c>
      <c r="D925" s="70" t="s">
        <v>2610</v>
      </c>
      <c r="E925" s="72">
        <v>1</v>
      </c>
      <c r="F925" s="70" t="s">
        <v>2612</v>
      </c>
      <c r="G925" s="70" t="str">
        <f>IFERROR(VLOOKUP(A925,[1]wms_iv_f!$A$1:$E$136,4,FALSE),"")</f>
        <v/>
      </c>
      <c r="H925" s="95" t="str">
        <f>IFERROR(VLOOKUP(A925,[2]wms_lc_f!$A$1:$B$156,2,FALSE),"")</f>
        <v/>
      </c>
    </row>
    <row r="926" spans="1:8">
      <c r="A926" s="69">
        <v>155999</v>
      </c>
      <c r="B926" s="69" t="s">
        <v>2609</v>
      </c>
      <c r="C926" s="70" t="s">
        <v>481</v>
      </c>
      <c r="D926" s="70" t="s">
        <v>2610</v>
      </c>
      <c r="E926" s="72">
        <v>1</v>
      </c>
      <c r="F926" s="70" t="s">
        <v>2612</v>
      </c>
      <c r="G926" s="70" t="str">
        <f>IFERROR(VLOOKUP(A926,[1]wms_iv_f!$A$1:$E$136,4,FALSE),"")</f>
        <v/>
      </c>
      <c r="H926" s="95" t="str">
        <f>IFERROR(VLOOKUP(A926,[2]wms_lc_f!$A$1:$B$156,2,FALSE),"")</f>
        <v/>
      </c>
    </row>
    <row r="927" spans="1:8">
      <c r="A927" s="69">
        <v>142566</v>
      </c>
      <c r="B927" s="69" t="s">
        <v>2609</v>
      </c>
      <c r="C927" s="70" t="s">
        <v>597</v>
      </c>
      <c r="D927" s="70" t="s">
        <v>2610</v>
      </c>
      <c r="E927" s="72">
        <v>1</v>
      </c>
      <c r="F927" s="70"/>
      <c r="G927" s="70" t="str">
        <f>IFERROR(VLOOKUP(A927,[1]wms_iv_f!$A$1:$E$136,4,FALSE),"")</f>
        <v/>
      </c>
      <c r="H927" s="95" t="str">
        <f>IFERROR(VLOOKUP(A927,[2]wms_lc_f!$A$1:$B$156,2,FALSE),"")</f>
        <v/>
      </c>
    </row>
    <row r="928" spans="1:8">
      <c r="A928" s="69">
        <v>1498</v>
      </c>
      <c r="B928" s="69" t="s">
        <v>2609</v>
      </c>
      <c r="C928" s="70" t="s">
        <v>596</v>
      </c>
      <c r="D928" s="70" t="s">
        <v>2610</v>
      </c>
      <c r="E928" s="72">
        <v>1</v>
      </c>
      <c r="F928" s="70"/>
      <c r="G928" s="70" t="str">
        <f>IFERROR(VLOOKUP(A928,[1]wms_iv_f!$A$1:$E$136,4,FALSE),"")</f>
        <v/>
      </c>
      <c r="H928" s="95" t="str">
        <f>IFERROR(VLOOKUP(A928,[2]wms_lc_f!$A$1:$B$156,2,FALSE),"")</f>
        <v/>
      </c>
    </row>
    <row r="929" spans="1:8">
      <c r="A929" s="69">
        <v>113448</v>
      </c>
      <c r="B929" s="69" t="s">
        <v>2609</v>
      </c>
      <c r="C929" s="70" t="s">
        <v>595</v>
      </c>
      <c r="D929" s="70" t="s">
        <v>2610</v>
      </c>
      <c r="E929" s="72">
        <v>1</v>
      </c>
      <c r="F929" s="70"/>
      <c r="G929" s="70" t="str">
        <f>IFERROR(VLOOKUP(A929,[1]wms_iv_f!$A$1:$E$136,4,FALSE),"")</f>
        <v/>
      </c>
      <c r="H929" s="95" t="str">
        <f>IFERROR(VLOOKUP(A929,[2]wms_lc_f!$A$1:$B$156,2,FALSE),"")</f>
        <v/>
      </c>
    </row>
    <row r="930" spans="1:8">
      <c r="A930" s="69">
        <v>96955</v>
      </c>
      <c r="B930" s="69" t="s">
        <v>2609</v>
      </c>
      <c r="C930" s="70" t="s">
        <v>594</v>
      </c>
      <c r="D930" s="70" t="s">
        <v>2610</v>
      </c>
      <c r="E930" s="72">
        <v>1</v>
      </c>
      <c r="F930" s="70"/>
      <c r="G930" s="70" t="str">
        <f>IFERROR(VLOOKUP(A930,[1]wms_iv_f!$A$1:$E$136,4,FALSE),"")</f>
        <v/>
      </c>
      <c r="H930" s="95" t="str">
        <f>IFERROR(VLOOKUP(A930,[2]wms_lc_f!$A$1:$B$156,2,FALSE),"")</f>
        <v/>
      </c>
    </row>
    <row r="931" spans="1:8">
      <c r="A931" s="69">
        <v>134597</v>
      </c>
      <c r="B931" s="69" t="s">
        <v>2609</v>
      </c>
      <c r="C931" s="70" t="s">
        <v>593</v>
      </c>
      <c r="D931" s="70" t="s">
        <v>2610</v>
      </c>
      <c r="E931" s="72">
        <v>1</v>
      </c>
      <c r="F931" s="70"/>
      <c r="G931" s="70" t="str">
        <f>IFERROR(VLOOKUP(A931,[1]wms_iv_f!$A$1:$E$136,4,FALSE),"")</f>
        <v/>
      </c>
      <c r="H931" s="95" t="str">
        <f>IFERROR(VLOOKUP(A931,[2]wms_lc_f!$A$1:$B$156,2,FALSE),"")</f>
        <v/>
      </c>
    </row>
    <row r="932" spans="1:8">
      <c r="A932" s="69">
        <v>443</v>
      </c>
      <c r="B932" s="69" t="s">
        <v>2609</v>
      </c>
      <c r="C932" s="70" t="s">
        <v>592</v>
      </c>
      <c r="D932" s="70" t="s">
        <v>2610</v>
      </c>
      <c r="E932" s="72">
        <v>1</v>
      </c>
      <c r="F932" s="70"/>
      <c r="G932" s="70" t="str">
        <f>IFERROR(VLOOKUP(A932,[1]wms_iv_f!$A$1:$E$136,4,FALSE),"")</f>
        <v/>
      </c>
      <c r="H932" s="95" t="str">
        <f>IFERROR(VLOOKUP(A932,[2]wms_lc_f!$A$1:$B$156,2,FALSE),"")</f>
        <v/>
      </c>
    </row>
    <row r="933" spans="1:8">
      <c r="A933" s="69">
        <v>131705</v>
      </c>
      <c r="B933" s="69" t="s">
        <v>2609</v>
      </c>
      <c r="C933" s="70" t="s">
        <v>369</v>
      </c>
      <c r="D933" s="70" t="s">
        <v>2610</v>
      </c>
      <c r="E933" s="72">
        <v>1</v>
      </c>
      <c r="F933" s="70"/>
      <c r="G933" s="70" t="str">
        <f>IFERROR(VLOOKUP(A933,[1]wms_iv_f!$A$1:$E$136,4,FALSE),"")</f>
        <v/>
      </c>
      <c r="H933" s="95" t="str">
        <f>IFERROR(VLOOKUP(A933,[2]wms_lc_f!$A$1:$B$156,2,FALSE),"")</f>
        <v/>
      </c>
    </row>
    <row r="934" spans="1:8">
      <c r="A934" s="69">
        <v>87481</v>
      </c>
      <c r="B934" s="69" t="s">
        <v>2609</v>
      </c>
      <c r="C934" s="70" t="s">
        <v>368</v>
      </c>
      <c r="D934" s="70" t="s">
        <v>2610</v>
      </c>
      <c r="E934" s="72">
        <v>1</v>
      </c>
      <c r="F934" s="70"/>
      <c r="G934" s="70" t="str">
        <f>IFERROR(VLOOKUP(A934,[1]wms_iv_f!$A$1:$E$136,4,FALSE),"")</f>
        <v/>
      </c>
      <c r="H934" s="95" t="str">
        <f>IFERROR(VLOOKUP(A934,[2]wms_lc_f!$A$1:$B$156,2,FALSE),"")</f>
        <v/>
      </c>
    </row>
    <row r="935" spans="1:8">
      <c r="A935" s="69">
        <v>125733</v>
      </c>
      <c r="B935" s="69" t="s">
        <v>2609</v>
      </c>
      <c r="C935" s="70" t="s">
        <v>367</v>
      </c>
      <c r="D935" s="70" t="s">
        <v>2610</v>
      </c>
      <c r="E935" s="72">
        <v>1</v>
      </c>
      <c r="F935" s="70"/>
      <c r="G935" s="70" t="str">
        <f>IFERROR(VLOOKUP(A935,[1]wms_iv_f!$A$1:$E$136,4,FALSE),"")</f>
        <v/>
      </c>
      <c r="H935" s="95" t="str">
        <f>IFERROR(VLOOKUP(A935,[2]wms_lc_f!$A$1:$B$156,2,FALSE),"")</f>
        <v/>
      </c>
    </row>
    <row r="936" spans="1:8">
      <c r="A936" s="69">
        <v>127828</v>
      </c>
      <c r="B936" s="69" t="s">
        <v>2609</v>
      </c>
      <c r="C936" s="70" t="s">
        <v>366</v>
      </c>
      <c r="D936" s="70" t="s">
        <v>2610</v>
      </c>
      <c r="E936" s="72">
        <v>1</v>
      </c>
      <c r="F936" s="70"/>
      <c r="G936" s="70" t="str">
        <f>IFERROR(VLOOKUP(A936,[1]wms_iv_f!$A$1:$E$136,4,FALSE),"")</f>
        <v/>
      </c>
      <c r="H936" s="95" t="str">
        <f>IFERROR(VLOOKUP(A936,[2]wms_lc_f!$A$1:$B$156,2,FALSE),"")</f>
        <v/>
      </c>
    </row>
    <row r="937" spans="1:8">
      <c r="A937" s="69">
        <v>76795</v>
      </c>
      <c r="B937" s="69" t="s">
        <v>2609</v>
      </c>
      <c r="C937" s="70" t="s">
        <v>365</v>
      </c>
      <c r="D937" s="70" t="s">
        <v>2610</v>
      </c>
      <c r="E937" s="72">
        <v>1</v>
      </c>
      <c r="F937" s="70"/>
      <c r="G937" s="70" t="str">
        <f>IFERROR(VLOOKUP(A937,[1]wms_iv_f!$A$1:$E$136,4,FALSE),"")</f>
        <v/>
      </c>
      <c r="H937" s="95" t="str">
        <f>IFERROR(VLOOKUP(A937,[2]wms_lc_f!$A$1:$B$156,2,FALSE),"")</f>
        <v/>
      </c>
    </row>
    <row r="938" spans="1:8">
      <c r="A938" s="69">
        <v>64491</v>
      </c>
      <c r="B938" s="69" t="s">
        <v>2609</v>
      </c>
      <c r="C938" s="70" t="s">
        <v>364</v>
      </c>
      <c r="D938" s="70" t="s">
        <v>2610</v>
      </c>
      <c r="E938" s="72">
        <v>1</v>
      </c>
      <c r="F938" s="70"/>
      <c r="G938" s="70" t="str">
        <f>IFERROR(VLOOKUP(A938,[1]wms_iv_f!$A$1:$E$136,4,FALSE),"")</f>
        <v/>
      </c>
      <c r="H938" s="95" t="str">
        <f>IFERROR(VLOOKUP(A938,[2]wms_lc_f!$A$1:$B$156,2,FALSE),"")</f>
        <v/>
      </c>
    </row>
    <row r="939" spans="1:8">
      <c r="A939" s="69">
        <v>35193</v>
      </c>
      <c r="B939" s="69" t="s">
        <v>2609</v>
      </c>
      <c r="C939" s="70" t="s">
        <v>480</v>
      </c>
      <c r="D939" s="70" t="s">
        <v>2610</v>
      </c>
      <c r="E939" s="72">
        <v>1</v>
      </c>
      <c r="F939" s="70" t="s">
        <v>2612</v>
      </c>
      <c r="G939" s="70" t="str">
        <f>IFERROR(VLOOKUP(A939,[1]wms_iv_f!$A$1:$E$136,4,FALSE),"")</f>
        <v/>
      </c>
      <c r="H939" s="95" t="str">
        <f>IFERROR(VLOOKUP(A939,[2]wms_lc_f!$A$1:$B$156,2,FALSE),"")</f>
        <v/>
      </c>
    </row>
    <row r="940" spans="1:8">
      <c r="A940" s="69">
        <v>96960</v>
      </c>
      <c r="B940" s="69" t="s">
        <v>2609</v>
      </c>
      <c r="C940" s="76" t="s">
        <v>479</v>
      </c>
      <c r="D940" s="76" t="s">
        <v>2610</v>
      </c>
      <c r="E940" s="72">
        <v>1</v>
      </c>
      <c r="F940" s="70" t="s">
        <v>2612</v>
      </c>
      <c r="G940" s="70" t="str">
        <f>IFERROR(VLOOKUP(A940,[1]wms_iv_f!$A$1:$E$136,4,FALSE),"")</f>
        <v/>
      </c>
      <c r="H940" s="95" t="str">
        <f>IFERROR(VLOOKUP(A940,[2]wms_lc_f!$A$1:$B$156,2,FALSE),"")</f>
        <v/>
      </c>
    </row>
    <row r="941" spans="1:8">
      <c r="A941" s="69">
        <v>110159</v>
      </c>
      <c r="B941" s="69" t="s">
        <v>2609</v>
      </c>
      <c r="C941" s="70" t="s">
        <v>478</v>
      </c>
      <c r="D941" s="70" t="s">
        <v>2610</v>
      </c>
      <c r="E941" s="72">
        <v>1</v>
      </c>
      <c r="F941" s="70" t="s">
        <v>2612</v>
      </c>
      <c r="G941" s="70" t="str">
        <f>IFERROR(VLOOKUP(A941,[1]wms_iv_f!$A$1:$E$136,4,FALSE),"")</f>
        <v/>
      </c>
      <c r="H941" s="95" t="str">
        <f>IFERROR(VLOOKUP(A941,[2]wms_lc_f!$A$1:$B$156,2,FALSE),"")</f>
        <v/>
      </c>
    </row>
    <row r="942" spans="1:8">
      <c r="A942" s="69">
        <v>157073</v>
      </c>
      <c r="B942" s="69" t="s">
        <v>2609</v>
      </c>
      <c r="C942" s="70" t="s">
        <v>477</v>
      </c>
      <c r="D942" s="70" t="s">
        <v>2610</v>
      </c>
      <c r="E942" s="72">
        <v>1</v>
      </c>
      <c r="F942" s="70" t="s">
        <v>2612</v>
      </c>
      <c r="G942" s="70" t="str">
        <f>IFERROR(VLOOKUP(A942,[1]wms_iv_f!$A$1:$E$136,4,FALSE),"")</f>
        <v/>
      </c>
      <c r="H942" s="95" t="str">
        <f>IFERROR(VLOOKUP(A942,[2]wms_lc_f!$A$1:$B$156,2,FALSE),"")</f>
        <v/>
      </c>
    </row>
    <row r="943" spans="1:8">
      <c r="A943" s="69">
        <v>135748</v>
      </c>
      <c r="B943" s="69" t="s">
        <v>2609</v>
      </c>
      <c r="C943" s="70" t="s">
        <v>476</v>
      </c>
      <c r="D943" s="70" t="s">
        <v>2610</v>
      </c>
      <c r="E943" s="72">
        <v>1</v>
      </c>
      <c r="F943" s="70" t="s">
        <v>2612</v>
      </c>
      <c r="G943" s="70" t="str">
        <f>IFERROR(VLOOKUP(A943,[1]wms_iv_f!$A$1:$E$136,4,FALSE),"")</f>
        <v/>
      </c>
      <c r="H943" s="95" t="str">
        <f>IFERROR(VLOOKUP(A943,[2]wms_lc_f!$A$1:$B$156,2,FALSE),"")</f>
        <v/>
      </c>
    </row>
    <row r="944" spans="1:8">
      <c r="A944" s="69">
        <v>132598</v>
      </c>
      <c r="B944" s="69" t="s">
        <v>2609</v>
      </c>
      <c r="C944" s="70" t="s">
        <v>475</v>
      </c>
      <c r="D944" s="70" t="s">
        <v>2610</v>
      </c>
      <c r="E944" s="72">
        <v>1</v>
      </c>
      <c r="F944" s="70" t="s">
        <v>2612</v>
      </c>
      <c r="G944" s="70" t="str">
        <f>IFERROR(VLOOKUP(A944,[1]wms_iv_f!$A$1:$E$136,4,FALSE),"")</f>
        <v/>
      </c>
      <c r="H944" s="95" t="str">
        <f>IFERROR(VLOOKUP(A944,[2]wms_lc_f!$A$1:$B$156,2,FALSE),"")</f>
        <v/>
      </c>
    </row>
    <row r="945" spans="1:8">
      <c r="A945" s="69">
        <v>35098</v>
      </c>
      <c r="B945" s="69" t="s">
        <v>2609</v>
      </c>
      <c r="C945" s="70" t="s">
        <v>591</v>
      </c>
      <c r="D945" s="70" t="s">
        <v>2610</v>
      </c>
      <c r="E945" s="72">
        <v>1</v>
      </c>
      <c r="F945" s="70"/>
      <c r="G945" s="70" t="str">
        <f>IFERROR(VLOOKUP(A945,[1]wms_iv_f!$A$1:$E$136,4,FALSE),"")</f>
        <v/>
      </c>
      <c r="H945" s="95" t="str">
        <f>IFERROR(VLOOKUP(A945,[2]wms_lc_f!$A$1:$B$156,2,FALSE),"")</f>
        <v/>
      </c>
    </row>
    <row r="946" spans="1:8">
      <c r="A946" s="69">
        <v>112834</v>
      </c>
      <c r="B946" s="69" t="s">
        <v>2609</v>
      </c>
      <c r="C946" s="70" t="s">
        <v>590</v>
      </c>
      <c r="D946" s="70" t="s">
        <v>2610</v>
      </c>
      <c r="E946" s="72">
        <v>1</v>
      </c>
      <c r="F946" s="70"/>
      <c r="G946" s="70" t="str">
        <f>IFERROR(VLOOKUP(A946,[1]wms_iv_f!$A$1:$E$136,4,FALSE),"")</f>
        <v/>
      </c>
      <c r="H946" s="95" t="str">
        <f>IFERROR(VLOOKUP(A946,[2]wms_lc_f!$A$1:$B$156,2,FALSE),"")</f>
        <v/>
      </c>
    </row>
    <row r="947" spans="1:8">
      <c r="A947" s="69">
        <v>111259</v>
      </c>
      <c r="B947" s="69" t="s">
        <v>2609</v>
      </c>
      <c r="C947" s="70" t="s">
        <v>589</v>
      </c>
      <c r="D947" s="70" t="s">
        <v>2610</v>
      </c>
      <c r="E947" s="72">
        <v>1</v>
      </c>
      <c r="F947" s="70"/>
      <c r="G947" s="70" t="str">
        <f>IFERROR(VLOOKUP(A947,[1]wms_iv_f!$A$1:$E$136,4,FALSE),"")</f>
        <v/>
      </c>
      <c r="H947" s="95" t="str">
        <f>IFERROR(VLOOKUP(A947,[2]wms_lc_f!$A$1:$B$156,2,FALSE),"")</f>
        <v/>
      </c>
    </row>
    <row r="948" spans="1:8">
      <c r="A948" s="69">
        <v>26168</v>
      </c>
      <c r="B948" s="69" t="s">
        <v>2609</v>
      </c>
      <c r="C948" s="70" t="s">
        <v>588</v>
      </c>
      <c r="D948" s="70" t="s">
        <v>2610</v>
      </c>
      <c r="E948" s="72">
        <v>1</v>
      </c>
      <c r="F948" s="70"/>
      <c r="G948" s="70" t="str">
        <f>IFERROR(VLOOKUP(A948,[1]wms_iv_f!$A$1:$E$136,4,FALSE),"")</f>
        <v/>
      </c>
      <c r="H948" s="95" t="str">
        <f>IFERROR(VLOOKUP(A948,[2]wms_lc_f!$A$1:$B$156,2,FALSE),"")</f>
        <v/>
      </c>
    </row>
    <row r="949" spans="1:8">
      <c r="A949" s="69">
        <v>4724</v>
      </c>
      <c r="B949" s="69" t="s">
        <v>2609</v>
      </c>
      <c r="C949" s="70" t="s">
        <v>587</v>
      </c>
      <c r="D949" s="70" t="s">
        <v>2610</v>
      </c>
      <c r="E949" s="72">
        <v>1</v>
      </c>
      <c r="F949" s="70"/>
      <c r="G949" s="70" t="str">
        <f>IFERROR(VLOOKUP(A949,[1]wms_iv_f!$A$1:$E$136,4,FALSE),"")</f>
        <v/>
      </c>
      <c r="H949" s="95" t="str">
        <f>IFERROR(VLOOKUP(A949,[2]wms_lc_f!$A$1:$B$156,2,FALSE),"")</f>
        <v/>
      </c>
    </row>
    <row r="950" spans="1:8">
      <c r="A950" s="69">
        <v>131954</v>
      </c>
      <c r="B950" s="69" t="s">
        <v>2609</v>
      </c>
      <c r="C950" s="70" t="s">
        <v>586</v>
      </c>
      <c r="D950" s="70" t="s">
        <v>2610</v>
      </c>
      <c r="E950" s="72">
        <v>1</v>
      </c>
      <c r="F950" s="70"/>
      <c r="G950" s="70" t="str">
        <f>IFERROR(VLOOKUP(A950,[1]wms_iv_f!$A$1:$E$136,4,FALSE),"")</f>
        <v/>
      </c>
      <c r="H950" s="95" t="str">
        <f>IFERROR(VLOOKUP(A950,[2]wms_lc_f!$A$1:$B$156,2,FALSE),"")</f>
        <v/>
      </c>
    </row>
    <row r="951" spans="1:8">
      <c r="A951" s="69">
        <v>113442</v>
      </c>
      <c r="B951" s="69" t="s">
        <v>2609</v>
      </c>
      <c r="C951" s="70" t="s">
        <v>363</v>
      </c>
      <c r="D951" s="70" t="s">
        <v>2610</v>
      </c>
      <c r="E951" s="72">
        <v>1</v>
      </c>
      <c r="F951" s="70"/>
      <c r="G951" s="70" t="str">
        <f>IFERROR(VLOOKUP(A951,[1]wms_iv_f!$A$1:$E$136,4,FALSE),"")</f>
        <v/>
      </c>
      <c r="H951" s="95" t="str">
        <f>IFERROR(VLOOKUP(A951,[2]wms_lc_f!$A$1:$B$156,2,FALSE),"")</f>
        <v/>
      </c>
    </row>
    <row r="952" spans="1:8">
      <c r="A952" s="69">
        <v>113462</v>
      </c>
      <c r="B952" s="69" t="s">
        <v>2609</v>
      </c>
      <c r="C952" s="70" t="s">
        <v>362</v>
      </c>
      <c r="D952" s="70" t="s">
        <v>2610</v>
      </c>
      <c r="E952" s="85">
        <v>1</v>
      </c>
      <c r="F952" s="70"/>
      <c r="G952" s="70" t="str">
        <f>IFERROR(VLOOKUP(A952,[1]wms_iv_f!$A$1:$E$136,4,FALSE),"")</f>
        <v/>
      </c>
      <c r="H952" s="95" t="str">
        <f>IFERROR(VLOOKUP(A952,[2]wms_lc_f!$A$1:$B$156,2,FALSE),"")</f>
        <v/>
      </c>
    </row>
    <row r="953" spans="1:8">
      <c r="A953" s="69">
        <v>115672</v>
      </c>
      <c r="B953" s="69" t="s">
        <v>2609</v>
      </c>
      <c r="C953" s="70" t="s">
        <v>361</v>
      </c>
      <c r="D953" s="70" t="s">
        <v>2610</v>
      </c>
      <c r="E953" s="85">
        <v>1</v>
      </c>
      <c r="F953" s="70"/>
      <c r="G953" s="70" t="str">
        <f>IFERROR(VLOOKUP(A953,[1]wms_iv_f!$A$1:$E$136,4,FALSE),"")</f>
        <v/>
      </c>
      <c r="H953" s="95" t="str">
        <f>IFERROR(VLOOKUP(A953,[2]wms_lc_f!$A$1:$B$156,2,FALSE),"")</f>
        <v/>
      </c>
    </row>
    <row r="954" spans="1:8">
      <c r="A954" s="69">
        <v>113439</v>
      </c>
      <c r="B954" s="69" t="s">
        <v>2609</v>
      </c>
      <c r="C954" s="70" t="s">
        <v>360</v>
      </c>
      <c r="D954" s="70" t="s">
        <v>2610</v>
      </c>
      <c r="E954" s="85">
        <v>1</v>
      </c>
      <c r="F954" s="70"/>
      <c r="G954" s="70" t="str">
        <f>IFERROR(VLOOKUP(A954,[1]wms_iv_f!$A$1:$E$136,4,FALSE),"")</f>
        <v/>
      </c>
      <c r="H954" s="95" t="str">
        <f>IFERROR(VLOOKUP(A954,[2]wms_lc_f!$A$1:$B$156,2,FALSE),"")</f>
        <v/>
      </c>
    </row>
    <row r="955" spans="1:8">
      <c r="A955" s="69">
        <v>91603</v>
      </c>
      <c r="B955" s="69" t="s">
        <v>2609</v>
      </c>
      <c r="C955" s="70" t="s">
        <v>359</v>
      </c>
      <c r="D955" s="70" t="s">
        <v>2610</v>
      </c>
      <c r="E955" s="85">
        <v>1</v>
      </c>
      <c r="F955" s="70"/>
      <c r="G955" s="70" t="str">
        <f>IFERROR(VLOOKUP(A955,[1]wms_iv_f!$A$1:$E$136,4,FALSE),"")</f>
        <v/>
      </c>
      <c r="H955" s="95" t="str">
        <f>IFERROR(VLOOKUP(A955,[2]wms_lc_f!$A$1:$B$156,2,FALSE),"")</f>
        <v/>
      </c>
    </row>
    <row r="956" spans="1:8">
      <c r="A956" s="69">
        <v>113450</v>
      </c>
      <c r="B956" s="69" t="s">
        <v>2609</v>
      </c>
      <c r="C956" s="70" t="s">
        <v>358</v>
      </c>
      <c r="D956" s="70" t="s">
        <v>2610</v>
      </c>
      <c r="E956" s="85">
        <v>1</v>
      </c>
      <c r="F956" s="70"/>
      <c r="G956" s="70" t="str">
        <f>IFERROR(VLOOKUP(A956,[1]wms_iv_f!$A$1:$E$136,4,FALSE),"")</f>
        <v/>
      </c>
      <c r="H956" s="95" t="str">
        <f>IFERROR(VLOOKUP(A956,[2]wms_lc_f!$A$1:$B$156,2,FALSE),"")</f>
        <v/>
      </c>
    </row>
    <row r="957" spans="1:8">
      <c r="A957" s="69">
        <v>132705</v>
      </c>
      <c r="B957" s="69" t="s">
        <v>2609</v>
      </c>
      <c r="C957" s="70" t="s">
        <v>474</v>
      </c>
      <c r="D957" s="70" t="s">
        <v>2610</v>
      </c>
      <c r="E957" s="85">
        <v>1</v>
      </c>
      <c r="F957" s="70" t="s">
        <v>2612</v>
      </c>
      <c r="G957" s="70" t="str">
        <f>IFERROR(VLOOKUP(A957,[1]wms_iv_f!$A$1:$E$136,4,FALSE),"")</f>
        <v/>
      </c>
      <c r="H957" s="95" t="str">
        <f>IFERROR(VLOOKUP(A957,[2]wms_lc_f!$A$1:$B$156,2,FALSE),"")</f>
        <v/>
      </c>
    </row>
    <row r="958" spans="1:8">
      <c r="A958" s="69">
        <v>132698</v>
      </c>
      <c r="B958" s="69" t="s">
        <v>2609</v>
      </c>
      <c r="C958" s="70" t="s">
        <v>473</v>
      </c>
      <c r="D958" s="70" t="s">
        <v>2610</v>
      </c>
      <c r="E958" s="85">
        <v>1</v>
      </c>
      <c r="F958" s="70" t="s">
        <v>2612</v>
      </c>
      <c r="G958" s="70" t="str">
        <f>IFERROR(VLOOKUP(A958,[1]wms_iv_f!$A$1:$E$136,4,FALSE),"")</f>
        <v/>
      </c>
      <c r="H958" s="95" t="str">
        <f>IFERROR(VLOOKUP(A958,[2]wms_lc_f!$A$1:$B$156,2,FALSE),"")</f>
        <v/>
      </c>
    </row>
    <row r="959" spans="1:8">
      <c r="A959" s="69">
        <v>72923</v>
      </c>
      <c r="B959" s="69" t="s">
        <v>2609</v>
      </c>
      <c r="C959" s="70" t="s">
        <v>472</v>
      </c>
      <c r="D959" s="70" t="s">
        <v>2610</v>
      </c>
      <c r="E959" s="85">
        <v>1</v>
      </c>
      <c r="F959" s="70" t="s">
        <v>2612</v>
      </c>
      <c r="G959" s="70" t="str">
        <f>IFERROR(VLOOKUP(A959,[1]wms_iv_f!$A$1:$E$136,4,FALSE),"")</f>
        <v/>
      </c>
      <c r="H959" s="95" t="str">
        <f>IFERROR(VLOOKUP(A959,[2]wms_lc_f!$A$1:$B$156,2,FALSE),"")</f>
        <v/>
      </c>
    </row>
    <row r="960" spans="1:8">
      <c r="A960" s="69">
        <v>159279</v>
      </c>
      <c r="B960" s="69" t="s">
        <v>2609</v>
      </c>
      <c r="C960" s="70" t="s">
        <v>471</v>
      </c>
      <c r="D960" s="70" t="s">
        <v>2610</v>
      </c>
      <c r="E960" s="85">
        <v>1</v>
      </c>
      <c r="F960" s="70" t="s">
        <v>2612</v>
      </c>
      <c r="G960" s="70"/>
      <c r="H960" s="95" t="str">
        <f>IFERROR(VLOOKUP(A960,[2]wms_lc_f!$A$1:$B$156,2,FALSE),"")</f>
        <v/>
      </c>
    </row>
    <row r="961" spans="1:8">
      <c r="A961" s="69">
        <v>135983</v>
      </c>
      <c r="B961" s="69" t="s">
        <v>2609</v>
      </c>
      <c r="C961" s="70" t="s">
        <v>470</v>
      </c>
      <c r="D961" s="70" t="s">
        <v>2610</v>
      </c>
      <c r="E961" s="85">
        <v>1</v>
      </c>
      <c r="F961" s="70" t="s">
        <v>2612</v>
      </c>
      <c r="G961" s="70" t="str">
        <f>IFERROR(VLOOKUP(A961,[1]wms_iv_f!$A$1:$E$136,4,FALSE),"")</f>
        <v/>
      </c>
      <c r="H961" s="95" t="str">
        <f>IFERROR(VLOOKUP(A961,[2]wms_lc_f!$A$1:$B$156,2,FALSE),"")</f>
        <v/>
      </c>
    </row>
    <row r="962" spans="1:8">
      <c r="A962" s="69">
        <v>97123</v>
      </c>
      <c r="B962" s="69" t="s">
        <v>2609</v>
      </c>
      <c r="C962" s="70" t="s">
        <v>469</v>
      </c>
      <c r="D962" s="70" t="s">
        <v>2610</v>
      </c>
      <c r="E962" s="85">
        <v>1</v>
      </c>
      <c r="F962" s="70" t="s">
        <v>2612</v>
      </c>
      <c r="G962" s="70" t="str">
        <f>IFERROR(VLOOKUP(A962,[1]wms_iv_f!$A$1:$E$136,4,FALSE),"")</f>
        <v/>
      </c>
      <c r="H962" s="95" t="str">
        <f>IFERROR(VLOOKUP(A962,[2]wms_lc_f!$A$1:$B$156,2,FALSE),"")</f>
        <v>12-114-E3</v>
      </c>
    </row>
    <row r="963" spans="1:8">
      <c r="A963" s="69">
        <v>126007</v>
      </c>
      <c r="B963" s="69" t="s">
        <v>2609</v>
      </c>
      <c r="C963" s="70" t="s">
        <v>585</v>
      </c>
      <c r="D963" s="70" t="s">
        <v>2610</v>
      </c>
      <c r="E963" s="85">
        <v>1</v>
      </c>
      <c r="F963" s="70"/>
      <c r="G963" s="70" t="str">
        <f>IFERROR(VLOOKUP(A963,[1]wms_iv_f!$A$1:$E$136,4,FALSE),"")</f>
        <v/>
      </c>
      <c r="H963" s="95" t="str">
        <f>IFERROR(VLOOKUP(A963,[2]wms_lc_f!$A$1:$B$156,2,FALSE),"")</f>
        <v/>
      </c>
    </row>
    <row r="964" spans="1:8">
      <c r="A964" s="69">
        <v>1022</v>
      </c>
      <c r="B964" s="69" t="s">
        <v>2609</v>
      </c>
      <c r="C964" s="70" t="s">
        <v>584</v>
      </c>
      <c r="D964" s="70" t="s">
        <v>2610</v>
      </c>
      <c r="E964" s="72">
        <v>1</v>
      </c>
      <c r="F964" s="70"/>
      <c r="G964" s="70" t="str">
        <f>IFERROR(VLOOKUP(A964,[1]wms_iv_f!$A$1:$E$136,4,FALSE),"")</f>
        <v/>
      </c>
      <c r="H964" s="95" t="str">
        <f>IFERROR(VLOOKUP(A964,[2]wms_lc_f!$A$1:$B$156,2,FALSE),"")</f>
        <v/>
      </c>
    </row>
    <row r="965" spans="1:8">
      <c r="A965" s="69">
        <v>143150</v>
      </c>
      <c r="B965" s="69" t="s">
        <v>2609</v>
      </c>
      <c r="C965" s="70" t="s">
        <v>583</v>
      </c>
      <c r="D965" s="70" t="s">
        <v>2610</v>
      </c>
      <c r="E965" s="72">
        <v>1</v>
      </c>
      <c r="F965" s="70"/>
      <c r="G965" s="70" t="str">
        <f>IFERROR(VLOOKUP(A965,[1]wms_iv_f!$A$1:$E$136,4,FALSE),"")</f>
        <v/>
      </c>
      <c r="H965" s="95" t="str">
        <f>IFERROR(VLOOKUP(A965,[2]wms_lc_f!$A$1:$B$156,2,FALSE),"")</f>
        <v/>
      </c>
    </row>
    <row r="966" spans="1:8">
      <c r="A966" s="69">
        <v>128158</v>
      </c>
      <c r="B966" s="69" t="s">
        <v>2609</v>
      </c>
      <c r="C966" s="70" t="s">
        <v>582</v>
      </c>
      <c r="D966" s="70" t="s">
        <v>2610</v>
      </c>
      <c r="E966" s="85">
        <v>1</v>
      </c>
      <c r="F966" s="70"/>
      <c r="G966" s="70" t="str">
        <f>IFERROR(VLOOKUP(A966,[1]wms_iv_f!$A$1:$E$136,4,FALSE),"")</f>
        <v/>
      </c>
      <c r="H966" s="95" t="str">
        <f>IFERROR(VLOOKUP(A966,[2]wms_lc_f!$A$1:$B$156,2,FALSE),"")</f>
        <v/>
      </c>
    </row>
    <row r="967" spans="1:8">
      <c r="A967" s="69">
        <v>142589</v>
      </c>
      <c r="B967" s="69" t="s">
        <v>2609</v>
      </c>
      <c r="C967" s="70" t="s">
        <v>581</v>
      </c>
      <c r="D967" s="70" t="s">
        <v>2610</v>
      </c>
      <c r="E967" s="85">
        <v>1</v>
      </c>
      <c r="F967" s="70"/>
      <c r="G967" s="70" t="str">
        <f>IFERROR(VLOOKUP(A967,[1]wms_iv_f!$A$1:$E$136,4,FALSE),"")</f>
        <v/>
      </c>
      <c r="H967" s="95" t="str">
        <f>IFERROR(VLOOKUP(A967,[2]wms_lc_f!$A$1:$B$156,2,FALSE),"")</f>
        <v/>
      </c>
    </row>
    <row r="968" spans="1:8">
      <c r="A968" s="69">
        <v>100105</v>
      </c>
      <c r="B968" s="69" t="s">
        <v>2609</v>
      </c>
      <c r="C968" s="70" t="s">
        <v>580</v>
      </c>
      <c r="D968" s="70" t="s">
        <v>2610</v>
      </c>
      <c r="E968" s="85">
        <v>1</v>
      </c>
      <c r="F968" s="70"/>
      <c r="G968" s="70" t="str">
        <f>IFERROR(VLOOKUP(A968,[1]wms_iv_f!$A$1:$E$136,4,FALSE),"")</f>
        <v/>
      </c>
      <c r="H968" s="95" t="str">
        <f>IFERROR(VLOOKUP(A968,[2]wms_lc_f!$A$1:$B$156,2,FALSE),"")</f>
        <v/>
      </c>
    </row>
    <row r="969" spans="1:8">
      <c r="A969" s="69">
        <v>1523</v>
      </c>
      <c r="B969" s="69" t="s">
        <v>2609</v>
      </c>
      <c r="C969" s="70" t="s">
        <v>357</v>
      </c>
      <c r="D969" s="70" t="s">
        <v>2610</v>
      </c>
      <c r="E969" s="85">
        <v>1</v>
      </c>
      <c r="F969" s="70"/>
      <c r="G969" s="70" t="str">
        <f>IFERROR(VLOOKUP(A969,[1]wms_iv_f!$A$1:$E$136,4,FALSE),"")</f>
        <v/>
      </c>
      <c r="H969" s="95" t="str">
        <f>IFERROR(VLOOKUP(A969,[2]wms_lc_f!$A$1:$B$156,2,FALSE),"")</f>
        <v/>
      </c>
    </row>
    <row r="970" spans="1:8">
      <c r="A970" s="71">
        <v>117795</v>
      </c>
      <c r="B970" s="69" t="s">
        <v>2609</v>
      </c>
      <c r="C970" s="70" t="s">
        <v>356</v>
      </c>
      <c r="D970" s="70" t="s">
        <v>2610</v>
      </c>
      <c r="E970" s="72">
        <v>1</v>
      </c>
      <c r="F970" s="70"/>
      <c r="G970" s="70" t="str">
        <f>IFERROR(VLOOKUP(A970,[1]wms_iv_f!$A$1:$E$136,4,FALSE),"")</f>
        <v/>
      </c>
      <c r="H970" s="95" t="str">
        <f>IFERROR(VLOOKUP(A970,[2]wms_lc_f!$A$1:$B$156,2,FALSE),"")</f>
        <v/>
      </c>
    </row>
    <row r="971" spans="1:8">
      <c r="A971" s="71">
        <v>112675</v>
      </c>
      <c r="B971" s="69" t="s">
        <v>2609</v>
      </c>
      <c r="C971" s="70" t="s">
        <v>355</v>
      </c>
      <c r="D971" s="70" t="s">
        <v>2610</v>
      </c>
      <c r="E971" s="72">
        <v>1</v>
      </c>
      <c r="F971" s="70"/>
      <c r="G971" s="70" t="str">
        <f>IFERROR(VLOOKUP(A971,[1]wms_iv_f!$A$1:$E$136,4,FALSE),"")</f>
        <v/>
      </c>
      <c r="H971" s="95" t="str">
        <f>IFERROR(VLOOKUP(A971,[2]wms_lc_f!$A$1:$B$156,2,FALSE),"")</f>
        <v/>
      </c>
    </row>
    <row r="972" spans="1:8">
      <c r="A972" s="71">
        <v>82659</v>
      </c>
      <c r="B972" s="69" t="s">
        <v>2609</v>
      </c>
      <c r="C972" s="70" t="s">
        <v>354</v>
      </c>
      <c r="D972" s="70" t="s">
        <v>2610</v>
      </c>
      <c r="E972" s="72">
        <v>1</v>
      </c>
      <c r="F972" s="70"/>
      <c r="G972" s="70" t="str">
        <f>IFERROR(VLOOKUP(A972,[1]wms_iv_f!$A$1:$E$136,4,FALSE),"")</f>
        <v/>
      </c>
      <c r="H972" s="95" t="str">
        <f>IFERROR(VLOOKUP(A972,[2]wms_lc_f!$A$1:$B$156,2,FALSE),"")</f>
        <v/>
      </c>
    </row>
    <row r="973" spans="1:8">
      <c r="A973" s="71">
        <v>156819</v>
      </c>
      <c r="B973" s="69" t="s">
        <v>2609</v>
      </c>
      <c r="C973" s="70" t="s">
        <v>353</v>
      </c>
      <c r="D973" s="70" t="s">
        <v>2610</v>
      </c>
      <c r="E973" s="72">
        <v>1</v>
      </c>
      <c r="F973" s="70"/>
      <c r="G973" s="70" t="str">
        <f>IFERROR(VLOOKUP(A973,[1]wms_iv_f!$A$1:$E$136,4,FALSE),"")</f>
        <v/>
      </c>
      <c r="H973" s="95" t="str">
        <f>IFERROR(VLOOKUP(A973,[2]wms_lc_f!$A$1:$B$156,2,FALSE),"")</f>
        <v/>
      </c>
    </row>
    <row r="974" spans="1:8">
      <c r="A974" s="71">
        <v>156820</v>
      </c>
      <c r="B974" s="69" t="s">
        <v>2609</v>
      </c>
      <c r="C974" s="70" t="s">
        <v>352</v>
      </c>
      <c r="D974" s="70" t="s">
        <v>2610</v>
      </c>
      <c r="E974" s="72">
        <v>1</v>
      </c>
      <c r="F974" s="70"/>
      <c r="G974" s="70" t="str">
        <f>IFERROR(VLOOKUP(A974,[1]wms_iv_f!$A$1:$E$136,4,FALSE),"")</f>
        <v/>
      </c>
      <c r="H974" s="95" t="str">
        <f>IFERROR(VLOOKUP(A974,[2]wms_lc_f!$A$1:$B$156,2,FALSE),"")</f>
        <v/>
      </c>
    </row>
    <row r="975" spans="1:8">
      <c r="A975" s="71">
        <v>5456</v>
      </c>
      <c r="B975" s="69" t="s">
        <v>2609</v>
      </c>
      <c r="C975" s="70" t="s">
        <v>468</v>
      </c>
      <c r="D975" s="70" t="s">
        <v>2610</v>
      </c>
      <c r="E975" s="72">
        <v>1</v>
      </c>
      <c r="F975" s="70"/>
      <c r="G975" s="70" t="str">
        <f>IFERROR(VLOOKUP(A975,[1]wms_iv_f!$A$1:$E$136,4,FALSE),"")</f>
        <v/>
      </c>
      <c r="H975" s="95" t="str">
        <f>IFERROR(VLOOKUP(A975,[2]wms_lc_f!$A$1:$B$156,2,FALSE),"")</f>
        <v/>
      </c>
    </row>
    <row r="976" spans="1:8">
      <c r="A976" s="71">
        <v>53285</v>
      </c>
      <c r="B976" s="69" t="s">
        <v>2609</v>
      </c>
      <c r="C976" s="70" t="s">
        <v>467</v>
      </c>
      <c r="D976" s="70" t="s">
        <v>2610</v>
      </c>
      <c r="E976" s="72">
        <v>1</v>
      </c>
      <c r="F976" s="70"/>
      <c r="G976" s="70" t="str">
        <f>IFERROR(VLOOKUP(A976,[1]wms_iv_f!$A$1:$E$136,4,FALSE),"")</f>
        <v/>
      </c>
      <c r="H976" s="95" t="str">
        <f>IFERROR(VLOOKUP(A976,[2]wms_lc_f!$A$1:$B$156,2,FALSE),"")</f>
        <v/>
      </c>
    </row>
    <row r="977" spans="1:8">
      <c r="A977" s="71">
        <v>158211</v>
      </c>
      <c r="B977" s="69" t="s">
        <v>2609</v>
      </c>
      <c r="C977" s="70" t="s">
        <v>466</v>
      </c>
      <c r="D977" s="70" t="s">
        <v>2610</v>
      </c>
      <c r="E977" s="72">
        <v>1</v>
      </c>
      <c r="F977" s="70"/>
      <c r="G977" s="70" t="str">
        <f>IFERROR(VLOOKUP(A977,[1]wms_iv_f!$A$1:$E$136,4,FALSE),"")</f>
        <v/>
      </c>
      <c r="H977" s="95" t="str">
        <f>IFERROR(VLOOKUP(A977,[2]wms_lc_f!$A$1:$B$156,2,FALSE),"")</f>
        <v/>
      </c>
    </row>
    <row r="978" spans="1:8">
      <c r="A978" s="71">
        <v>4154</v>
      </c>
      <c r="B978" s="69" t="s">
        <v>2609</v>
      </c>
      <c r="C978" s="70" t="s">
        <v>465</v>
      </c>
      <c r="D978" s="70" t="s">
        <v>2610</v>
      </c>
      <c r="E978" s="72">
        <v>1</v>
      </c>
      <c r="F978" s="70"/>
      <c r="G978" s="70" t="str">
        <f>IFERROR(VLOOKUP(A978,[1]wms_iv_f!$A$1:$E$136,4,FALSE),"")</f>
        <v/>
      </c>
      <c r="H978" s="95" t="str">
        <f>IFERROR(VLOOKUP(A978,[2]wms_lc_f!$A$1:$B$156,2,FALSE),"")</f>
        <v/>
      </c>
    </row>
    <row r="979" spans="1:8">
      <c r="A979" s="71">
        <v>132721</v>
      </c>
      <c r="B979" s="69" t="s">
        <v>2609</v>
      </c>
      <c r="C979" s="70" t="s">
        <v>464</v>
      </c>
      <c r="D979" s="70" t="s">
        <v>2610</v>
      </c>
      <c r="E979" s="72">
        <v>1</v>
      </c>
      <c r="F979" s="70"/>
      <c r="G979" s="70" t="str">
        <f>IFERROR(VLOOKUP(A979,[1]wms_iv_f!$A$1:$E$136,4,FALSE),"")</f>
        <v/>
      </c>
      <c r="H979" s="95" t="str">
        <f>IFERROR(VLOOKUP(A979,[2]wms_lc_f!$A$1:$B$156,2,FALSE),"")</f>
        <v/>
      </c>
    </row>
    <row r="980" spans="1:8">
      <c r="A980" s="71">
        <v>93343</v>
      </c>
      <c r="B980" s="69" t="s">
        <v>2609</v>
      </c>
      <c r="C980" s="70" t="s">
        <v>463</v>
      </c>
      <c r="D980" s="70" t="s">
        <v>2610</v>
      </c>
      <c r="E980" s="72">
        <v>1</v>
      </c>
      <c r="F980" s="70"/>
      <c r="G980" s="70" t="str">
        <f>IFERROR(VLOOKUP(A980,[1]wms_iv_f!$A$1:$E$136,4,FALSE),"")</f>
        <v/>
      </c>
      <c r="H980" s="95" t="str">
        <f>IFERROR(VLOOKUP(A980,[2]wms_lc_f!$A$1:$B$156,2,FALSE),"")</f>
        <v/>
      </c>
    </row>
    <row r="981" spans="1:8">
      <c r="A981" s="71">
        <v>81131</v>
      </c>
      <c r="B981" s="69" t="s">
        <v>2609</v>
      </c>
      <c r="C981" s="70" t="s">
        <v>579</v>
      </c>
      <c r="D981" s="70" t="s">
        <v>2610</v>
      </c>
      <c r="E981" s="72">
        <v>1</v>
      </c>
      <c r="F981" s="70"/>
      <c r="G981" s="70" t="str">
        <f>IFERROR(VLOOKUP(A981,[1]wms_iv_f!$A$1:$E$136,4,FALSE),"")</f>
        <v/>
      </c>
      <c r="H981" s="95" t="str">
        <f>IFERROR(VLOOKUP(A981,[2]wms_lc_f!$A$1:$B$156,2,FALSE),"")</f>
        <v/>
      </c>
    </row>
    <row r="982" spans="1:8">
      <c r="A982" s="71">
        <v>136958</v>
      </c>
      <c r="B982" s="69" t="s">
        <v>2609</v>
      </c>
      <c r="C982" s="70" t="s">
        <v>578</v>
      </c>
      <c r="D982" s="70" t="s">
        <v>2610</v>
      </c>
      <c r="E982" s="72">
        <v>1</v>
      </c>
      <c r="F982" s="70"/>
      <c r="G982" s="70" t="str">
        <f>IFERROR(VLOOKUP(A982,[1]wms_iv_f!$A$1:$E$136,4,FALSE),"")</f>
        <v/>
      </c>
      <c r="H982" s="95" t="str">
        <f>IFERROR(VLOOKUP(A982,[2]wms_lc_f!$A$1:$B$156,2,FALSE),"")</f>
        <v/>
      </c>
    </row>
    <row r="983" spans="1:8">
      <c r="A983" s="71">
        <v>114357</v>
      </c>
      <c r="B983" s="69" t="s">
        <v>2609</v>
      </c>
      <c r="C983" s="70" t="s">
        <v>577</v>
      </c>
      <c r="D983" s="70" t="s">
        <v>2610</v>
      </c>
      <c r="E983" s="72">
        <v>1</v>
      </c>
      <c r="F983" s="70"/>
      <c r="G983" s="70" t="str">
        <f>IFERROR(VLOOKUP(A983,[1]wms_iv_f!$A$1:$E$136,4,FALSE),"")</f>
        <v/>
      </c>
      <c r="H983" s="95" t="str">
        <f>IFERROR(VLOOKUP(A983,[2]wms_lc_f!$A$1:$B$156,2,FALSE),"")</f>
        <v/>
      </c>
    </row>
    <row r="984" spans="1:8">
      <c r="A984" s="71">
        <v>61358</v>
      </c>
      <c r="B984" s="69" t="s">
        <v>2609</v>
      </c>
      <c r="C984" s="70" t="s">
        <v>576</v>
      </c>
      <c r="D984" s="70" t="s">
        <v>2610</v>
      </c>
      <c r="E984" s="72">
        <v>1</v>
      </c>
      <c r="F984" s="70"/>
      <c r="G984" s="70" t="str">
        <f>IFERROR(VLOOKUP(A984,[1]wms_iv_f!$A$1:$E$136,4,FALSE),"")</f>
        <v/>
      </c>
      <c r="H984" s="95" t="str">
        <f>IFERROR(VLOOKUP(A984,[2]wms_lc_f!$A$1:$B$156,2,FALSE),"")</f>
        <v/>
      </c>
    </row>
    <row r="985" spans="1:8">
      <c r="A985" s="71">
        <v>93333</v>
      </c>
      <c r="B985" s="69" t="s">
        <v>2609</v>
      </c>
      <c r="C985" s="70" t="s">
        <v>575</v>
      </c>
      <c r="D985" s="70" t="s">
        <v>2610</v>
      </c>
      <c r="E985" s="72">
        <v>1</v>
      </c>
      <c r="F985" s="70"/>
      <c r="G985" s="70" t="str">
        <f>IFERROR(VLOOKUP(A985,[1]wms_iv_f!$A$1:$E$136,4,FALSE),"")</f>
        <v/>
      </c>
      <c r="H985" s="95" t="str">
        <f>IFERROR(VLOOKUP(A985,[2]wms_lc_f!$A$1:$B$156,2,FALSE),"")</f>
        <v/>
      </c>
    </row>
    <row r="986" spans="1:8">
      <c r="A986" s="71">
        <v>119935</v>
      </c>
      <c r="B986" s="69" t="s">
        <v>2609</v>
      </c>
      <c r="C986" s="70" t="s">
        <v>574</v>
      </c>
      <c r="D986" s="70" t="s">
        <v>2610</v>
      </c>
      <c r="E986" s="72">
        <v>1</v>
      </c>
      <c r="F986" s="70"/>
      <c r="G986" s="70" t="str">
        <f>IFERROR(VLOOKUP(A986,[1]wms_iv_f!$A$1:$E$136,4,FALSE),"")</f>
        <v/>
      </c>
      <c r="H986" s="95" t="str">
        <f>IFERROR(VLOOKUP(A986,[2]wms_lc_f!$A$1:$B$156,2,FALSE),"")</f>
        <v/>
      </c>
    </row>
    <row r="987" spans="1:8">
      <c r="A987" s="71">
        <v>138557</v>
      </c>
      <c r="B987" s="69" t="s">
        <v>2609</v>
      </c>
      <c r="C987" s="70" t="s">
        <v>351</v>
      </c>
      <c r="D987" s="70" t="s">
        <v>2610</v>
      </c>
      <c r="E987" s="72">
        <v>1</v>
      </c>
      <c r="F987" s="70"/>
      <c r="G987" s="70" t="str">
        <f>IFERROR(VLOOKUP(A987,[1]wms_iv_f!$A$1:$E$136,4,FALSE),"")</f>
        <v/>
      </c>
      <c r="H987" s="95" t="str">
        <f>IFERROR(VLOOKUP(A987,[2]wms_lc_f!$A$1:$B$156,2,FALSE),"")</f>
        <v/>
      </c>
    </row>
    <row r="988" spans="1:8">
      <c r="A988" s="71">
        <v>5972</v>
      </c>
      <c r="B988" s="69" t="s">
        <v>2609</v>
      </c>
      <c r="C988" s="70" t="s">
        <v>350</v>
      </c>
      <c r="D988" s="70" t="s">
        <v>2610</v>
      </c>
      <c r="E988" s="72">
        <v>1</v>
      </c>
      <c r="F988" s="70"/>
      <c r="G988" s="70" t="str">
        <f>IFERROR(VLOOKUP(A988,[1]wms_iv_f!$A$1:$E$136,4,FALSE),"")</f>
        <v/>
      </c>
      <c r="H988" s="95" t="str">
        <f>IFERROR(VLOOKUP(A988,[2]wms_lc_f!$A$1:$B$156,2,FALSE),"")</f>
        <v>12-116-C7</v>
      </c>
    </row>
    <row r="989" spans="1:8">
      <c r="A989" s="71">
        <v>60575</v>
      </c>
      <c r="B989" s="69" t="s">
        <v>2609</v>
      </c>
      <c r="C989" s="70" t="s">
        <v>349</v>
      </c>
      <c r="D989" s="70" t="s">
        <v>2610</v>
      </c>
      <c r="E989" s="72">
        <v>1</v>
      </c>
      <c r="F989" s="70"/>
      <c r="G989" s="70" t="str">
        <f>IFERROR(VLOOKUP(A989,[1]wms_iv_f!$A$1:$E$136,4,FALSE),"")</f>
        <v/>
      </c>
      <c r="H989" s="95" t="str">
        <f>IFERROR(VLOOKUP(A989,[2]wms_lc_f!$A$1:$B$156,2,FALSE),"")</f>
        <v/>
      </c>
    </row>
    <row r="990" spans="1:8">
      <c r="A990" s="71">
        <v>84486</v>
      </c>
      <c r="B990" s="69" t="s">
        <v>2609</v>
      </c>
      <c r="C990" s="70" t="s">
        <v>348</v>
      </c>
      <c r="D990" s="70" t="s">
        <v>2610</v>
      </c>
      <c r="E990" s="72">
        <v>1</v>
      </c>
      <c r="F990" s="70"/>
      <c r="G990" s="70" t="str">
        <f>IFERROR(VLOOKUP(A990,[1]wms_iv_f!$A$1:$E$136,4,FALSE),"")</f>
        <v/>
      </c>
      <c r="H990" s="95" t="str">
        <f>IFERROR(VLOOKUP(A990,[2]wms_lc_f!$A$1:$B$156,2,FALSE),"")</f>
        <v/>
      </c>
    </row>
    <row r="991" spans="1:8">
      <c r="A991" s="71">
        <v>115128</v>
      </c>
      <c r="B991" s="69" t="s">
        <v>2609</v>
      </c>
      <c r="C991" s="70" t="s">
        <v>347</v>
      </c>
      <c r="D991" s="70" t="s">
        <v>2610</v>
      </c>
      <c r="E991" s="72">
        <v>1</v>
      </c>
      <c r="F991" s="70"/>
      <c r="G991" s="70" t="str">
        <f>IFERROR(VLOOKUP(A991,[1]wms_iv_f!$A$1:$E$136,4,FALSE),"")</f>
        <v/>
      </c>
      <c r="H991" s="95" t="str">
        <f>IFERROR(VLOOKUP(A991,[2]wms_lc_f!$A$1:$B$156,2,FALSE),"")</f>
        <v/>
      </c>
    </row>
    <row r="992" spans="1:8">
      <c r="A992" s="71">
        <v>155908</v>
      </c>
      <c r="B992" s="69" t="s">
        <v>2609</v>
      </c>
      <c r="C992" s="70" t="s">
        <v>346</v>
      </c>
      <c r="D992" s="70" t="s">
        <v>2610</v>
      </c>
      <c r="E992" s="72">
        <v>1</v>
      </c>
      <c r="F992" s="70"/>
      <c r="G992" s="70" t="str">
        <f>IFERROR(VLOOKUP(A992,[1]wms_iv_f!$A$1:$E$136,4,FALSE),"")</f>
        <v/>
      </c>
      <c r="H992" s="95" t="str">
        <f>IFERROR(VLOOKUP(A992,[2]wms_lc_f!$A$1:$B$156,2,FALSE),"")</f>
        <v/>
      </c>
    </row>
    <row r="993" spans="1:8">
      <c r="A993" s="71">
        <v>139776</v>
      </c>
      <c r="B993" s="69" t="s">
        <v>2609</v>
      </c>
      <c r="C993" s="70" t="s">
        <v>462</v>
      </c>
      <c r="D993" s="70" t="s">
        <v>2610</v>
      </c>
      <c r="E993" s="72">
        <v>1</v>
      </c>
      <c r="F993" s="70"/>
      <c r="G993" s="70" t="str">
        <f>IFERROR(VLOOKUP(A993,[1]wms_iv_f!$A$1:$E$136,4,FALSE),"")</f>
        <v/>
      </c>
      <c r="H993" s="95" t="str">
        <f>IFERROR(VLOOKUP(A993,[2]wms_lc_f!$A$1:$B$156,2,FALSE),"")</f>
        <v/>
      </c>
    </row>
    <row r="994" spans="1:8">
      <c r="A994" s="71">
        <v>100409</v>
      </c>
      <c r="B994" s="69" t="s">
        <v>2609</v>
      </c>
      <c r="C994" s="70" t="s">
        <v>461</v>
      </c>
      <c r="D994" s="70" t="s">
        <v>2610</v>
      </c>
      <c r="E994" s="72">
        <v>1</v>
      </c>
      <c r="F994" s="70"/>
      <c r="G994" s="70" t="str">
        <f>IFERROR(VLOOKUP(A994,[1]wms_iv_f!$A$1:$E$136,4,FALSE),"")</f>
        <v/>
      </c>
      <c r="H994" s="95" t="str">
        <f>IFERROR(VLOOKUP(A994,[2]wms_lc_f!$A$1:$B$156,2,FALSE),"")</f>
        <v/>
      </c>
    </row>
    <row r="995" spans="1:8">
      <c r="A995" s="71">
        <v>116097</v>
      </c>
      <c r="B995" s="69" t="s">
        <v>2609</v>
      </c>
      <c r="C995" s="70" t="s">
        <v>460</v>
      </c>
      <c r="D995" s="70" t="s">
        <v>2610</v>
      </c>
      <c r="E995" s="72">
        <v>1</v>
      </c>
      <c r="F995" s="70"/>
      <c r="G995" s="70" t="str">
        <f>IFERROR(VLOOKUP(A995,[1]wms_iv_f!$A$1:$E$136,4,FALSE),"")</f>
        <v/>
      </c>
      <c r="H995" s="95" t="str">
        <f>IFERROR(VLOOKUP(A995,[2]wms_lc_f!$A$1:$B$156,2,FALSE),"")</f>
        <v/>
      </c>
    </row>
    <row r="996" spans="1:8">
      <c r="A996" s="71">
        <v>142585</v>
      </c>
      <c r="B996" s="69" t="s">
        <v>2609</v>
      </c>
      <c r="C996" s="70" t="s">
        <v>459</v>
      </c>
      <c r="D996" s="70" t="s">
        <v>2610</v>
      </c>
      <c r="E996" s="72">
        <v>1</v>
      </c>
      <c r="F996" s="70"/>
      <c r="G996" s="70" t="str">
        <f>IFERROR(VLOOKUP(A996,[1]wms_iv_f!$A$1:$E$136,4,FALSE),"")</f>
        <v/>
      </c>
      <c r="H996" s="95" t="str">
        <f>IFERROR(VLOOKUP(A996,[2]wms_lc_f!$A$1:$B$156,2,FALSE),"")</f>
        <v/>
      </c>
    </row>
    <row r="997" spans="1:8">
      <c r="A997" s="71">
        <v>155913</v>
      </c>
      <c r="B997" s="69" t="s">
        <v>2609</v>
      </c>
      <c r="C997" s="70" t="s">
        <v>458</v>
      </c>
      <c r="D997" s="70" t="s">
        <v>2610</v>
      </c>
      <c r="E997" s="72">
        <v>1</v>
      </c>
      <c r="F997" s="70"/>
      <c r="G997" s="70" t="str">
        <f>IFERROR(VLOOKUP(A997,[1]wms_iv_f!$A$1:$E$136,4,FALSE),"")</f>
        <v/>
      </c>
      <c r="H997" s="95" t="str">
        <f>IFERROR(VLOOKUP(A997,[2]wms_lc_f!$A$1:$B$156,2,FALSE),"")</f>
        <v/>
      </c>
    </row>
    <row r="998" spans="1:8">
      <c r="A998" s="71">
        <v>18869</v>
      </c>
      <c r="B998" s="69" t="s">
        <v>2609</v>
      </c>
      <c r="C998" s="70" t="s">
        <v>457</v>
      </c>
      <c r="D998" s="70" t="s">
        <v>2610</v>
      </c>
      <c r="E998" s="72">
        <v>1</v>
      </c>
      <c r="F998" s="70"/>
      <c r="G998" s="70" t="str">
        <f>IFERROR(VLOOKUP(A998,[1]wms_iv_f!$A$1:$E$136,4,FALSE),"")</f>
        <v/>
      </c>
      <c r="H998" s="95" t="str">
        <f>IFERROR(VLOOKUP(A998,[2]wms_lc_f!$A$1:$B$156,2,FALSE),"")</f>
        <v/>
      </c>
    </row>
    <row r="999" spans="1:8">
      <c r="A999" s="71">
        <v>82663</v>
      </c>
      <c r="B999" s="69" t="s">
        <v>2609</v>
      </c>
      <c r="C999" s="70" t="s">
        <v>573</v>
      </c>
      <c r="D999" s="70" t="s">
        <v>2610</v>
      </c>
      <c r="E999" s="72">
        <v>1</v>
      </c>
      <c r="F999" s="70"/>
      <c r="G999" s="70" t="str">
        <f>IFERROR(VLOOKUP(A999,[1]wms_iv_f!$A$1:$E$136,4,FALSE),"")</f>
        <v/>
      </c>
      <c r="H999" s="95" t="str">
        <f>IFERROR(VLOOKUP(A999,[2]wms_lc_f!$A$1:$B$156,2,FALSE),"")</f>
        <v/>
      </c>
    </row>
    <row r="1000" spans="1:8">
      <c r="A1000" s="71">
        <v>136468</v>
      </c>
      <c r="B1000" s="69" t="s">
        <v>2609</v>
      </c>
      <c r="C1000" s="70" t="s">
        <v>572</v>
      </c>
      <c r="D1000" s="70" t="s">
        <v>2610</v>
      </c>
      <c r="E1000" s="72">
        <v>1</v>
      </c>
      <c r="F1000" s="70"/>
      <c r="G1000" s="70" t="str">
        <f>IFERROR(VLOOKUP(A1000,[1]wms_iv_f!$A$1:$E$136,4,FALSE),"")</f>
        <v/>
      </c>
      <c r="H1000" s="95" t="str">
        <f>IFERROR(VLOOKUP(A1000,[2]wms_lc_f!$A$1:$B$156,2,FALSE),"")</f>
        <v/>
      </c>
    </row>
    <row r="1001" spans="1:8">
      <c r="A1001" s="71">
        <v>108877</v>
      </c>
      <c r="B1001" s="69" t="s">
        <v>2609</v>
      </c>
      <c r="C1001" s="70" t="s">
        <v>571</v>
      </c>
      <c r="D1001" s="70" t="s">
        <v>2610</v>
      </c>
      <c r="E1001" s="72">
        <v>1</v>
      </c>
      <c r="F1001" s="70"/>
      <c r="G1001" s="70" t="str">
        <f>IFERROR(VLOOKUP(A1001,[1]wms_iv_f!$A$1:$E$136,4,FALSE),"")</f>
        <v/>
      </c>
      <c r="H1001" s="95" t="str">
        <f>IFERROR(VLOOKUP(A1001,[2]wms_lc_f!$A$1:$B$156,2,FALSE),"")</f>
        <v/>
      </c>
    </row>
    <row r="1002" spans="1:8">
      <c r="A1002" s="71">
        <v>835</v>
      </c>
      <c r="B1002" s="69" t="s">
        <v>2609</v>
      </c>
      <c r="C1002" s="70" t="s">
        <v>570</v>
      </c>
      <c r="D1002" s="70" t="s">
        <v>2610</v>
      </c>
      <c r="E1002" s="72">
        <v>1</v>
      </c>
      <c r="F1002" s="70"/>
      <c r="G1002" s="70" t="str">
        <f>IFERROR(VLOOKUP(A1002,[1]wms_iv_f!$A$1:$E$136,4,FALSE),"")</f>
        <v/>
      </c>
      <c r="H1002" s="95" t="str">
        <f>IFERROR(VLOOKUP(A1002,[2]wms_lc_f!$A$1:$B$156,2,FALSE),"")</f>
        <v/>
      </c>
    </row>
    <row r="1003" spans="1:8">
      <c r="A1003" s="71">
        <v>139781</v>
      </c>
      <c r="B1003" s="69" t="s">
        <v>2609</v>
      </c>
      <c r="C1003" s="70" t="s">
        <v>569</v>
      </c>
      <c r="D1003" s="70" t="s">
        <v>2610</v>
      </c>
      <c r="E1003" s="72">
        <v>1</v>
      </c>
      <c r="F1003" s="70"/>
      <c r="G1003" s="70" t="str">
        <f>IFERROR(VLOOKUP(A1003,[1]wms_iv_f!$A$1:$E$136,4,FALSE),"")</f>
        <v/>
      </c>
      <c r="H1003" s="95" t="str">
        <f>IFERROR(VLOOKUP(A1003,[2]wms_lc_f!$A$1:$B$156,2,FALSE),"")</f>
        <v/>
      </c>
    </row>
    <row r="1004" spans="1:8">
      <c r="A1004" s="71">
        <v>20</v>
      </c>
      <c r="B1004" s="69" t="s">
        <v>2609</v>
      </c>
      <c r="C1004" s="70" t="s">
        <v>568</v>
      </c>
      <c r="D1004" s="70" t="s">
        <v>2610</v>
      </c>
      <c r="E1004" s="72">
        <v>1</v>
      </c>
      <c r="F1004" s="70"/>
      <c r="G1004" s="70" t="str">
        <f>IFERROR(VLOOKUP(A1004,[1]wms_iv_f!$A$1:$E$136,4,FALSE),"")</f>
        <v/>
      </c>
      <c r="H1004" s="95" t="str">
        <f>IFERROR(VLOOKUP(A1004,[2]wms_lc_f!$A$1:$B$156,2,FALSE),"")</f>
        <v/>
      </c>
    </row>
    <row r="1005" spans="1:8">
      <c r="A1005" s="71">
        <v>100173</v>
      </c>
      <c r="B1005" s="69" t="s">
        <v>2609</v>
      </c>
      <c r="C1005" s="70" t="s">
        <v>345</v>
      </c>
      <c r="D1005" s="70" t="s">
        <v>2610</v>
      </c>
      <c r="E1005" s="72">
        <v>1</v>
      </c>
      <c r="F1005" s="70"/>
      <c r="G1005" s="70" t="str">
        <f>IFERROR(VLOOKUP(A1005,[1]wms_iv_f!$A$1:$E$136,4,FALSE),"")</f>
        <v/>
      </c>
      <c r="H1005" s="95" t="str">
        <f>IFERROR(VLOOKUP(A1005,[2]wms_lc_f!$A$1:$B$156,2,FALSE),"")</f>
        <v/>
      </c>
    </row>
    <row r="1006" spans="1:8">
      <c r="A1006" s="71">
        <v>156252</v>
      </c>
      <c r="B1006" s="69" t="s">
        <v>2609</v>
      </c>
      <c r="C1006" s="70" t="s">
        <v>344</v>
      </c>
      <c r="D1006" s="70" t="s">
        <v>2610</v>
      </c>
      <c r="E1006" s="72">
        <v>1</v>
      </c>
      <c r="F1006" s="70"/>
      <c r="G1006" s="70" t="str">
        <f>IFERROR(VLOOKUP(A1006,[1]wms_iv_f!$A$1:$E$136,4,FALSE),"")</f>
        <v/>
      </c>
      <c r="H1006" s="95" t="str">
        <f>IFERROR(VLOOKUP(A1006,[2]wms_lc_f!$A$1:$B$156,2,FALSE),"")</f>
        <v/>
      </c>
    </row>
    <row r="1007" spans="1:8">
      <c r="A1007" s="71">
        <v>1845</v>
      </c>
      <c r="B1007" s="69" t="s">
        <v>2609</v>
      </c>
      <c r="C1007" s="70" t="s">
        <v>343</v>
      </c>
      <c r="D1007" s="70" t="s">
        <v>2610</v>
      </c>
      <c r="E1007" s="72">
        <v>1</v>
      </c>
      <c r="F1007" s="70"/>
      <c r="G1007" s="70" t="str">
        <f>IFERROR(VLOOKUP(A1007,[1]wms_iv_f!$A$1:$E$136,4,FALSE),"")</f>
        <v/>
      </c>
      <c r="H1007" s="95" t="str">
        <f>IFERROR(VLOOKUP(A1007,[2]wms_lc_f!$A$1:$B$156,2,FALSE),"")</f>
        <v/>
      </c>
    </row>
    <row r="1008" spans="1:8">
      <c r="A1008" s="71">
        <v>137868</v>
      </c>
      <c r="B1008" s="69" t="s">
        <v>2609</v>
      </c>
      <c r="C1008" s="70" t="s">
        <v>342</v>
      </c>
      <c r="D1008" s="70" t="s">
        <v>2610</v>
      </c>
      <c r="E1008" s="72">
        <v>1</v>
      </c>
      <c r="F1008" s="70"/>
      <c r="G1008" s="70" t="str">
        <f>IFERROR(VLOOKUP(A1008,[1]wms_iv_f!$A$1:$E$136,4,FALSE),"")</f>
        <v/>
      </c>
      <c r="H1008" s="95" t="str">
        <f>IFERROR(VLOOKUP(A1008,[2]wms_lc_f!$A$1:$B$156,2,FALSE),"")</f>
        <v/>
      </c>
    </row>
    <row r="1009" spans="1:8">
      <c r="A1009" s="71">
        <v>137867</v>
      </c>
      <c r="B1009" s="69" t="s">
        <v>2609</v>
      </c>
      <c r="C1009" s="70" t="s">
        <v>341</v>
      </c>
      <c r="D1009" s="70" t="s">
        <v>2610</v>
      </c>
      <c r="E1009" s="72">
        <v>1</v>
      </c>
      <c r="F1009" s="70"/>
      <c r="G1009" s="70" t="str">
        <f>IFERROR(VLOOKUP(A1009,[1]wms_iv_f!$A$1:$E$136,4,FALSE),"")</f>
        <v/>
      </c>
      <c r="H1009" s="95" t="str">
        <f>IFERROR(VLOOKUP(A1009,[2]wms_lc_f!$A$1:$B$156,2,FALSE),"")</f>
        <v/>
      </c>
    </row>
    <row r="1010" spans="1:8">
      <c r="A1010" s="71">
        <v>77307</v>
      </c>
      <c r="B1010" s="69" t="s">
        <v>2609</v>
      </c>
      <c r="C1010" s="70" t="s">
        <v>340</v>
      </c>
      <c r="D1010" s="70" t="s">
        <v>2610</v>
      </c>
      <c r="E1010" s="72">
        <v>1</v>
      </c>
      <c r="F1010" s="70"/>
      <c r="G1010" s="70" t="str">
        <f>IFERROR(VLOOKUP(A1010,[1]wms_iv_f!$A$1:$E$136,4,FALSE),"")</f>
        <v/>
      </c>
      <c r="H1010" s="95" t="str">
        <f>IFERROR(VLOOKUP(A1010,[2]wms_lc_f!$A$1:$B$156,2,FALSE),"")</f>
        <v/>
      </c>
    </row>
    <row r="1011" spans="1:8">
      <c r="A1011" s="71">
        <v>101182</v>
      </c>
      <c r="B1011" s="69" t="s">
        <v>2609</v>
      </c>
      <c r="C1011" s="70" t="s">
        <v>456</v>
      </c>
      <c r="D1011" s="70" t="s">
        <v>2610</v>
      </c>
      <c r="E1011" s="72">
        <v>1</v>
      </c>
      <c r="F1011" s="70"/>
      <c r="G1011" s="70" t="str">
        <f>IFERROR(VLOOKUP(A1011,[1]wms_iv_f!$A$1:$E$136,4,FALSE),"")</f>
        <v/>
      </c>
      <c r="H1011" s="95" t="str">
        <f>IFERROR(VLOOKUP(A1011,[2]wms_lc_f!$A$1:$B$156,2,FALSE),"")</f>
        <v/>
      </c>
    </row>
    <row r="1012" spans="1:8">
      <c r="A1012" s="71">
        <v>60872</v>
      </c>
      <c r="B1012" s="69" t="s">
        <v>2609</v>
      </c>
      <c r="C1012" s="70" t="s">
        <v>455</v>
      </c>
      <c r="D1012" s="70" t="s">
        <v>2610</v>
      </c>
      <c r="E1012" s="72">
        <v>1</v>
      </c>
      <c r="F1012" s="70"/>
      <c r="G1012" s="70" t="str">
        <f>IFERROR(VLOOKUP(A1012,[1]wms_iv_f!$A$1:$E$136,4,FALSE),"")</f>
        <v/>
      </c>
      <c r="H1012" s="95" t="str">
        <f>IFERROR(VLOOKUP(A1012,[2]wms_lc_f!$A$1:$B$156,2,FALSE),"")</f>
        <v/>
      </c>
    </row>
    <row r="1013" spans="1:8">
      <c r="A1013" s="71">
        <v>143557</v>
      </c>
      <c r="B1013" s="69" t="s">
        <v>2609</v>
      </c>
      <c r="C1013" s="70" t="s">
        <v>454</v>
      </c>
      <c r="D1013" s="70" t="s">
        <v>2610</v>
      </c>
      <c r="E1013" s="72">
        <v>1</v>
      </c>
      <c r="F1013" s="70"/>
      <c r="G1013" s="70" t="str">
        <f>IFERROR(VLOOKUP(A1013,[1]wms_iv_f!$A$1:$E$136,4,FALSE),"")</f>
        <v/>
      </c>
      <c r="H1013" s="95" t="str">
        <f>IFERROR(VLOOKUP(A1013,[2]wms_lc_f!$A$1:$B$156,2,FALSE),"")</f>
        <v/>
      </c>
    </row>
    <row r="1014" spans="1:8">
      <c r="A1014" s="71">
        <v>157858</v>
      </c>
      <c r="B1014" s="69" t="s">
        <v>2609</v>
      </c>
      <c r="C1014" s="70" t="s">
        <v>453</v>
      </c>
      <c r="D1014" s="70" t="s">
        <v>2610</v>
      </c>
      <c r="E1014" s="72">
        <v>1</v>
      </c>
      <c r="F1014" s="70"/>
      <c r="G1014" s="70" t="str">
        <f>IFERROR(VLOOKUP(A1014,[1]wms_iv_f!$A$1:$E$136,4,FALSE),"")</f>
        <v/>
      </c>
      <c r="H1014" s="95" t="str">
        <f>IFERROR(VLOOKUP(A1014,[2]wms_lc_f!$A$1:$B$156,2,FALSE),"")</f>
        <v/>
      </c>
    </row>
    <row r="1015" spans="1:8">
      <c r="A1015" s="71">
        <v>97690</v>
      </c>
      <c r="B1015" s="69" t="s">
        <v>2609</v>
      </c>
      <c r="C1015" s="70" t="s">
        <v>452</v>
      </c>
      <c r="D1015" s="70" t="s">
        <v>2610</v>
      </c>
      <c r="E1015" s="72">
        <v>1</v>
      </c>
      <c r="F1015" s="70"/>
      <c r="G1015" s="70" t="str">
        <f>IFERROR(VLOOKUP(A1015,[1]wms_iv_f!$A$1:$E$136,4,FALSE),"")</f>
        <v/>
      </c>
      <c r="H1015" s="95" t="str">
        <f>IFERROR(VLOOKUP(A1015,[2]wms_lc_f!$A$1:$B$156,2,FALSE),"")</f>
        <v/>
      </c>
    </row>
    <row r="1016" spans="1:8">
      <c r="A1016" s="71">
        <v>141177</v>
      </c>
      <c r="B1016" s="69" t="s">
        <v>2609</v>
      </c>
      <c r="C1016" s="70" t="s">
        <v>451</v>
      </c>
      <c r="D1016" s="70" t="s">
        <v>2610</v>
      </c>
      <c r="E1016" s="72">
        <v>1</v>
      </c>
      <c r="F1016" s="70"/>
      <c r="G1016" s="70" t="str">
        <f>IFERROR(VLOOKUP(A1016,[1]wms_iv_f!$A$1:$E$136,4,FALSE),"")</f>
        <v/>
      </c>
      <c r="H1016" s="95" t="str">
        <f>IFERROR(VLOOKUP(A1016,[2]wms_lc_f!$A$1:$B$156,2,FALSE),"")</f>
        <v/>
      </c>
    </row>
    <row r="1017" spans="1:8">
      <c r="A1017" s="71">
        <v>468</v>
      </c>
      <c r="B1017" s="69" t="s">
        <v>2609</v>
      </c>
      <c r="C1017" s="70" t="s">
        <v>567</v>
      </c>
      <c r="D1017" s="70" t="s">
        <v>2610</v>
      </c>
      <c r="E1017" s="72">
        <v>1</v>
      </c>
      <c r="F1017" s="70"/>
      <c r="G1017" s="70" t="str">
        <f>IFERROR(VLOOKUP(A1017,[1]wms_iv_f!$A$1:$E$136,4,FALSE),"")</f>
        <v/>
      </c>
      <c r="H1017" s="95" t="str">
        <f>IFERROR(VLOOKUP(A1017,[2]wms_lc_f!$A$1:$B$156,2,FALSE),"")</f>
        <v/>
      </c>
    </row>
    <row r="1018" spans="1:8">
      <c r="A1018" s="71">
        <v>58483</v>
      </c>
      <c r="B1018" s="69" t="s">
        <v>2609</v>
      </c>
      <c r="C1018" s="70" t="s">
        <v>566</v>
      </c>
      <c r="D1018" s="70" t="s">
        <v>2610</v>
      </c>
      <c r="E1018" s="72">
        <v>1</v>
      </c>
      <c r="F1018" s="70"/>
      <c r="G1018" s="70" t="str">
        <f>IFERROR(VLOOKUP(A1018,[1]wms_iv_f!$A$1:$E$136,4,FALSE),"")</f>
        <v/>
      </c>
      <c r="H1018" s="95" t="str">
        <f>IFERROR(VLOOKUP(A1018,[2]wms_lc_f!$A$1:$B$156,2,FALSE),"")</f>
        <v/>
      </c>
    </row>
    <row r="1019" spans="1:8">
      <c r="A1019" s="71">
        <v>157644</v>
      </c>
      <c r="B1019" s="69" t="s">
        <v>2609</v>
      </c>
      <c r="C1019" s="70" t="s">
        <v>565</v>
      </c>
      <c r="D1019" s="70" t="s">
        <v>2610</v>
      </c>
      <c r="E1019" s="72">
        <v>1</v>
      </c>
      <c r="F1019" s="70"/>
      <c r="G1019" s="70" t="str">
        <f>IFERROR(VLOOKUP(A1019,[1]wms_iv_f!$A$1:$E$136,4,FALSE),"")</f>
        <v/>
      </c>
      <c r="H1019" s="95" t="str">
        <f>IFERROR(VLOOKUP(A1019,[2]wms_lc_f!$A$1:$B$156,2,FALSE),"")</f>
        <v/>
      </c>
    </row>
    <row r="1020" spans="1:8">
      <c r="A1020" s="71">
        <v>60733</v>
      </c>
      <c r="B1020" s="69" t="s">
        <v>2609</v>
      </c>
      <c r="C1020" s="70" t="s">
        <v>564</v>
      </c>
      <c r="D1020" s="70" t="s">
        <v>2610</v>
      </c>
      <c r="E1020" s="72">
        <v>1</v>
      </c>
      <c r="F1020" s="70"/>
      <c r="G1020" s="70" t="str">
        <f>IFERROR(VLOOKUP(A1020,[1]wms_iv_f!$A$1:$E$136,4,FALSE),"")</f>
        <v/>
      </c>
      <c r="H1020" s="95" t="str">
        <f>IFERROR(VLOOKUP(A1020,[2]wms_lc_f!$A$1:$B$156,2,FALSE),"")</f>
        <v/>
      </c>
    </row>
    <row r="1021" spans="1:8">
      <c r="A1021" s="71">
        <v>157330</v>
      </c>
      <c r="B1021" s="69" t="s">
        <v>2609</v>
      </c>
      <c r="C1021" s="70" t="s">
        <v>563</v>
      </c>
      <c r="D1021" s="70" t="s">
        <v>2610</v>
      </c>
      <c r="E1021" s="72">
        <v>1</v>
      </c>
      <c r="F1021" s="70"/>
      <c r="G1021" s="70" t="str">
        <f>IFERROR(VLOOKUP(A1021,[1]wms_iv_f!$A$1:$E$136,4,FALSE),"")</f>
        <v/>
      </c>
      <c r="H1021" s="95" t="str">
        <f>IFERROR(VLOOKUP(A1021,[2]wms_lc_f!$A$1:$B$156,2,FALSE),"")</f>
        <v/>
      </c>
    </row>
    <row r="1022" spans="1:8">
      <c r="A1022" s="71">
        <v>112597</v>
      </c>
      <c r="B1022" s="69" t="s">
        <v>2609</v>
      </c>
      <c r="C1022" s="70" t="s">
        <v>562</v>
      </c>
      <c r="D1022" s="70" t="s">
        <v>2610</v>
      </c>
      <c r="E1022" s="72">
        <v>1</v>
      </c>
      <c r="F1022" s="70"/>
      <c r="G1022" s="70" t="str">
        <f>IFERROR(VLOOKUP(A1022,[1]wms_iv_f!$A$1:$E$136,4,FALSE),"")</f>
        <v/>
      </c>
      <c r="H1022" s="95" t="str">
        <f>IFERROR(VLOOKUP(A1022,[2]wms_lc_f!$A$1:$B$156,2,FALSE),"")</f>
        <v/>
      </c>
    </row>
    <row r="1023" spans="1:8">
      <c r="A1023" s="71">
        <v>23591</v>
      </c>
      <c r="B1023" s="69" t="s">
        <v>2609</v>
      </c>
      <c r="C1023" s="70" t="s">
        <v>296</v>
      </c>
      <c r="D1023" s="70" t="s">
        <v>2610</v>
      </c>
      <c r="E1023" s="72">
        <v>1</v>
      </c>
      <c r="F1023" s="70"/>
      <c r="G1023" s="70" t="str">
        <f>IFERROR(VLOOKUP(A1023,[1]wms_iv_f!$A$1:$E$136,4,FALSE),"")</f>
        <v/>
      </c>
      <c r="H1023" s="95" t="str">
        <f>IFERROR(VLOOKUP(A1023,[2]wms_lc_f!$A$1:$B$156,2,FALSE),"")</f>
        <v/>
      </c>
    </row>
    <row r="1024" spans="1:8">
      <c r="A1024" s="71">
        <v>39624</v>
      </c>
      <c r="B1024" s="69" t="s">
        <v>2609</v>
      </c>
      <c r="C1024" s="70" t="s">
        <v>295</v>
      </c>
      <c r="D1024" s="70" t="s">
        <v>2610</v>
      </c>
      <c r="E1024" s="72">
        <v>1</v>
      </c>
      <c r="F1024" s="70"/>
      <c r="G1024" s="70" t="str">
        <f>IFERROR(VLOOKUP(A1024,[1]wms_iv_f!$A$1:$E$136,4,FALSE),"")</f>
        <v/>
      </c>
      <c r="H1024" s="95" t="str">
        <f>IFERROR(VLOOKUP(A1024,[2]wms_lc_f!$A$1:$B$156,2,FALSE),"")</f>
        <v/>
      </c>
    </row>
    <row r="1025" spans="1:8">
      <c r="A1025" s="71">
        <v>1663</v>
      </c>
      <c r="B1025" s="69" t="s">
        <v>2609</v>
      </c>
      <c r="C1025" s="70" t="s">
        <v>294</v>
      </c>
      <c r="D1025" s="70" t="s">
        <v>2610</v>
      </c>
      <c r="E1025" s="72">
        <v>1</v>
      </c>
      <c r="F1025" s="70"/>
      <c r="G1025" s="70" t="str">
        <f>IFERROR(VLOOKUP(A1025,[1]wms_iv_f!$A$1:$E$136,4,FALSE),"")</f>
        <v/>
      </c>
      <c r="H1025" s="95" t="str">
        <f>IFERROR(VLOOKUP(A1025,[2]wms_lc_f!$A$1:$B$156,2,FALSE),"")</f>
        <v/>
      </c>
    </row>
    <row r="1026" spans="1:8">
      <c r="A1026" s="71">
        <v>137425</v>
      </c>
      <c r="B1026" s="69" t="s">
        <v>2609</v>
      </c>
      <c r="C1026" s="70" t="s">
        <v>293</v>
      </c>
      <c r="D1026" s="70" t="s">
        <v>2610</v>
      </c>
      <c r="E1026" s="72">
        <v>1</v>
      </c>
      <c r="F1026" s="70"/>
      <c r="G1026" s="70" t="str">
        <f>IFERROR(VLOOKUP(A1026,[1]wms_iv_f!$A$1:$E$136,4,FALSE),"")</f>
        <v/>
      </c>
      <c r="H1026" s="95" t="str">
        <f>IFERROR(VLOOKUP(A1026,[2]wms_lc_f!$A$1:$B$156,2,FALSE),"")</f>
        <v/>
      </c>
    </row>
    <row r="1027" spans="1:8">
      <c r="A1027" s="71">
        <v>6061</v>
      </c>
      <c r="B1027" s="69" t="s">
        <v>2609</v>
      </c>
      <c r="C1027" s="70" t="s">
        <v>292</v>
      </c>
      <c r="D1027" s="70" t="s">
        <v>2610</v>
      </c>
      <c r="E1027" s="72">
        <v>1</v>
      </c>
      <c r="F1027" s="70"/>
      <c r="G1027" s="70" t="str">
        <f>IFERROR(VLOOKUP(A1027,[1]wms_iv_f!$A$1:$E$136,4,FALSE),"")</f>
        <v/>
      </c>
      <c r="H1027" s="95" t="str">
        <f>IFERROR(VLOOKUP(A1027,[2]wms_lc_f!$A$1:$B$156,2,FALSE),"")</f>
        <v/>
      </c>
    </row>
    <row r="1028" spans="1:8">
      <c r="A1028" s="71">
        <v>138537</v>
      </c>
      <c r="B1028" s="69" t="s">
        <v>2609</v>
      </c>
      <c r="C1028" s="70" t="s">
        <v>291</v>
      </c>
      <c r="D1028" s="70" t="s">
        <v>2610</v>
      </c>
      <c r="E1028" s="72">
        <v>1</v>
      </c>
      <c r="F1028" s="70"/>
      <c r="G1028" s="70" t="str">
        <f>IFERROR(VLOOKUP(A1028,[1]wms_iv_f!$A$1:$E$136,4,FALSE),"")</f>
        <v/>
      </c>
      <c r="H1028" s="95" t="str">
        <f>IFERROR(VLOOKUP(A1028,[2]wms_lc_f!$A$1:$B$156,2,FALSE),"")</f>
        <v/>
      </c>
    </row>
    <row r="1029" spans="1:8">
      <c r="A1029" s="86">
        <v>2520</v>
      </c>
      <c r="B1029" s="69" t="s">
        <v>2609</v>
      </c>
      <c r="C1029" s="74" t="s">
        <v>189</v>
      </c>
      <c r="D1029" s="74" t="s">
        <v>2610</v>
      </c>
      <c r="E1029" s="72">
        <v>1</v>
      </c>
      <c r="F1029" s="70" t="s">
        <v>2612</v>
      </c>
      <c r="G1029" s="70" t="str">
        <f>IFERROR(VLOOKUP(A1029,[1]wms_iv_f!$A$1:$E$136,4,FALSE),"")</f>
        <v/>
      </c>
      <c r="H1029" s="95" t="str">
        <f>IFERROR(VLOOKUP(A1029,[2]wms_lc_f!$A$1:$B$156,2,FALSE),"")</f>
        <v/>
      </c>
    </row>
    <row r="1030" spans="1:8">
      <c r="A1030" s="87">
        <v>143535</v>
      </c>
      <c r="B1030" s="69" t="s">
        <v>2609</v>
      </c>
      <c r="C1030" s="70" t="s">
        <v>188</v>
      </c>
      <c r="D1030" s="70" t="s">
        <v>2610</v>
      </c>
      <c r="E1030" s="72">
        <v>1</v>
      </c>
      <c r="F1030" s="70" t="s">
        <v>2612</v>
      </c>
      <c r="G1030" s="70" t="str">
        <f>IFERROR(VLOOKUP(A1030,[1]wms_iv_f!$A$1:$E$136,4,FALSE),"")</f>
        <v/>
      </c>
      <c r="H1030" s="95" t="str">
        <f>IFERROR(VLOOKUP(A1030,[2]wms_lc_f!$A$1:$B$156,2,FALSE),"")</f>
        <v/>
      </c>
    </row>
    <row r="1031" spans="1:8">
      <c r="A1031" s="87">
        <v>1050</v>
      </c>
      <c r="B1031" s="69" t="s">
        <v>2609</v>
      </c>
      <c r="C1031" s="70" t="s">
        <v>187</v>
      </c>
      <c r="D1031" s="70" t="s">
        <v>2610</v>
      </c>
      <c r="E1031" s="72">
        <v>1</v>
      </c>
      <c r="F1031" s="70" t="s">
        <v>2612</v>
      </c>
      <c r="G1031" s="70" t="str">
        <f>IFERROR(VLOOKUP(A1031,[1]wms_iv_f!$A$1:$E$136,4,FALSE),"")</f>
        <v/>
      </c>
      <c r="H1031" s="95" t="str">
        <f>IFERROR(VLOOKUP(A1031,[2]wms_lc_f!$A$1:$B$156,2,FALSE),"")</f>
        <v/>
      </c>
    </row>
    <row r="1032" spans="1:8" ht="14.45" customHeight="1">
      <c r="A1032" s="78">
        <v>121332</v>
      </c>
      <c r="B1032" s="69" t="s">
        <v>2609</v>
      </c>
      <c r="C1032" s="70" t="s">
        <v>186</v>
      </c>
      <c r="D1032" s="70" t="s">
        <v>2610</v>
      </c>
      <c r="E1032" s="72">
        <v>1</v>
      </c>
      <c r="F1032" s="70" t="s">
        <v>2612</v>
      </c>
      <c r="G1032" s="70" t="str">
        <f>IFERROR(VLOOKUP(A1032,[1]wms_iv_f!$A$1:$E$136,4,FALSE),"")</f>
        <v/>
      </c>
      <c r="H1032" s="95" t="str">
        <f>IFERROR(VLOOKUP(A1032,[2]wms_lc_f!$A$1:$B$156,2,FALSE),"")</f>
        <v/>
      </c>
    </row>
    <row r="1033" spans="1:8">
      <c r="A1033" s="87">
        <v>124930</v>
      </c>
      <c r="B1033" s="69" t="s">
        <v>2609</v>
      </c>
      <c r="C1033" s="70" t="s">
        <v>185</v>
      </c>
      <c r="D1033" s="70" t="s">
        <v>2610</v>
      </c>
      <c r="E1033" s="72">
        <v>1</v>
      </c>
      <c r="F1033" s="70" t="s">
        <v>2612</v>
      </c>
      <c r="G1033" s="70" t="str">
        <f>IFERROR(VLOOKUP(A1033,[1]wms_iv_f!$A$1:$E$136,4,FALSE),"")</f>
        <v/>
      </c>
      <c r="H1033" s="95" t="str">
        <f>IFERROR(VLOOKUP(A1033,[2]wms_lc_f!$A$1:$B$156,2,FALSE),"")</f>
        <v/>
      </c>
    </row>
    <row r="1034" spans="1:8">
      <c r="A1034" s="87">
        <v>104492</v>
      </c>
      <c r="B1034" s="69" t="s">
        <v>2609</v>
      </c>
      <c r="C1034" s="70" t="s">
        <v>184</v>
      </c>
      <c r="D1034" s="70" t="s">
        <v>2610</v>
      </c>
      <c r="E1034" s="72">
        <v>1</v>
      </c>
      <c r="F1034" s="70" t="s">
        <v>2612</v>
      </c>
      <c r="G1034" s="70" t="str">
        <f>IFERROR(VLOOKUP(A1034,[1]wms_iv_f!$A$1:$E$136,4,FALSE),"")</f>
        <v/>
      </c>
      <c r="H1034" s="95" t="str">
        <f>IFERROR(VLOOKUP(A1034,[2]wms_lc_f!$A$1:$B$156,2,FALSE),"")</f>
        <v/>
      </c>
    </row>
    <row r="1035" spans="1:8">
      <c r="A1035" s="87">
        <v>39345</v>
      </c>
      <c r="B1035" s="69" t="s">
        <v>2609</v>
      </c>
      <c r="C1035" s="70" t="s">
        <v>82</v>
      </c>
      <c r="D1035" s="70" t="s">
        <v>2610</v>
      </c>
      <c r="E1035" s="72">
        <v>1</v>
      </c>
      <c r="F1035" s="70"/>
      <c r="G1035" s="70" t="str">
        <f>IFERROR(VLOOKUP(A1035,[1]wms_iv_f!$A$1:$E$136,4,FALSE),"")</f>
        <v/>
      </c>
      <c r="H1035" s="95" t="str">
        <f>IFERROR(VLOOKUP(A1035,[2]wms_lc_f!$A$1:$B$156,2,FALSE),"")</f>
        <v/>
      </c>
    </row>
    <row r="1036" spans="1:8">
      <c r="A1036" s="87">
        <v>594</v>
      </c>
      <c r="B1036" s="69" t="s">
        <v>2609</v>
      </c>
      <c r="C1036" s="70" t="s">
        <v>81</v>
      </c>
      <c r="D1036" s="70" t="s">
        <v>2610</v>
      </c>
      <c r="E1036" s="72">
        <v>1</v>
      </c>
      <c r="F1036" s="70"/>
      <c r="G1036" s="70" t="str">
        <f>IFERROR(VLOOKUP(A1036,[1]wms_iv_f!$A$1:$E$136,4,FALSE),"")</f>
        <v/>
      </c>
      <c r="H1036" s="95" t="str">
        <f>IFERROR(VLOOKUP(A1036,[2]wms_lc_f!$A$1:$B$156,2,FALSE),"")</f>
        <v/>
      </c>
    </row>
    <row r="1037" spans="1:8">
      <c r="A1037" s="87">
        <v>1461</v>
      </c>
      <c r="B1037" s="69" t="s">
        <v>2609</v>
      </c>
      <c r="C1037" s="70" t="s">
        <v>80</v>
      </c>
      <c r="D1037" s="70" t="s">
        <v>2610</v>
      </c>
      <c r="E1037" s="72">
        <v>1</v>
      </c>
      <c r="F1037" s="70"/>
      <c r="G1037" s="70" t="str">
        <f>IFERROR(VLOOKUP(A1037,[1]wms_iv_f!$A$1:$E$136,4,FALSE),"")</f>
        <v/>
      </c>
      <c r="H1037" s="95" t="str">
        <f>IFERROR(VLOOKUP(A1037,[2]wms_lc_f!$A$1:$B$156,2,FALSE),"")</f>
        <v/>
      </c>
    </row>
    <row r="1038" spans="1:8">
      <c r="A1038" s="87">
        <v>90529</v>
      </c>
      <c r="B1038" s="69" t="s">
        <v>2609</v>
      </c>
      <c r="C1038" s="70" t="s">
        <v>79</v>
      </c>
      <c r="D1038" s="70" t="s">
        <v>2610</v>
      </c>
      <c r="E1038" s="72">
        <v>1</v>
      </c>
      <c r="F1038" s="70"/>
      <c r="G1038" s="70" t="str">
        <f>IFERROR(VLOOKUP(A1038,[1]wms_iv_f!$A$1:$E$136,4,FALSE),"")</f>
        <v/>
      </c>
      <c r="H1038" s="95" t="str">
        <f>IFERROR(VLOOKUP(A1038,[2]wms_lc_f!$A$1:$B$156,2,FALSE),"")</f>
        <v/>
      </c>
    </row>
    <row r="1039" spans="1:8">
      <c r="A1039" s="78">
        <v>108193</v>
      </c>
      <c r="B1039" s="69" t="s">
        <v>2609</v>
      </c>
      <c r="C1039" s="70" t="s">
        <v>78</v>
      </c>
      <c r="D1039" s="70" t="s">
        <v>2610</v>
      </c>
      <c r="E1039" s="72">
        <v>1</v>
      </c>
      <c r="F1039" s="70"/>
      <c r="G1039" s="70" t="str">
        <f>IFERROR(VLOOKUP(A1039,[1]wms_iv_f!$A$1:$E$136,4,FALSE),"")</f>
        <v/>
      </c>
      <c r="H1039" s="95" t="str">
        <f>IFERROR(VLOOKUP(A1039,[2]wms_lc_f!$A$1:$B$156,2,FALSE),"")</f>
        <v/>
      </c>
    </row>
    <row r="1040" spans="1:8">
      <c r="A1040" s="78">
        <v>129267</v>
      </c>
      <c r="B1040" s="69" t="s">
        <v>2609</v>
      </c>
      <c r="C1040" s="70" t="s">
        <v>77</v>
      </c>
      <c r="D1040" s="70" t="s">
        <v>2610</v>
      </c>
      <c r="E1040" s="72">
        <v>1</v>
      </c>
      <c r="F1040" s="70"/>
      <c r="G1040" s="70" t="str">
        <f>IFERROR(VLOOKUP(A1040,[1]wms_iv_f!$A$1:$E$136,4,FALSE),"")</f>
        <v/>
      </c>
      <c r="H1040" s="95" t="str">
        <f>IFERROR(VLOOKUP(A1040,[2]wms_lc_f!$A$1:$B$156,2,FALSE),"")</f>
        <v/>
      </c>
    </row>
    <row r="1041" spans="1:8">
      <c r="A1041" s="87">
        <v>116913</v>
      </c>
      <c r="B1041" s="69" t="s">
        <v>2609</v>
      </c>
      <c r="C1041" s="70" t="s">
        <v>290</v>
      </c>
      <c r="D1041" s="70" t="s">
        <v>2610</v>
      </c>
      <c r="E1041" s="72">
        <v>1</v>
      </c>
      <c r="F1041" s="70"/>
      <c r="G1041" s="70" t="str">
        <f>IFERROR(VLOOKUP(A1041,[1]wms_iv_f!$A$1:$E$136,4,FALSE),"")</f>
        <v/>
      </c>
      <c r="H1041" s="95" t="str">
        <f>IFERROR(VLOOKUP(A1041,[2]wms_lc_f!$A$1:$B$156,2,FALSE),"")</f>
        <v/>
      </c>
    </row>
    <row r="1042" spans="1:8">
      <c r="A1042" s="87">
        <v>1030</v>
      </c>
      <c r="B1042" s="69" t="s">
        <v>2609</v>
      </c>
      <c r="C1042" s="70" t="s">
        <v>289</v>
      </c>
      <c r="D1042" s="70" t="s">
        <v>2610</v>
      </c>
      <c r="E1042" s="72">
        <v>1</v>
      </c>
      <c r="F1042" s="70"/>
      <c r="G1042" s="70" t="str">
        <f>IFERROR(VLOOKUP(A1042,[1]wms_iv_f!$A$1:$E$136,4,FALSE),"")</f>
        <v/>
      </c>
      <c r="H1042" s="95" t="str">
        <f>IFERROR(VLOOKUP(A1042,[2]wms_lc_f!$A$1:$B$156,2,FALSE),"")</f>
        <v/>
      </c>
    </row>
    <row r="1043" spans="1:8">
      <c r="A1043" s="87">
        <v>97706</v>
      </c>
      <c r="B1043" s="69" t="s">
        <v>2609</v>
      </c>
      <c r="C1043" s="70" t="s">
        <v>288</v>
      </c>
      <c r="D1043" s="70" t="s">
        <v>2610</v>
      </c>
      <c r="E1043" s="72">
        <v>1</v>
      </c>
      <c r="F1043" s="70"/>
      <c r="G1043" s="70" t="str">
        <f>IFERROR(VLOOKUP(A1043,[1]wms_iv_f!$A$1:$E$136,4,FALSE),"")</f>
        <v/>
      </c>
      <c r="H1043" s="95" t="str">
        <f>IFERROR(VLOOKUP(A1043,[2]wms_lc_f!$A$1:$B$156,2,FALSE),"")</f>
        <v/>
      </c>
    </row>
    <row r="1044" spans="1:8">
      <c r="A1044" s="87">
        <v>12778</v>
      </c>
      <c r="B1044" s="69" t="s">
        <v>2609</v>
      </c>
      <c r="C1044" s="70" t="s">
        <v>287</v>
      </c>
      <c r="D1044" s="70" t="s">
        <v>2610</v>
      </c>
      <c r="E1044" s="72">
        <v>1</v>
      </c>
      <c r="F1044" s="70"/>
      <c r="G1044" s="70" t="str">
        <f>IFERROR(VLOOKUP(A1044,[1]wms_iv_f!$A$1:$E$136,4,FALSE),"")</f>
        <v/>
      </c>
      <c r="H1044" s="95" t="str">
        <f>IFERROR(VLOOKUP(A1044,[2]wms_lc_f!$A$1:$B$156,2,FALSE),"")</f>
        <v/>
      </c>
    </row>
    <row r="1045" spans="1:8">
      <c r="A1045" s="87">
        <v>157430</v>
      </c>
      <c r="B1045" s="69" t="s">
        <v>2609</v>
      </c>
      <c r="C1045" s="70" t="s">
        <v>286</v>
      </c>
      <c r="D1045" s="70" t="s">
        <v>2610</v>
      </c>
      <c r="E1045" s="72">
        <v>1</v>
      </c>
      <c r="F1045" s="70"/>
      <c r="G1045" s="70" t="str">
        <f>IFERROR(VLOOKUP(A1045,[1]wms_iv_f!$A$1:$E$136,4,FALSE),"")</f>
        <v/>
      </c>
      <c r="H1045" s="95" t="str">
        <f>IFERROR(VLOOKUP(A1045,[2]wms_lc_f!$A$1:$B$156,2,FALSE),"")</f>
        <v/>
      </c>
    </row>
    <row r="1046" spans="1:8">
      <c r="A1046" s="87">
        <v>137443</v>
      </c>
      <c r="B1046" s="69" t="s">
        <v>2609</v>
      </c>
      <c r="C1046" s="70" t="s">
        <v>285</v>
      </c>
      <c r="D1046" s="70" t="s">
        <v>2610</v>
      </c>
      <c r="E1046" s="72">
        <v>1</v>
      </c>
      <c r="F1046" s="70"/>
      <c r="G1046" s="70" t="str">
        <f>IFERROR(VLOOKUP(A1046,[1]wms_iv_f!$A$1:$E$136,4,FALSE),"")</f>
        <v/>
      </c>
      <c r="H1046" s="95" t="str">
        <f>IFERROR(VLOOKUP(A1046,[2]wms_lc_f!$A$1:$B$156,2,FALSE),"")</f>
        <v/>
      </c>
    </row>
    <row r="1047" spans="1:8">
      <c r="A1047" s="87">
        <v>79187</v>
      </c>
      <c r="B1047" s="69" t="s">
        <v>2609</v>
      </c>
      <c r="C1047" s="70" t="s">
        <v>183</v>
      </c>
      <c r="D1047" s="70" t="s">
        <v>2610</v>
      </c>
      <c r="E1047" s="72">
        <v>1</v>
      </c>
      <c r="F1047" s="70" t="s">
        <v>2612</v>
      </c>
      <c r="G1047" s="70" t="str">
        <f>IFERROR(VLOOKUP(A1047,[1]wms_iv_f!$A$1:$E$136,4,FALSE),"")</f>
        <v/>
      </c>
      <c r="H1047" s="95" t="str">
        <f>IFERROR(VLOOKUP(A1047,[2]wms_lc_f!$A$1:$B$156,2,FALSE),"")</f>
        <v/>
      </c>
    </row>
    <row r="1048" spans="1:8">
      <c r="A1048" s="78">
        <v>118598</v>
      </c>
      <c r="B1048" s="69" t="s">
        <v>2609</v>
      </c>
      <c r="C1048" s="70" t="s">
        <v>182</v>
      </c>
      <c r="D1048" s="70" t="s">
        <v>2610</v>
      </c>
      <c r="E1048" s="72">
        <v>1</v>
      </c>
      <c r="F1048" s="70" t="s">
        <v>2612</v>
      </c>
      <c r="G1048" s="70" t="str">
        <f>IFERROR(VLOOKUP(A1048,[1]wms_iv_f!$A$1:$E$136,4,FALSE),"")</f>
        <v/>
      </c>
      <c r="H1048" s="95" t="str">
        <f>IFERROR(VLOOKUP(A1048,[2]wms_lc_f!$A$1:$B$156,2,FALSE),"")</f>
        <v/>
      </c>
    </row>
    <row r="1049" spans="1:8">
      <c r="A1049" s="78">
        <v>100263</v>
      </c>
      <c r="B1049" s="69" t="s">
        <v>2609</v>
      </c>
      <c r="C1049" s="70" t="s">
        <v>181</v>
      </c>
      <c r="D1049" s="70" t="s">
        <v>2610</v>
      </c>
      <c r="E1049" s="72">
        <v>1</v>
      </c>
      <c r="F1049" s="70" t="s">
        <v>2612</v>
      </c>
      <c r="G1049" s="70" t="str">
        <f>IFERROR(VLOOKUP(A1049,[1]wms_iv_f!$A$1:$E$136,4,FALSE),"")</f>
        <v/>
      </c>
      <c r="H1049" s="95" t="str">
        <f>IFERROR(VLOOKUP(A1049,[2]wms_lc_f!$A$1:$B$156,2,FALSE),"")</f>
        <v/>
      </c>
    </row>
    <row r="1050" spans="1:8">
      <c r="A1050" s="87">
        <v>100545</v>
      </c>
      <c r="B1050" s="69" t="s">
        <v>2609</v>
      </c>
      <c r="C1050" s="70" t="s">
        <v>180</v>
      </c>
      <c r="D1050" s="70" t="s">
        <v>2610</v>
      </c>
      <c r="E1050" s="72">
        <v>1</v>
      </c>
      <c r="F1050" s="70" t="s">
        <v>2612</v>
      </c>
      <c r="G1050" s="70" t="str">
        <f>IFERROR(VLOOKUP(A1050,[1]wms_iv_f!$A$1:$E$136,4,FALSE),"")</f>
        <v/>
      </c>
      <c r="H1050" s="95" t="str">
        <f>IFERROR(VLOOKUP(A1050,[2]wms_lc_f!$A$1:$B$156,2,FALSE),"")</f>
        <v/>
      </c>
    </row>
    <row r="1051" spans="1:8">
      <c r="A1051" s="78">
        <v>142583</v>
      </c>
      <c r="B1051" s="69" t="s">
        <v>2609</v>
      </c>
      <c r="C1051" s="70" t="s">
        <v>179</v>
      </c>
      <c r="D1051" s="70" t="s">
        <v>2610</v>
      </c>
      <c r="E1051" s="72">
        <v>1</v>
      </c>
      <c r="F1051" s="70" t="s">
        <v>2612</v>
      </c>
      <c r="G1051" s="70" t="str">
        <f>IFERROR(VLOOKUP(A1051,[1]wms_iv_f!$A$1:$E$136,4,FALSE),"")</f>
        <v/>
      </c>
      <c r="H1051" s="95" t="str">
        <f>IFERROR(VLOOKUP(A1051,[2]wms_lc_f!$A$1:$B$156,2,FALSE),"")</f>
        <v/>
      </c>
    </row>
    <row r="1052" spans="1:8">
      <c r="A1052" s="78">
        <v>88353</v>
      </c>
      <c r="B1052" s="69" t="s">
        <v>2609</v>
      </c>
      <c r="C1052" s="70" t="s">
        <v>178</v>
      </c>
      <c r="D1052" s="70" t="s">
        <v>2610</v>
      </c>
      <c r="E1052" s="72">
        <v>1</v>
      </c>
      <c r="F1052" s="70" t="s">
        <v>2612</v>
      </c>
      <c r="G1052" s="70" t="str">
        <f>IFERROR(VLOOKUP(A1052,[1]wms_iv_f!$A$1:$E$136,4,FALSE),"")</f>
        <v/>
      </c>
      <c r="H1052" s="95" t="str">
        <f>IFERROR(VLOOKUP(A1052,[2]wms_lc_f!$A$1:$B$156,2,FALSE),"")</f>
        <v/>
      </c>
    </row>
    <row r="1053" spans="1:8">
      <c r="A1053" s="87">
        <v>138937</v>
      </c>
      <c r="B1053" s="69" t="s">
        <v>2609</v>
      </c>
      <c r="C1053" s="70" t="s">
        <v>76</v>
      </c>
      <c r="D1053" s="70" t="s">
        <v>2610</v>
      </c>
      <c r="E1053" s="72">
        <v>1</v>
      </c>
      <c r="F1053" s="70"/>
      <c r="G1053" s="70" t="str">
        <f>IFERROR(VLOOKUP(A1053,[1]wms_iv_f!$A$1:$E$136,4,FALSE),"")</f>
        <v/>
      </c>
      <c r="H1053" s="95" t="str">
        <f>IFERROR(VLOOKUP(A1053,[2]wms_lc_f!$A$1:$B$156,2,FALSE),"")</f>
        <v/>
      </c>
    </row>
    <row r="1054" spans="1:8">
      <c r="A1054" s="78">
        <v>129688</v>
      </c>
      <c r="B1054" s="69" t="s">
        <v>2609</v>
      </c>
      <c r="C1054" s="70" t="s">
        <v>75</v>
      </c>
      <c r="D1054" s="70" t="s">
        <v>2610</v>
      </c>
      <c r="E1054" s="72">
        <v>1</v>
      </c>
      <c r="F1054" s="70"/>
      <c r="G1054" s="70" t="str">
        <f>IFERROR(VLOOKUP(A1054,[1]wms_iv_f!$A$1:$E$136,4,FALSE),"")</f>
        <v/>
      </c>
      <c r="H1054" s="95" t="str">
        <f>IFERROR(VLOOKUP(A1054,[2]wms_lc_f!$A$1:$B$156,2,FALSE),"")</f>
        <v/>
      </c>
    </row>
    <row r="1055" spans="1:8">
      <c r="A1055" s="78">
        <v>138808</v>
      </c>
      <c r="B1055" s="69" t="s">
        <v>2609</v>
      </c>
      <c r="C1055" s="70" t="s">
        <v>74</v>
      </c>
      <c r="D1055" s="70" t="s">
        <v>2610</v>
      </c>
      <c r="E1055" s="72">
        <v>1</v>
      </c>
      <c r="F1055" s="70"/>
      <c r="G1055" s="70" t="str">
        <f>IFERROR(VLOOKUP(A1055,[1]wms_iv_f!$A$1:$E$136,4,FALSE),"")</f>
        <v/>
      </c>
      <c r="H1055" s="95" t="str">
        <f>IFERROR(VLOOKUP(A1055,[2]wms_lc_f!$A$1:$B$156,2,FALSE),"")</f>
        <v/>
      </c>
    </row>
    <row r="1056" spans="1:8">
      <c r="A1056" s="87">
        <v>156150</v>
      </c>
      <c r="B1056" s="69" t="s">
        <v>2609</v>
      </c>
      <c r="C1056" s="70" t="s">
        <v>73</v>
      </c>
      <c r="D1056" s="70" t="s">
        <v>2610</v>
      </c>
      <c r="E1056" s="72">
        <v>1</v>
      </c>
      <c r="F1056" s="70"/>
      <c r="G1056" s="70" t="str">
        <f>IFERROR(VLOOKUP(A1056,[1]wms_iv_f!$A$1:$E$136,4,FALSE),"")</f>
        <v/>
      </c>
      <c r="H1056" s="95" t="str">
        <f>IFERROR(VLOOKUP(A1056,[2]wms_lc_f!$A$1:$B$156,2,FALSE),"")</f>
        <v/>
      </c>
    </row>
    <row r="1057" spans="1:8">
      <c r="A1057" s="87">
        <v>136871</v>
      </c>
      <c r="B1057" s="69" t="s">
        <v>2609</v>
      </c>
      <c r="C1057" s="70" t="s">
        <v>72</v>
      </c>
      <c r="D1057" s="70" t="s">
        <v>2610</v>
      </c>
      <c r="E1057" s="72">
        <v>1</v>
      </c>
      <c r="F1057" s="70"/>
      <c r="G1057" s="70" t="str">
        <f>IFERROR(VLOOKUP(A1057,[1]wms_iv_f!$A$1:$E$136,4,FALSE),"")</f>
        <v/>
      </c>
      <c r="H1057" s="95" t="str">
        <f>IFERROR(VLOOKUP(A1057,[2]wms_lc_f!$A$1:$B$156,2,FALSE),"")</f>
        <v/>
      </c>
    </row>
    <row r="1058" spans="1:8">
      <c r="A1058" s="87">
        <v>96863</v>
      </c>
      <c r="B1058" s="69" t="s">
        <v>2609</v>
      </c>
      <c r="C1058" s="70" t="s">
        <v>71</v>
      </c>
      <c r="D1058" s="70" t="s">
        <v>2610</v>
      </c>
      <c r="E1058" s="72">
        <v>1</v>
      </c>
      <c r="F1058" s="70"/>
      <c r="G1058" s="70" t="str">
        <f>IFERROR(VLOOKUP(A1058,[1]wms_iv_f!$A$1:$E$136,4,FALSE),"")</f>
        <v/>
      </c>
      <c r="H1058" s="95" t="str">
        <f>IFERROR(VLOOKUP(A1058,[2]wms_lc_f!$A$1:$B$156,2,FALSE),"")</f>
        <v/>
      </c>
    </row>
    <row r="1059" spans="1:8">
      <c r="A1059" s="69">
        <v>5308</v>
      </c>
      <c r="B1059" s="69" t="s">
        <v>2609</v>
      </c>
      <c r="C1059" s="70" t="s">
        <v>284</v>
      </c>
      <c r="D1059" s="70" t="s">
        <v>2610</v>
      </c>
      <c r="E1059" s="72">
        <v>1</v>
      </c>
      <c r="F1059" s="70"/>
      <c r="G1059" s="70" t="str">
        <f>IFERROR(VLOOKUP(A1059,[1]wms_iv_f!$A$1:$E$136,4,FALSE),"")</f>
        <v/>
      </c>
      <c r="H1059" s="95" t="str">
        <f>IFERROR(VLOOKUP(A1059,[2]wms_lc_f!$A$1:$B$156,2,FALSE),"")</f>
        <v/>
      </c>
    </row>
    <row r="1060" spans="1:8">
      <c r="A1060" s="69">
        <v>139657</v>
      </c>
      <c r="B1060" s="69" t="s">
        <v>2609</v>
      </c>
      <c r="C1060" s="70" t="s">
        <v>283</v>
      </c>
      <c r="D1060" s="70" t="s">
        <v>2610</v>
      </c>
      <c r="E1060" s="72">
        <v>1</v>
      </c>
      <c r="F1060" s="70"/>
      <c r="G1060" s="70" t="str">
        <f>IFERROR(VLOOKUP(A1060,[1]wms_iv_f!$A$1:$E$136,4,FALSE),"")</f>
        <v/>
      </c>
      <c r="H1060" s="95" t="str">
        <f>IFERROR(VLOOKUP(A1060,[2]wms_lc_f!$A$1:$B$156,2,FALSE),"")</f>
        <v/>
      </c>
    </row>
    <row r="1061" spans="1:8">
      <c r="A1061" s="69">
        <v>71002</v>
      </c>
      <c r="B1061" s="69" t="s">
        <v>2609</v>
      </c>
      <c r="C1061" s="70" t="s">
        <v>282</v>
      </c>
      <c r="D1061" s="70" t="s">
        <v>2610</v>
      </c>
      <c r="E1061" s="72">
        <v>1</v>
      </c>
      <c r="F1061" s="70"/>
      <c r="G1061" s="70" t="str">
        <f>IFERROR(VLOOKUP(A1061,[1]wms_iv_f!$A$1:$E$136,4,FALSE),"")</f>
        <v/>
      </c>
      <c r="H1061" s="95" t="str">
        <f>IFERROR(VLOOKUP(A1061,[2]wms_lc_f!$A$1:$B$156,2,FALSE),"")</f>
        <v/>
      </c>
    </row>
    <row r="1062" spans="1:8">
      <c r="A1062" s="69">
        <v>31720</v>
      </c>
      <c r="B1062" s="69" t="s">
        <v>2609</v>
      </c>
      <c r="C1062" s="70" t="s">
        <v>281</v>
      </c>
      <c r="D1062" s="70" t="s">
        <v>2610</v>
      </c>
      <c r="E1062" s="72">
        <v>1</v>
      </c>
      <c r="F1062" s="70"/>
      <c r="G1062" s="70" t="str">
        <f>IFERROR(VLOOKUP(A1062,[1]wms_iv_f!$A$1:$E$136,4,FALSE),"")</f>
        <v/>
      </c>
      <c r="H1062" s="95" t="str">
        <f>IFERROR(VLOOKUP(A1062,[2]wms_lc_f!$A$1:$B$156,2,FALSE),"")</f>
        <v/>
      </c>
    </row>
    <row r="1063" spans="1:8">
      <c r="A1063" s="69">
        <v>158112</v>
      </c>
      <c r="B1063" s="69" t="s">
        <v>2609</v>
      </c>
      <c r="C1063" s="70" t="s">
        <v>280</v>
      </c>
      <c r="D1063" s="70" t="s">
        <v>2610</v>
      </c>
      <c r="E1063" s="72">
        <v>1</v>
      </c>
      <c r="F1063" s="70"/>
      <c r="G1063" s="70" t="str">
        <f>IFERROR(VLOOKUP(A1063,[1]wms_iv_f!$A$1:$E$136,4,FALSE),"")</f>
        <v/>
      </c>
      <c r="H1063" s="95" t="str">
        <f>IFERROR(VLOOKUP(A1063,[2]wms_lc_f!$A$1:$B$156,2,FALSE),"")</f>
        <v/>
      </c>
    </row>
    <row r="1064" spans="1:8">
      <c r="A1064" s="69">
        <v>698</v>
      </c>
      <c r="B1064" s="69" t="s">
        <v>2609</v>
      </c>
      <c r="C1064" s="70" t="s">
        <v>279</v>
      </c>
      <c r="D1064" s="70" t="s">
        <v>2610</v>
      </c>
      <c r="E1064" s="72">
        <v>1</v>
      </c>
      <c r="F1064" s="70"/>
      <c r="G1064" s="70" t="str">
        <f>IFERROR(VLOOKUP(A1064,[1]wms_iv_f!$A$1:$E$136,4,FALSE),"")</f>
        <v/>
      </c>
      <c r="H1064" s="95" t="str">
        <f>IFERROR(VLOOKUP(A1064,[2]wms_lc_f!$A$1:$B$156,2,FALSE),"")</f>
        <v/>
      </c>
    </row>
    <row r="1065" spans="1:8">
      <c r="A1065" s="69">
        <v>136872</v>
      </c>
      <c r="B1065" s="69" t="s">
        <v>2609</v>
      </c>
      <c r="C1065" s="70" t="s">
        <v>177</v>
      </c>
      <c r="D1065" s="70" t="s">
        <v>2610</v>
      </c>
      <c r="E1065" s="72">
        <v>1</v>
      </c>
      <c r="F1065" s="70" t="s">
        <v>2612</v>
      </c>
      <c r="G1065" s="70" t="str">
        <f>IFERROR(VLOOKUP(A1065,[1]wms_iv_f!$A$1:$E$136,4,FALSE),"")</f>
        <v/>
      </c>
      <c r="H1065" s="95" t="str">
        <f>IFERROR(VLOOKUP(A1065,[2]wms_lc_f!$A$1:$B$156,2,FALSE),"")</f>
        <v/>
      </c>
    </row>
    <row r="1066" spans="1:8">
      <c r="A1066" s="69">
        <v>134570</v>
      </c>
      <c r="B1066" s="69" t="s">
        <v>2609</v>
      </c>
      <c r="C1066" s="70" t="s">
        <v>176</v>
      </c>
      <c r="D1066" s="70" t="s">
        <v>2610</v>
      </c>
      <c r="E1066" s="72">
        <v>1</v>
      </c>
      <c r="F1066" s="70" t="s">
        <v>2612</v>
      </c>
      <c r="G1066" s="70" t="str">
        <f>IFERROR(VLOOKUP(A1066,[1]wms_iv_f!$A$1:$E$136,4,FALSE),"")</f>
        <v/>
      </c>
      <c r="H1066" s="95" t="str">
        <f>IFERROR(VLOOKUP(A1066,[2]wms_lc_f!$A$1:$B$156,2,FALSE),"")</f>
        <v/>
      </c>
    </row>
    <row r="1067" spans="1:8">
      <c r="A1067" s="69">
        <v>104493</v>
      </c>
      <c r="B1067" s="69" t="s">
        <v>2609</v>
      </c>
      <c r="C1067" s="70" t="s">
        <v>175</v>
      </c>
      <c r="D1067" s="70" t="s">
        <v>2610</v>
      </c>
      <c r="E1067" s="72">
        <v>1</v>
      </c>
      <c r="F1067" s="70" t="s">
        <v>2612</v>
      </c>
      <c r="G1067" s="70" t="str">
        <f>IFERROR(VLOOKUP(A1067,[1]wms_iv_f!$A$1:$E$136,4,FALSE),"")</f>
        <v/>
      </c>
      <c r="H1067" s="95" t="str">
        <f>IFERROR(VLOOKUP(A1067,[2]wms_lc_f!$A$1:$B$156,2,FALSE),"")</f>
        <v/>
      </c>
    </row>
    <row r="1068" spans="1:8">
      <c r="A1068" s="69">
        <v>124941</v>
      </c>
      <c r="B1068" s="69" t="s">
        <v>2609</v>
      </c>
      <c r="C1068" s="70" t="s">
        <v>174</v>
      </c>
      <c r="D1068" s="70" t="s">
        <v>2610</v>
      </c>
      <c r="E1068" s="72">
        <v>1</v>
      </c>
      <c r="F1068" s="70" t="s">
        <v>2612</v>
      </c>
      <c r="G1068" s="70" t="str">
        <f>IFERROR(VLOOKUP(A1068,[1]wms_iv_f!$A$1:$E$136,4,FALSE),"")</f>
        <v/>
      </c>
      <c r="H1068" s="95" t="str">
        <f>IFERROR(VLOOKUP(A1068,[2]wms_lc_f!$A$1:$B$156,2,FALSE),"")</f>
        <v/>
      </c>
    </row>
    <row r="1069" spans="1:8">
      <c r="A1069" s="69">
        <v>110603</v>
      </c>
      <c r="B1069" s="69" t="s">
        <v>2609</v>
      </c>
      <c r="C1069" s="70" t="s">
        <v>173</v>
      </c>
      <c r="D1069" s="70" t="s">
        <v>2610</v>
      </c>
      <c r="E1069" s="72">
        <v>1</v>
      </c>
      <c r="F1069" s="70" t="s">
        <v>2612</v>
      </c>
      <c r="G1069" s="70" t="str">
        <f>IFERROR(VLOOKUP(A1069,[1]wms_iv_f!$A$1:$E$136,4,FALSE),"")</f>
        <v/>
      </c>
      <c r="H1069" s="95" t="str">
        <f>IFERROR(VLOOKUP(A1069,[2]wms_lc_f!$A$1:$B$156,2,FALSE),"")</f>
        <v/>
      </c>
    </row>
    <row r="1070" spans="1:8">
      <c r="A1070" s="69">
        <v>100613</v>
      </c>
      <c r="B1070" s="69" t="s">
        <v>2609</v>
      </c>
      <c r="C1070" s="70" t="s">
        <v>172</v>
      </c>
      <c r="D1070" s="70" t="s">
        <v>2610</v>
      </c>
      <c r="E1070" s="72">
        <v>1</v>
      </c>
      <c r="F1070" s="70" t="s">
        <v>2612</v>
      </c>
      <c r="G1070" s="70" t="str">
        <f>IFERROR(VLOOKUP(A1070,[1]wms_iv_f!$A$1:$E$136,4,FALSE),"")</f>
        <v/>
      </c>
      <c r="H1070" s="95" t="str">
        <f>IFERROR(VLOOKUP(A1070,[2]wms_lc_f!$A$1:$B$156,2,FALSE),"")</f>
        <v/>
      </c>
    </row>
    <row r="1071" spans="1:8">
      <c r="A1071" s="69">
        <v>16797</v>
      </c>
      <c r="B1071" s="69" t="s">
        <v>2609</v>
      </c>
      <c r="C1071" s="70" t="s">
        <v>70</v>
      </c>
      <c r="D1071" s="70" t="s">
        <v>2610</v>
      </c>
      <c r="E1071" s="72">
        <v>1</v>
      </c>
      <c r="F1071" s="70"/>
      <c r="G1071" s="70" t="str">
        <f>IFERROR(VLOOKUP(A1071,[1]wms_iv_f!$A$1:$E$136,4,FALSE),"")</f>
        <v/>
      </c>
      <c r="H1071" s="95" t="str">
        <f>IFERROR(VLOOKUP(A1071,[2]wms_lc_f!$A$1:$B$156,2,FALSE),"")</f>
        <v/>
      </c>
    </row>
    <row r="1072" spans="1:8">
      <c r="A1072" s="69">
        <v>126374</v>
      </c>
      <c r="B1072" s="69" t="s">
        <v>2609</v>
      </c>
      <c r="C1072" s="70" t="s">
        <v>69</v>
      </c>
      <c r="D1072" s="70" t="s">
        <v>2610</v>
      </c>
      <c r="E1072" s="72">
        <v>1</v>
      </c>
      <c r="F1072" s="70"/>
      <c r="G1072" s="70" t="str">
        <f>IFERROR(VLOOKUP(A1072,[1]wms_iv_f!$A$1:$E$136,4,FALSE),"")</f>
        <v/>
      </c>
      <c r="H1072" s="95" t="str">
        <f>IFERROR(VLOOKUP(A1072,[2]wms_lc_f!$A$1:$B$156,2,FALSE),"")</f>
        <v/>
      </c>
    </row>
    <row r="1073" spans="1:8">
      <c r="A1073" s="69">
        <v>84788</v>
      </c>
      <c r="B1073" s="69" t="s">
        <v>2609</v>
      </c>
      <c r="C1073" s="70" t="s">
        <v>68</v>
      </c>
      <c r="D1073" s="70" t="s">
        <v>2610</v>
      </c>
      <c r="E1073" s="72">
        <v>1</v>
      </c>
      <c r="F1073" s="70"/>
      <c r="G1073" s="70" t="str">
        <f>IFERROR(VLOOKUP(A1073,[1]wms_iv_f!$A$1:$E$136,4,FALSE),"")</f>
        <v/>
      </c>
      <c r="H1073" s="95" t="str">
        <f>IFERROR(VLOOKUP(A1073,[2]wms_lc_f!$A$1:$B$156,2,FALSE),"")</f>
        <v/>
      </c>
    </row>
    <row r="1074" spans="1:8">
      <c r="A1074" s="69">
        <v>136031</v>
      </c>
      <c r="B1074" s="69" t="s">
        <v>2609</v>
      </c>
      <c r="C1074" s="70" t="s">
        <v>67</v>
      </c>
      <c r="D1074" s="70" t="s">
        <v>2610</v>
      </c>
      <c r="E1074" s="72">
        <v>1</v>
      </c>
      <c r="F1074" s="70"/>
      <c r="G1074" s="70" t="str">
        <f>IFERROR(VLOOKUP(A1074,[1]wms_iv_f!$A$1:$E$136,4,FALSE),"")</f>
        <v/>
      </c>
      <c r="H1074" s="95" t="str">
        <f>IFERROR(VLOOKUP(A1074,[2]wms_lc_f!$A$1:$B$156,2,FALSE),"")</f>
        <v/>
      </c>
    </row>
    <row r="1075" spans="1:8">
      <c r="A1075" s="69">
        <v>156644</v>
      </c>
      <c r="B1075" s="69" t="s">
        <v>2609</v>
      </c>
      <c r="C1075" s="70" t="s">
        <v>66</v>
      </c>
      <c r="D1075" s="70" t="s">
        <v>2610</v>
      </c>
      <c r="E1075" s="72">
        <v>1</v>
      </c>
      <c r="F1075" s="70"/>
      <c r="G1075" s="70" t="str">
        <f>IFERROR(VLOOKUP(A1075,[1]wms_iv_f!$A$1:$E$136,4,FALSE),"")</f>
        <v/>
      </c>
      <c r="H1075" s="95" t="str">
        <f>IFERROR(VLOOKUP(A1075,[2]wms_lc_f!$A$1:$B$156,2,FALSE),"")</f>
        <v/>
      </c>
    </row>
    <row r="1076" spans="1:8">
      <c r="A1076" s="69">
        <v>124785</v>
      </c>
      <c r="B1076" s="69" t="s">
        <v>2609</v>
      </c>
      <c r="C1076" s="70" t="s">
        <v>65</v>
      </c>
      <c r="D1076" s="70" t="s">
        <v>2610</v>
      </c>
      <c r="E1076" s="72">
        <v>1</v>
      </c>
      <c r="F1076" s="70"/>
      <c r="G1076" s="70" t="str">
        <f>IFERROR(VLOOKUP(A1076,[1]wms_iv_f!$A$1:$E$136,4,FALSE),"")</f>
        <v/>
      </c>
      <c r="H1076" s="95" t="str">
        <f>IFERROR(VLOOKUP(A1076,[2]wms_lc_f!$A$1:$B$156,2,FALSE),"")</f>
        <v/>
      </c>
    </row>
    <row r="1077" spans="1:8">
      <c r="A1077" s="69">
        <v>78499</v>
      </c>
      <c r="B1077" s="69" t="s">
        <v>2609</v>
      </c>
      <c r="C1077" s="70" t="s">
        <v>278</v>
      </c>
      <c r="D1077" s="70" t="s">
        <v>2610</v>
      </c>
      <c r="E1077" s="72">
        <v>1</v>
      </c>
      <c r="F1077" s="70"/>
      <c r="G1077" s="70" t="str">
        <f>IFERROR(VLOOKUP(A1077,[1]wms_iv_f!$A$1:$E$136,4,FALSE),"")</f>
        <v/>
      </c>
      <c r="H1077" s="95" t="str">
        <f>IFERROR(VLOOKUP(A1077,[2]wms_lc_f!$A$1:$B$156,2,FALSE),"")</f>
        <v/>
      </c>
    </row>
    <row r="1078" spans="1:8">
      <c r="A1078" s="69">
        <v>77273</v>
      </c>
      <c r="B1078" s="69" t="s">
        <v>2609</v>
      </c>
      <c r="C1078" s="70" t="s">
        <v>277</v>
      </c>
      <c r="D1078" s="70" t="s">
        <v>2610</v>
      </c>
      <c r="E1078" s="72">
        <v>1</v>
      </c>
      <c r="F1078" s="70"/>
      <c r="G1078" s="70" t="str">
        <f>IFERROR(VLOOKUP(A1078,[1]wms_iv_f!$A$1:$E$136,4,FALSE),"")</f>
        <v/>
      </c>
      <c r="H1078" s="95" t="str">
        <f>IFERROR(VLOOKUP(A1078,[2]wms_lc_f!$A$1:$B$156,2,FALSE),"")</f>
        <v/>
      </c>
    </row>
    <row r="1079" spans="1:8">
      <c r="A1079" s="69">
        <v>77274</v>
      </c>
      <c r="B1079" s="69" t="s">
        <v>2609</v>
      </c>
      <c r="C1079" s="70" t="s">
        <v>276</v>
      </c>
      <c r="D1079" s="70" t="s">
        <v>2610</v>
      </c>
      <c r="E1079" s="72">
        <v>1</v>
      </c>
      <c r="F1079" s="70"/>
      <c r="G1079" s="70" t="str">
        <f>IFERROR(VLOOKUP(A1079,[1]wms_iv_f!$A$1:$E$136,4,FALSE),"")</f>
        <v/>
      </c>
      <c r="H1079" s="95" t="str">
        <f>IFERROR(VLOOKUP(A1079,[2]wms_lc_f!$A$1:$B$156,2,FALSE),"")</f>
        <v/>
      </c>
    </row>
    <row r="1080" spans="1:8">
      <c r="A1080" s="75">
        <v>138662</v>
      </c>
      <c r="B1080" s="69" t="s">
        <v>2609</v>
      </c>
      <c r="C1080" s="76" t="s">
        <v>275</v>
      </c>
      <c r="D1080" s="76" t="s">
        <v>2610</v>
      </c>
      <c r="E1080" s="72">
        <v>1</v>
      </c>
      <c r="F1080" s="70"/>
      <c r="G1080" s="70" t="str">
        <f>IFERROR(VLOOKUP(A1080,[1]wms_iv_f!$A$1:$E$136,4,FALSE),"")</f>
        <v/>
      </c>
      <c r="H1080" s="95" t="str">
        <f>IFERROR(VLOOKUP(A1080,[2]wms_lc_f!$A$1:$B$156,2,FALSE),"")</f>
        <v/>
      </c>
    </row>
    <row r="1081" spans="1:8">
      <c r="A1081" s="69">
        <v>49170</v>
      </c>
      <c r="B1081" s="69" t="s">
        <v>2609</v>
      </c>
      <c r="C1081" s="70" t="s">
        <v>274</v>
      </c>
      <c r="D1081" s="70" t="s">
        <v>2610</v>
      </c>
      <c r="E1081" s="72">
        <v>1</v>
      </c>
      <c r="F1081" s="70"/>
      <c r="G1081" s="70" t="str">
        <f>IFERROR(VLOOKUP(A1081,[1]wms_iv_f!$A$1:$E$136,4,FALSE),"")</f>
        <v/>
      </c>
      <c r="H1081" s="95" t="str">
        <f>IFERROR(VLOOKUP(A1081,[2]wms_lc_f!$A$1:$B$156,2,FALSE),"")</f>
        <v/>
      </c>
    </row>
    <row r="1082" spans="1:8">
      <c r="A1082" s="69">
        <v>101017</v>
      </c>
      <c r="B1082" s="69" t="s">
        <v>2609</v>
      </c>
      <c r="C1082" s="70" t="s">
        <v>273</v>
      </c>
      <c r="D1082" s="70" t="s">
        <v>2610</v>
      </c>
      <c r="E1082" s="72">
        <v>1</v>
      </c>
      <c r="F1082" s="70"/>
      <c r="G1082" s="70" t="str">
        <f>IFERROR(VLOOKUP(A1082,[1]wms_iv_f!$A$1:$E$136,4,FALSE),"")</f>
        <v/>
      </c>
      <c r="H1082" s="95" t="str">
        <f>IFERROR(VLOOKUP(A1082,[2]wms_lc_f!$A$1:$B$156,2,FALSE),"")</f>
        <v/>
      </c>
    </row>
    <row r="1083" spans="1:8">
      <c r="A1083" s="69">
        <v>48850</v>
      </c>
      <c r="B1083" s="69" t="s">
        <v>2609</v>
      </c>
      <c r="C1083" s="70" t="s">
        <v>171</v>
      </c>
      <c r="D1083" s="70" t="s">
        <v>2610</v>
      </c>
      <c r="E1083" s="72">
        <v>1</v>
      </c>
      <c r="F1083" s="70"/>
      <c r="G1083" s="70" t="str">
        <f>IFERROR(VLOOKUP(A1083,[1]wms_iv_f!$A$1:$E$136,4,FALSE),"")</f>
        <v/>
      </c>
      <c r="H1083" s="95" t="str">
        <f>IFERROR(VLOOKUP(A1083,[2]wms_lc_f!$A$1:$B$156,2,FALSE),"")</f>
        <v/>
      </c>
    </row>
    <row r="1084" spans="1:8">
      <c r="A1084" s="69">
        <v>142658</v>
      </c>
      <c r="B1084" s="69" t="s">
        <v>2609</v>
      </c>
      <c r="C1084" s="70" t="s">
        <v>170</v>
      </c>
      <c r="D1084" s="70" t="s">
        <v>2610</v>
      </c>
      <c r="E1084" s="72">
        <v>1</v>
      </c>
      <c r="F1084" s="70"/>
      <c r="G1084" s="70" t="str">
        <f>IFERROR(VLOOKUP(A1084,[1]wms_iv_f!$A$1:$E$136,4,FALSE),"")</f>
        <v/>
      </c>
      <c r="H1084" s="95" t="str">
        <f>IFERROR(VLOOKUP(A1084,[2]wms_lc_f!$A$1:$B$156,2,FALSE),"")</f>
        <v/>
      </c>
    </row>
    <row r="1085" spans="1:8">
      <c r="A1085" s="69">
        <v>392</v>
      </c>
      <c r="B1085" s="69" t="s">
        <v>2609</v>
      </c>
      <c r="C1085" s="70" t="s">
        <v>169</v>
      </c>
      <c r="D1085" s="70" t="s">
        <v>2610</v>
      </c>
      <c r="E1085" s="72">
        <v>1</v>
      </c>
      <c r="F1085" s="70"/>
      <c r="G1085" s="70" t="str">
        <f>IFERROR(VLOOKUP(A1085,[1]wms_iv_f!$A$1:$E$136,4,FALSE),"")</f>
        <v/>
      </c>
      <c r="H1085" s="95" t="str">
        <f>IFERROR(VLOOKUP(A1085,[2]wms_lc_f!$A$1:$B$156,2,FALSE),"")</f>
        <v/>
      </c>
    </row>
    <row r="1086" spans="1:8">
      <c r="A1086" s="69">
        <v>16070</v>
      </c>
      <c r="B1086" s="69" t="s">
        <v>2609</v>
      </c>
      <c r="C1086" s="70" t="s">
        <v>168</v>
      </c>
      <c r="D1086" s="70" t="s">
        <v>2610</v>
      </c>
      <c r="E1086" s="72">
        <v>1</v>
      </c>
      <c r="F1086" s="70"/>
      <c r="G1086" s="70" t="str">
        <f>IFERROR(VLOOKUP(A1086,[1]wms_iv_f!$A$1:$E$136,4,FALSE),"")</f>
        <v/>
      </c>
      <c r="H1086" s="95" t="str">
        <f>IFERROR(VLOOKUP(A1086,[2]wms_lc_f!$A$1:$B$156,2,FALSE),"")</f>
        <v/>
      </c>
    </row>
    <row r="1087" spans="1:8">
      <c r="A1087" s="69">
        <v>131413</v>
      </c>
      <c r="B1087" s="69" t="s">
        <v>2609</v>
      </c>
      <c r="C1087" s="70" t="s">
        <v>167</v>
      </c>
      <c r="D1087" s="70" t="s">
        <v>2610</v>
      </c>
      <c r="E1087" s="72">
        <v>1</v>
      </c>
      <c r="F1087" s="70"/>
      <c r="G1087" s="70" t="str">
        <f>IFERROR(VLOOKUP(A1087,[1]wms_iv_f!$A$1:$E$136,4,FALSE),"")</f>
        <v/>
      </c>
      <c r="H1087" s="95" t="str">
        <f>IFERROR(VLOOKUP(A1087,[2]wms_lc_f!$A$1:$B$156,2,FALSE),"")</f>
        <v/>
      </c>
    </row>
    <row r="1088" spans="1:8">
      <c r="A1088" s="69">
        <v>1833</v>
      </c>
      <c r="B1088" s="69" t="s">
        <v>2609</v>
      </c>
      <c r="C1088" s="70" t="s">
        <v>166</v>
      </c>
      <c r="D1088" s="70" t="s">
        <v>2610</v>
      </c>
      <c r="E1088" s="72">
        <v>1</v>
      </c>
      <c r="F1088" s="70"/>
      <c r="G1088" s="70" t="str">
        <f>IFERROR(VLOOKUP(A1088,[1]wms_iv_f!$A$1:$E$136,4,FALSE),"")</f>
        <v/>
      </c>
      <c r="H1088" s="95" t="str">
        <f>IFERROR(VLOOKUP(A1088,[2]wms_lc_f!$A$1:$B$156,2,FALSE),"")</f>
        <v/>
      </c>
    </row>
    <row r="1089" spans="1:8">
      <c r="A1089" s="69">
        <v>158190</v>
      </c>
      <c r="B1089" s="69" t="s">
        <v>2609</v>
      </c>
      <c r="C1089" s="70" t="s">
        <v>64</v>
      </c>
      <c r="D1089" s="70" t="s">
        <v>2610</v>
      </c>
      <c r="E1089" s="72">
        <v>1</v>
      </c>
      <c r="F1089" s="70"/>
      <c r="G1089" s="70" t="str">
        <f>IFERROR(VLOOKUP(A1089,[1]wms_iv_f!$A$1:$E$136,4,FALSE),"")</f>
        <v/>
      </c>
      <c r="H1089" s="95" t="str">
        <f>IFERROR(VLOOKUP(A1089,[2]wms_lc_f!$A$1:$B$156,2,FALSE),"")</f>
        <v/>
      </c>
    </row>
    <row r="1090" spans="1:8">
      <c r="A1090" s="69">
        <v>82526</v>
      </c>
      <c r="B1090" s="69" t="s">
        <v>2609</v>
      </c>
      <c r="C1090" s="70" t="s">
        <v>63</v>
      </c>
      <c r="D1090" s="70" t="s">
        <v>2610</v>
      </c>
      <c r="E1090" s="72">
        <v>1</v>
      </c>
      <c r="F1090" s="70"/>
      <c r="G1090" s="70" t="str">
        <f>IFERROR(VLOOKUP(A1090,[1]wms_iv_f!$A$1:$E$136,4,FALSE),"")</f>
        <v/>
      </c>
      <c r="H1090" s="95" t="str">
        <f>IFERROR(VLOOKUP(A1090,[2]wms_lc_f!$A$1:$B$156,2,FALSE),"")</f>
        <v/>
      </c>
    </row>
    <row r="1091" spans="1:8">
      <c r="A1091" s="71">
        <v>82835</v>
      </c>
      <c r="B1091" s="69" t="s">
        <v>2609</v>
      </c>
      <c r="C1091" s="70" t="s">
        <v>62</v>
      </c>
      <c r="D1091" s="70" t="s">
        <v>2610</v>
      </c>
      <c r="E1091" s="72">
        <v>1</v>
      </c>
      <c r="F1091" s="70"/>
      <c r="G1091" s="70" t="str">
        <f>IFERROR(VLOOKUP(A1091,[1]wms_iv_f!$A$1:$E$136,4,FALSE),"")</f>
        <v/>
      </c>
      <c r="H1091" s="95" t="str">
        <f>IFERROR(VLOOKUP(A1091,[2]wms_lc_f!$A$1:$B$156,2,FALSE),"")</f>
        <v/>
      </c>
    </row>
    <row r="1092" spans="1:8">
      <c r="A1092" s="71">
        <v>155889</v>
      </c>
      <c r="B1092" s="69" t="s">
        <v>2609</v>
      </c>
      <c r="C1092" s="70" t="s">
        <v>61</v>
      </c>
      <c r="D1092" s="70" t="s">
        <v>2610</v>
      </c>
      <c r="E1092" s="72">
        <v>1</v>
      </c>
      <c r="F1092" s="70"/>
      <c r="G1092" s="70" t="str">
        <f>IFERROR(VLOOKUP(A1092,[1]wms_iv_f!$A$1:$E$136,4,FALSE),"")</f>
        <v/>
      </c>
      <c r="H1092" s="95" t="str">
        <f>IFERROR(VLOOKUP(A1092,[2]wms_lc_f!$A$1:$B$156,2,FALSE),"")</f>
        <v/>
      </c>
    </row>
    <row r="1093" spans="1:8">
      <c r="A1093" s="71">
        <v>62935</v>
      </c>
      <c r="B1093" s="69" t="s">
        <v>2609</v>
      </c>
      <c r="C1093" s="70" t="s">
        <v>60</v>
      </c>
      <c r="D1093" s="70" t="s">
        <v>2610</v>
      </c>
      <c r="E1093" s="72">
        <v>1</v>
      </c>
      <c r="F1093" s="70"/>
      <c r="G1093" s="70" t="str">
        <f>IFERROR(VLOOKUP(A1093,[1]wms_iv_f!$A$1:$E$136,4,FALSE),"")</f>
        <v/>
      </c>
      <c r="H1093" s="95" t="str">
        <f>IFERROR(VLOOKUP(A1093,[2]wms_lc_f!$A$1:$B$156,2,FALSE),"")</f>
        <v/>
      </c>
    </row>
    <row r="1094" spans="1:8">
      <c r="A1094" s="71">
        <v>37831</v>
      </c>
      <c r="B1094" s="69" t="s">
        <v>2609</v>
      </c>
      <c r="C1094" s="70" t="s">
        <v>59</v>
      </c>
      <c r="D1094" s="70" t="s">
        <v>2610</v>
      </c>
      <c r="E1094" s="72">
        <v>1</v>
      </c>
      <c r="F1094" s="70"/>
      <c r="G1094" s="70" t="str">
        <f>IFERROR(VLOOKUP(A1094,[1]wms_iv_f!$A$1:$E$136,4,FALSE),"")</f>
        <v/>
      </c>
      <c r="H1094" s="95" t="str">
        <f>IFERROR(VLOOKUP(A1094,[2]wms_lc_f!$A$1:$B$156,2,FALSE),"")</f>
        <v/>
      </c>
    </row>
    <row r="1095" spans="1:8">
      <c r="A1095" s="71">
        <v>142421</v>
      </c>
      <c r="B1095" s="69" t="s">
        <v>2609</v>
      </c>
      <c r="C1095" s="70" t="s">
        <v>272</v>
      </c>
      <c r="D1095" s="70" t="s">
        <v>2610</v>
      </c>
      <c r="E1095" s="72">
        <v>1</v>
      </c>
      <c r="F1095" s="70"/>
      <c r="G1095" s="70" t="str">
        <f>IFERROR(VLOOKUP(A1095,[1]wms_iv_f!$A$1:$E$136,4,FALSE),"")</f>
        <v/>
      </c>
      <c r="H1095" s="95" t="str">
        <f>IFERROR(VLOOKUP(A1095,[2]wms_lc_f!$A$1:$B$156,2,FALSE),"")</f>
        <v/>
      </c>
    </row>
    <row r="1096" spans="1:8">
      <c r="A1096" s="71">
        <v>113391</v>
      </c>
      <c r="B1096" s="69" t="s">
        <v>2609</v>
      </c>
      <c r="C1096" s="70" t="s">
        <v>271</v>
      </c>
      <c r="D1096" s="70" t="s">
        <v>2610</v>
      </c>
      <c r="E1096" s="72">
        <v>1</v>
      </c>
      <c r="F1096" s="70"/>
      <c r="G1096" s="70" t="str">
        <f>IFERROR(VLOOKUP(A1096,[1]wms_iv_f!$A$1:$E$136,4,FALSE),"")</f>
        <v/>
      </c>
      <c r="H1096" s="95" t="str">
        <f>IFERROR(VLOOKUP(A1096,[2]wms_lc_f!$A$1:$B$156,2,FALSE),"")</f>
        <v/>
      </c>
    </row>
    <row r="1097" spans="1:8">
      <c r="A1097" s="71">
        <v>133739</v>
      </c>
      <c r="B1097" s="69" t="s">
        <v>2609</v>
      </c>
      <c r="C1097" s="70" t="s">
        <v>270</v>
      </c>
      <c r="D1097" s="70" t="s">
        <v>2610</v>
      </c>
      <c r="E1097" s="72">
        <v>1</v>
      </c>
      <c r="F1097" s="70"/>
      <c r="G1097" s="70" t="str">
        <f>IFERROR(VLOOKUP(A1097,[1]wms_iv_f!$A$1:$E$136,4,FALSE),"")</f>
        <v/>
      </c>
      <c r="H1097" s="95" t="str">
        <f>IFERROR(VLOOKUP(A1097,[2]wms_lc_f!$A$1:$B$156,2,FALSE),"")</f>
        <v/>
      </c>
    </row>
    <row r="1098" spans="1:8">
      <c r="A1098" s="71">
        <v>138854</v>
      </c>
      <c r="B1098" s="69" t="s">
        <v>2609</v>
      </c>
      <c r="C1098" s="70" t="s">
        <v>269</v>
      </c>
      <c r="D1098" s="70" t="s">
        <v>2610</v>
      </c>
      <c r="E1098" s="72">
        <v>1</v>
      </c>
      <c r="F1098" s="70"/>
      <c r="G1098" s="70" t="str">
        <f>IFERROR(VLOOKUP(A1098,[1]wms_iv_f!$A$1:$E$136,4,FALSE),"")</f>
        <v/>
      </c>
      <c r="H1098" s="95" t="str">
        <f>IFERROR(VLOOKUP(A1098,[2]wms_lc_f!$A$1:$B$156,2,FALSE),"")</f>
        <v/>
      </c>
    </row>
    <row r="1099" spans="1:8">
      <c r="A1099" s="71">
        <v>126197</v>
      </c>
      <c r="B1099" s="69" t="s">
        <v>2609</v>
      </c>
      <c r="C1099" s="70" t="s">
        <v>268</v>
      </c>
      <c r="D1099" s="70" t="s">
        <v>2610</v>
      </c>
      <c r="E1099" s="72">
        <v>1</v>
      </c>
      <c r="F1099" s="70"/>
      <c r="G1099" s="70" t="str">
        <f>IFERROR(VLOOKUP(A1099,[1]wms_iv_f!$A$1:$E$136,4,FALSE),"")</f>
        <v/>
      </c>
      <c r="H1099" s="95" t="str">
        <f>IFERROR(VLOOKUP(A1099,[2]wms_lc_f!$A$1:$B$156,2,FALSE),"")</f>
        <v/>
      </c>
    </row>
    <row r="1100" spans="1:8">
      <c r="A1100" s="71">
        <v>86760</v>
      </c>
      <c r="B1100" s="69" t="s">
        <v>2609</v>
      </c>
      <c r="C1100" s="70" t="s">
        <v>267</v>
      </c>
      <c r="D1100" s="70" t="s">
        <v>2610</v>
      </c>
      <c r="E1100" s="72">
        <v>1</v>
      </c>
      <c r="F1100" s="70"/>
      <c r="G1100" s="70" t="str">
        <f>IFERROR(VLOOKUP(A1100,[1]wms_iv_f!$A$1:$E$136,4,FALSE),"")</f>
        <v/>
      </c>
      <c r="H1100" s="95" t="str">
        <f>IFERROR(VLOOKUP(A1100,[2]wms_lc_f!$A$1:$B$156,2,FALSE),"")</f>
        <v/>
      </c>
    </row>
    <row r="1101" spans="1:8">
      <c r="A1101" s="71">
        <v>100615</v>
      </c>
      <c r="B1101" s="69" t="s">
        <v>2609</v>
      </c>
      <c r="C1101" s="70" t="s">
        <v>165</v>
      </c>
      <c r="D1101" s="70" t="s">
        <v>2610</v>
      </c>
      <c r="E1101" s="72">
        <v>1</v>
      </c>
      <c r="F1101" s="70"/>
      <c r="G1101" s="70" t="str">
        <f>IFERROR(VLOOKUP(A1101,[1]wms_iv_f!$A$1:$E$136,4,FALSE),"")</f>
        <v/>
      </c>
      <c r="H1101" s="95" t="str">
        <f>IFERROR(VLOOKUP(A1101,[2]wms_lc_f!$A$1:$B$156,2,FALSE),"")</f>
        <v/>
      </c>
    </row>
    <row r="1102" spans="1:8">
      <c r="A1102" s="71">
        <v>100652</v>
      </c>
      <c r="B1102" s="69" t="s">
        <v>2609</v>
      </c>
      <c r="C1102" s="70" t="s">
        <v>164</v>
      </c>
      <c r="D1102" s="70" t="s">
        <v>2610</v>
      </c>
      <c r="E1102" s="72">
        <v>1</v>
      </c>
      <c r="F1102" s="70"/>
      <c r="G1102" s="70" t="str">
        <f>IFERROR(VLOOKUP(A1102,[1]wms_iv_f!$A$1:$E$136,4,FALSE),"")</f>
        <v/>
      </c>
      <c r="H1102" s="95" t="str">
        <f>IFERROR(VLOOKUP(A1102,[2]wms_lc_f!$A$1:$B$156,2,FALSE),"")</f>
        <v/>
      </c>
    </row>
    <row r="1103" spans="1:8">
      <c r="A1103" s="71">
        <v>113966</v>
      </c>
      <c r="B1103" s="69" t="s">
        <v>2609</v>
      </c>
      <c r="C1103" s="70" t="s">
        <v>163</v>
      </c>
      <c r="D1103" s="70" t="s">
        <v>2610</v>
      </c>
      <c r="E1103" s="72">
        <v>1</v>
      </c>
      <c r="F1103" s="70"/>
      <c r="G1103" s="70" t="str">
        <f>IFERROR(VLOOKUP(A1103,[1]wms_iv_f!$A$1:$E$136,4,FALSE),"")</f>
        <v/>
      </c>
      <c r="H1103" s="95" t="str">
        <f>IFERROR(VLOOKUP(A1103,[2]wms_lc_f!$A$1:$B$156,2,FALSE),"")</f>
        <v/>
      </c>
    </row>
    <row r="1104" spans="1:8">
      <c r="A1104" s="71">
        <v>59643</v>
      </c>
      <c r="B1104" s="69" t="s">
        <v>2609</v>
      </c>
      <c r="C1104" s="70" t="s">
        <v>162</v>
      </c>
      <c r="D1104" s="70" t="s">
        <v>2610</v>
      </c>
      <c r="E1104" s="72">
        <v>1</v>
      </c>
      <c r="F1104" s="70"/>
      <c r="G1104" s="70" t="str">
        <f>IFERROR(VLOOKUP(A1104,[1]wms_iv_f!$A$1:$E$136,4,FALSE),"")</f>
        <v/>
      </c>
      <c r="H1104" s="95" t="str">
        <f>IFERROR(VLOOKUP(A1104,[2]wms_lc_f!$A$1:$B$156,2,FALSE),"")</f>
        <v/>
      </c>
    </row>
    <row r="1105" spans="1:8">
      <c r="A1105" s="71">
        <v>267</v>
      </c>
      <c r="B1105" s="69" t="s">
        <v>2609</v>
      </c>
      <c r="C1105" s="70" t="s">
        <v>161</v>
      </c>
      <c r="D1105" s="70" t="s">
        <v>2610</v>
      </c>
      <c r="E1105" s="72">
        <v>1</v>
      </c>
      <c r="F1105" s="70"/>
      <c r="G1105" s="70" t="str">
        <f>IFERROR(VLOOKUP(A1105,[1]wms_iv_f!$A$1:$E$136,4,FALSE),"")</f>
        <v/>
      </c>
      <c r="H1105" s="95" t="str">
        <f>IFERROR(VLOOKUP(A1105,[2]wms_lc_f!$A$1:$B$156,2,FALSE),"")</f>
        <v/>
      </c>
    </row>
    <row r="1106" spans="1:8">
      <c r="A1106" s="71">
        <v>37932</v>
      </c>
      <c r="B1106" s="69" t="s">
        <v>2609</v>
      </c>
      <c r="C1106" s="70" t="s">
        <v>160</v>
      </c>
      <c r="D1106" s="70" t="s">
        <v>2610</v>
      </c>
      <c r="E1106" s="72">
        <v>1</v>
      </c>
      <c r="F1106" s="70"/>
      <c r="G1106" s="70" t="str">
        <f>IFERROR(VLOOKUP(A1106,[1]wms_iv_f!$A$1:$E$136,4,FALSE),"")</f>
        <v/>
      </c>
      <c r="H1106" s="95" t="str">
        <f>IFERROR(VLOOKUP(A1106,[2]wms_lc_f!$A$1:$B$156,2,FALSE),"")</f>
        <v/>
      </c>
    </row>
    <row r="1107" spans="1:8">
      <c r="A1107" s="71">
        <v>83023</v>
      </c>
      <c r="B1107" s="69" t="s">
        <v>2609</v>
      </c>
      <c r="C1107" s="70" t="s">
        <v>58</v>
      </c>
      <c r="D1107" s="70" t="s">
        <v>2610</v>
      </c>
      <c r="E1107" s="72">
        <v>1</v>
      </c>
      <c r="F1107" s="70"/>
      <c r="G1107" s="70" t="str">
        <f>IFERROR(VLOOKUP(A1107,[1]wms_iv_f!$A$1:$E$136,4,FALSE),"")</f>
        <v/>
      </c>
      <c r="H1107" s="95" t="str">
        <f>IFERROR(VLOOKUP(A1107,[2]wms_lc_f!$A$1:$B$156,2,FALSE),"")</f>
        <v/>
      </c>
    </row>
    <row r="1108" spans="1:8">
      <c r="A1108" s="71">
        <v>49660</v>
      </c>
      <c r="B1108" s="69" t="s">
        <v>2609</v>
      </c>
      <c r="C1108" s="70" t="s">
        <v>57</v>
      </c>
      <c r="D1108" s="70" t="s">
        <v>2610</v>
      </c>
      <c r="E1108" s="72">
        <v>1</v>
      </c>
      <c r="F1108" s="70"/>
      <c r="G1108" s="70" t="str">
        <f>IFERROR(VLOOKUP(A1108,[1]wms_iv_f!$A$1:$E$136,4,FALSE),"")</f>
        <v/>
      </c>
      <c r="H1108" s="95" t="str">
        <f>IFERROR(VLOOKUP(A1108,[2]wms_lc_f!$A$1:$B$156,2,FALSE),"")</f>
        <v/>
      </c>
    </row>
    <row r="1109" spans="1:8">
      <c r="A1109" s="71">
        <v>9564</v>
      </c>
      <c r="B1109" s="69" t="s">
        <v>2609</v>
      </c>
      <c r="C1109" s="70" t="s">
        <v>56</v>
      </c>
      <c r="D1109" s="70" t="s">
        <v>2610</v>
      </c>
      <c r="E1109" s="72">
        <v>1</v>
      </c>
      <c r="F1109" s="70"/>
      <c r="G1109" s="70" t="str">
        <f>IFERROR(VLOOKUP(A1109,[1]wms_iv_f!$A$1:$E$136,4,FALSE),"")</f>
        <v/>
      </c>
      <c r="H1109" s="95" t="str">
        <f>IFERROR(VLOOKUP(A1109,[2]wms_lc_f!$A$1:$B$156,2,FALSE),"")</f>
        <v/>
      </c>
    </row>
    <row r="1110" spans="1:8">
      <c r="A1110" s="71">
        <v>11769</v>
      </c>
      <c r="B1110" s="69" t="s">
        <v>2609</v>
      </c>
      <c r="C1110" s="70" t="s">
        <v>55</v>
      </c>
      <c r="D1110" s="70" t="s">
        <v>2610</v>
      </c>
      <c r="E1110" s="72">
        <v>1</v>
      </c>
      <c r="F1110" s="70"/>
      <c r="G1110" s="70" t="str">
        <f>IFERROR(VLOOKUP(A1110,[1]wms_iv_f!$A$1:$E$136,4,FALSE),"")</f>
        <v/>
      </c>
      <c r="H1110" s="95" t="str">
        <f>IFERROR(VLOOKUP(A1110,[2]wms_lc_f!$A$1:$B$156,2,FALSE),"")</f>
        <v/>
      </c>
    </row>
    <row r="1111" spans="1:8">
      <c r="A1111" s="71">
        <v>142584</v>
      </c>
      <c r="B1111" s="69" t="s">
        <v>2609</v>
      </c>
      <c r="C1111" s="70" t="s">
        <v>54</v>
      </c>
      <c r="D1111" s="70" t="s">
        <v>2610</v>
      </c>
      <c r="E1111" s="72">
        <v>1</v>
      </c>
      <c r="F1111" s="70"/>
      <c r="G1111" s="70" t="str">
        <f>IFERROR(VLOOKUP(A1111,[1]wms_iv_f!$A$1:$E$136,4,FALSE),"")</f>
        <v/>
      </c>
      <c r="H1111" s="95" t="str">
        <f>IFERROR(VLOOKUP(A1111,[2]wms_lc_f!$A$1:$B$156,2,FALSE),"")</f>
        <v/>
      </c>
    </row>
    <row r="1112" spans="1:8">
      <c r="A1112" s="71">
        <v>35067</v>
      </c>
      <c r="B1112" s="69" t="s">
        <v>2609</v>
      </c>
      <c r="C1112" s="70" t="s">
        <v>53</v>
      </c>
      <c r="D1112" s="70" t="s">
        <v>2610</v>
      </c>
      <c r="E1112" s="72">
        <v>1</v>
      </c>
      <c r="F1112" s="70"/>
      <c r="G1112" s="70" t="str">
        <f>IFERROR(VLOOKUP(A1112,[1]wms_iv_f!$A$1:$E$136,4,FALSE),"")</f>
        <v/>
      </c>
      <c r="H1112" s="95" t="str">
        <f>IFERROR(VLOOKUP(A1112,[2]wms_lc_f!$A$1:$B$156,2,FALSE),"")</f>
        <v/>
      </c>
    </row>
    <row r="1113" spans="1:8">
      <c r="A1113" s="71">
        <v>36501</v>
      </c>
      <c r="B1113" s="69" t="s">
        <v>2609</v>
      </c>
      <c r="C1113" s="70" t="s">
        <v>260</v>
      </c>
      <c r="D1113" s="70" t="s">
        <v>2610</v>
      </c>
      <c r="E1113" s="72">
        <v>1</v>
      </c>
      <c r="F1113" s="70"/>
      <c r="G1113" s="70" t="str">
        <f>IFERROR(VLOOKUP(A1113,[1]wms_iv_f!$A$1:$E$136,4,FALSE),"")</f>
        <v/>
      </c>
      <c r="H1113" s="95" t="str">
        <f>IFERROR(VLOOKUP(A1113,[2]wms_lc_f!$A$1:$B$156,2,FALSE),"")</f>
        <v/>
      </c>
    </row>
    <row r="1114" spans="1:8">
      <c r="A1114" s="71">
        <v>15071</v>
      </c>
      <c r="B1114" s="69" t="s">
        <v>2609</v>
      </c>
      <c r="C1114" s="70" t="s">
        <v>259</v>
      </c>
      <c r="D1114" s="70" t="s">
        <v>2610</v>
      </c>
      <c r="E1114" s="72">
        <v>1</v>
      </c>
      <c r="F1114" s="70"/>
      <c r="G1114" s="70" t="str">
        <f>IFERROR(VLOOKUP(A1114,[1]wms_iv_f!$A$1:$E$136,4,FALSE),"")</f>
        <v/>
      </c>
      <c r="H1114" s="95" t="str">
        <f>IFERROR(VLOOKUP(A1114,[2]wms_lc_f!$A$1:$B$156,2,FALSE),"")</f>
        <v/>
      </c>
    </row>
    <row r="1115" spans="1:8">
      <c r="A1115" s="71">
        <v>8606</v>
      </c>
      <c r="B1115" s="69" t="s">
        <v>2609</v>
      </c>
      <c r="C1115" s="70" t="s">
        <v>258</v>
      </c>
      <c r="D1115" s="70" t="s">
        <v>2610</v>
      </c>
      <c r="E1115" s="72">
        <v>1</v>
      </c>
      <c r="F1115" s="70"/>
      <c r="G1115" s="70" t="str">
        <f>IFERROR(VLOOKUP(A1115,[1]wms_iv_f!$A$1:$E$136,4,FALSE),"")</f>
        <v/>
      </c>
      <c r="H1115" s="95" t="str">
        <f>IFERROR(VLOOKUP(A1115,[2]wms_lc_f!$A$1:$B$156,2,FALSE),"")</f>
        <v/>
      </c>
    </row>
    <row r="1116" spans="1:8">
      <c r="A1116" s="71">
        <v>133030</v>
      </c>
      <c r="B1116" s="69" t="s">
        <v>2609</v>
      </c>
      <c r="C1116" s="70" t="s">
        <v>257</v>
      </c>
      <c r="D1116" s="70" t="s">
        <v>2610</v>
      </c>
      <c r="E1116" s="72">
        <v>1</v>
      </c>
      <c r="F1116" s="70"/>
      <c r="G1116" s="70" t="str">
        <f>IFERROR(VLOOKUP(A1116,[1]wms_iv_f!$A$1:$E$136,4,FALSE),"")</f>
        <v/>
      </c>
      <c r="H1116" s="95" t="str">
        <f>IFERROR(VLOOKUP(A1116,[2]wms_lc_f!$A$1:$B$156,2,FALSE),"")</f>
        <v/>
      </c>
    </row>
    <row r="1117" spans="1:8">
      <c r="A1117" s="71">
        <v>111856</v>
      </c>
      <c r="B1117" s="69" t="s">
        <v>2609</v>
      </c>
      <c r="C1117" s="70" t="s">
        <v>256</v>
      </c>
      <c r="D1117" s="70" t="s">
        <v>2610</v>
      </c>
      <c r="E1117" s="72">
        <v>1</v>
      </c>
      <c r="F1117" s="70"/>
      <c r="G1117" s="70" t="str">
        <f>IFERROR(VLOOKUP(A1117,[1]wms_iv_f!$A$1:$E$136,4,FALSE),"")</f>
        <v/>
      </c>
      <c r="H1117" s="95" t="str">
        <f>IFERROR(VLOOKUP(A1117,[2]wms_lc_f!$A$1:$B$156,2,FALSE),"")</f>
        <v/>
      </c>
    </row>
    <row r="1118" spans="1:8">
      <c r="A1118" s="71">
        <v>111857</v>
      </c>
      <c r="B1118" s="69" t="s">
        <v>2609</v>
      </c>
      <c r="C1118" s="70" t="s">
        <v>255</v>
      </c>
      <c r="D1118" s="70" t="s">
        <v>2610</v>
      </c>
      <c r="E1118" s="72">
        <v>1</v>
      </c>
      <c r="F1118" s="70"/>
      <c r="G1118" s="70" t="str">
        <f>IFERROR(VLOOKUP(A1118,[1]wms_iv_f!$A$1:$E$136,4,FALSE),"")</f>
        <v/>
      </c>
      <c r="H1118" s="95" t="str">
        <f>IFERROR(VLOOKUP(A1118,[2]wms_lc_f!$A$1:$B$156,2,FALSE),"")</f>
        <v/>
      </c>
    </row>
    <row r="1119" spans="1:8">
      <c r="A1119" s="71">
        <v>111855</v>
      </c>
      <c r="B1119" s="69" t="s">
        <v>2609</v>
      </c>
      <c r="C1119" s="70" t="s">
        <v>153</v>
      </c>
      <c r="D1119" s="70" t="s">
        <v>2610</v>
      </c>
      <c r="E1119" s="72">
        <v>1</v>
      </c>
      <c r="F1119" s="70"/>
      <c r="G1119" s="70" t="str">
        <f>IFERROR(VLOOKUP(A1119,[1]wms_iv_f!$A$1:$E$136,4,FALSE),"")</f>
        <v/>
      </c>
      <c r="H1119" s="95" t="str">
        <f>IFERROR(VLOOKUP(A1119,[2]wms_lc_f!$A$1:$B$156,2,FALSE),"")</f>
        <v/>
      </c>
    </row>
    <row r="1120" spans="1:8">
      <c r="A1120" s="71">
        <v>156042</v>
      </c>
      <c r="B1120" s="69" t="s">
        <v>2609</v>
      </c>
      <c r="C1120" s="70" t="s">
        <v>152</v>
      </c>
      <c r="D1120" s="70" t="s">
        <v>2610</v>
      </c>
      <c r="E1120" s="72">
        <v>1</v>
      </c>
      <c r="F1120" s="70"/>
      <c r="G1120" s="70" t="str">
        <f>IFERROR(VLOOKUP(A1120,[1]wms_iv_f!$A$1:$E$136,4,FALSE),"")</f>
        <v/>
      </c>
      <c r="H1120" s="95" t="str">
        <f>IFERROR(VLOOKUP(A1120,[2]wms_lc_f!$A$1:$B$156,2,FALSE),"")</f>
        <v/>
      </c>
    </row>
    <row r="1121" spans="1:8">
      <c r="A1121" s="71">
        <v>100118</v>
      </c>
      <c r="B1121" s="69" t="s">
        <v>2609</v>
      </c>
      <c r="C1121" s="70" t="s">
        <v>151</v>
      </c>
      <c r="D1121" s="70" t="s">
        <v>2610</v>
      </c>
      <c r="E1121" s="72">
        <v>1</v>
      </c>
      <c r="F1121" s="70"/>
      <c r="G1121" s="70" t="str">
        <f>IFERROR(VLOOKUP(A1121,[1]wms_iv_f!$A$1:$E$136,4,FALSE),"")</f>
        <v/>
      </c>
      <c r="H1121" s="95" t="str">
        <f>IFERROR(VLOOKUP(A1121,[2]wms_lc_f!$A$1:$B$156,2,FALSE),"")</f>
        <v/>
      </c>
    </row>
    <row r="1122" spans="1:8">
      <c r="A1122" s="71">
        <v>109777</v>
      </c>
      <c r="B1122" s="69" t="s">
        <v>2609</v>
      </c>
      <c r="C1122" s="70" t="s">
        <v>150</v>
      </c>
      <c r="D1122" s="70" t="s">
        <v>2610</v>
      </c>
      <c r="E1122" s="72">
        <v>1</v>
      </c>
      <c r="F1122" s="70"/>
      <c r="G1122" s="70" t="str">
        <f>IFERROR(VLOOKUP(A1122,[1]wms_iv_f!$A$1:$E$136,4,FALSE),"")</f>
        <v/>
      </c>
      <c r="H1122" s="95" t="str">
        <f>IFERROR(VLOOKUP(A1122,[2]wms_lc_f!$A$1:$B$156,2,FALSE),"")</f>
        <v/>
      </c>
    </row>
    <row r="1123" spans="1:8">
      <c r="A1123" s="71">
        <v>157017</v>
      </c>
      <c r="B1123" s="69" t="s">
        <v>2609</v>
      </c>
      <c r="C1123" s="70" t="s">
        <v>149</v>
      </c>
      <c r="D1123" s="70" t="s">
        <v>2610</v>
      </c>
      <c r="E1123" s="72">
        <v>1</v>
      </c>
      <c r="F1123" s="70"/>
      <c r="G1123" s="70" t="str">
        <f>IFERROR(VLOOKUP(A1123,[1]wms_iv_f!$A$1:$E$136,4,FALSE),"")</f>
        <v/>
      </c>
      <c r="H1123" s="95" t="str">
        <f>IFERROR(VLOOKUP(A1123,[2]wms_lc_f!$A$1:$B$156,2,FALSE),"")</f>
        <v/>
      </c>
    </row>
    <row r="1124" spans="1:8">
      <c r="A1124" s="71">
        <v>138757</v>
      </c>
      <c r="B1124" s="69" t="s">
        <v>2609</v>
      </c>
      <c r="C1124" s="70" t="s">
        <v>148</v>
      </c>
      <c r="D1124" s="70" t="s">
        <v>2610</v>
      </c>
      <c r="E1124" s="72">
        <v>1</v>
      </c>
      <c r="F1124" s="70"/>
      <c r="G1124" s="70" t="str">
        <f>IFERROR(VLOOKUP(A1124,[1]wms_iv_f!$A$1:$E$136,4,FALSE),"")</f>
        <v/>
      </c>
      <c r="H1124" s="95" t="str">
        <f>IFERROR(VLOOKUP(A1124,[2]wms_lc_f!$A$1:$B$156,2,FALSE),"")</f>
        <v/>
      </c>
    </row>
    <row r="1125" spans="1:8">
      <c r="A1125" s="71">
        <v>82430</v>
      </c>
      <c r="B1125" s="69" t="s">
        <v>2609</v>
      </c>
      <c r="C1125" s="70" t="s">
        <v>44</v>
      </c>
      <c r="D1125" s="70" t="s">
        <v>2610</v>
      </c>
      <c r="E1125" s="72">
        <v>1</v>
      </c>
      <c r="F1125" s="70"/>
      <c r="G1125" s="70" t="str">
        <f>IFERROR(VLOOKUP(A1125,[1]wms_iv_f!$A$1:$E$136,4,FALSE),"")</f>
        <v/>
      </c>
      <c r="H1125" s="95" t="str">
        <f>IFERROR(VLOOKUP(A1125,[2]wms_lc_f!$A$1:$B$156,2,FALSE),"")</f>
        <v/>
      </c>
    </row>
    <row r="1126" spans="1:8">
      <c r="A1126" s="71">
        <v>136740</v>
      </c>
      <c r="B1126" s="69" t="s">
        <v>2609</v>
      </c>
      <c r="C1126" s="70" t="s">
        <v>43</v>
      </c>
      <c r="D1126" s="70" t="s">
        <v>2610</v>
      </c>
      <c r="E1126" s="72">
        <v>1</v>
      </c>
      <c r="F1126" s="70"/>
      <c r="G1126" s="70" t="str">
        <f>IFERROR(VLOOKUP(A1126,[1]wms_iv_f!$A$1:$E$136,4,FALSE),"")</f>
        <v/>
      </c>
      <c r="H1126" s="95" t="str">
        <f>IFERROR(VLOOKUP(A1126,[2]wms_lc_f!$A$1:$B$156,2,FALSE),"")</f>
        <v/>
      </c>
    </row>
    <row r="1127" spans="1:8">
      <c r="A1127" s="71">
        <v>85350</v>
      </c>
      <c r="B1127" s="69" t="s">
        <v>2609</v>
      </c>
      <c r="C1127" s="70" t="s">
        <v>42</v>
      </c>
      <c r="D1127" s="70" t="s">
        <v>2610</v>
      </c>
      <c r="E1127" s="72">
        <v>1</v>
      </c>
      <c r="F1127" s="70"/>
      <c r="G1127" s="70" t="str">
        <f>IFERROR(VLOOKUP(A1127,[1]wms_iv_f!$A$1:$E$136,4,FALSE),"")</f>
        <v/>
      </c>
      <c r="H1127" s="95" t="str">
        <f>IFERROR(VLOOKUP(A1127,[2]wms_lc_f!$A$1:$B$156,2,FALSE),"")</f>
        <v/>
      </c>
    </row>
    <row r="1128" spans="1:8">
      <c r="A1128" s="71">
        <v>54431</v>
      </c>
      <c r="B1128" s="69" t="s">
        <v>2609</v>
      </c>
      <c r="C1128" s="70" t="s">
        <v>41</v>
      </c>
      <c r="D1128" s="70" t="s">
        <v>2610</v>
      </c>
      <c r="E1128" s="72">
        <v>1</v>
      </c>
      <c r="F1128" s="70"/>
      <c r="G1128" s="70" t="str">
        <f>IFERROR(VLOOKUP(A1128,[1]wms_iv_f!$A$1:$E$136,4,FALSE),"")</f>
        <v/>
      </c>
      <c r="H1128" s="95" t="str">
        <f>IFERROR(VLOOKUP(A1128,[2]wms_lc_f!$A$1:$B$156,2,FALSE),"")</f>
        <v/>
      </c>
    </row>
    <row r="1129" spans="1:8">
      <c r="A1129" s="71">
        <v>25961</v>
      </c>
      <c r="B1129" s="69" t="s">
        <v>2609</v>
      </c>
      <c r="C1129" s="70" t="s">
        <v>40</v>
      </c>
      <c r="D1129" s="70" t="s">
        <v>2610</v>
      </c>
      <c r="E1129" s="72">
        <v>1</v>
      </c>
      <c r="F1129" s="70"/>
      <c r="G1129" s="70" t="str">
        <f>IFERROR(VLOOKUP(A1129,[1]wms_iv_f!$A$1:$E$136,4,FALSE),"")</f>
        <v/>
      </c>
      <c r="H1129" s="95" t="str">
        <f>IFERROR(VLOOKUP(A1129,[2]wms_lc_f!$A$1:$B$156,2,FALSE),"")</f>
        <v/>
      </c>
    </row>
    <row r="1130" spans="1:8">
      <c r="A1130" s="71">
        <v>3295</v>
      </c>
      <c r="B1130" s="69" t="s">
        <v>2609</v>
      </c>
      <c r="C1130" s="70" t="s">
        <v>39</v>
      </c>
      <c r="D1130" s="70" t="s">
        <v>2610</v>
      </c>
      <c r="E1130" s="72">
        <v>1</v>
      </c>
      <c r="F1130" s="70"/>
      <c r="G1130" s="70" t="str">
        <f>IFERROR(VLOOKUP(A1130,[1]wms_iv_f!$A$1:$E$136,4,FALSE),"")</f>
        <v/>
      </c>
      <c r="H1130" s="95" t="str">
        <f>IFERROR(VLOOKUP(A1130,[2]wms_lc_f!$A$1:$B$156,2,FALSE),"")</f>
        <v/>
      </c>
    </row>
    <row r="1131" spans="1:8">
      <c r="A1131" s="71">
        <v>137870</v>
      </c>
      <c r="B1131" s="69" t="s">
        <v>2609</v>
      </c>
      <c r="C1131" s="70" t="s">
        <v>420</v>
      </c>
      <c r="D1131" s="70" t="s">
        <v>2610</v>
      </c>
      <c r="E1131" s="72">
        <v>1</v>
      </c>
      <c r="F1131" s="70"/>
      <c r="G1131" s="70" t="str">
        <f>IFERROR(VLOOKUP(A1131,[1]wms_iv_f!$A$1:$E$136,4,FALSE),"")</f>
        <v/>
      </c>
      <c r="H1131" s="95" t="str">
        <f>IFERROR(VLOOKUP(A1131,[2]wms_lc_f!$A$1:$B$156,2,FALSE),"")</f>
        <v/>
      </c>
    </row>
    <row r="1132" spans="1:8">
      <c r="A1132" s="69">
        <v>127348</v>
      </c>
      <c r="B1132" s="69" t="s">
        <v>2609</v>
      </c>
      <c r="C1132" s="70" t="s">
        <v>419</v>
      </c>
      <c r="D1132" s="70" t="s">
        <v>2610</v>
      </c>
      <c r="E1132" s="72">
        <v>1</v>
      </c>
      <c r="F1132" s="70"/>
      <c r="G1132" s="70" t="str">
        <f>IFERROR(VLOOKUP(A1132,[1]wms_iv_f!$A$1:$E$136,4,FALSE),"")</f>
        <v/>
      </c>
      <c r="H1132" s="95" t="str">
        <f>IFERROR(VLOOKUP(A1132,[2]wms_lc_f!$A$1:$B$156,2,FALSE),"")</f>
        <v/>
      </c>
    </row>
    <row r="1133" spans="1:8">
      <c r="A1133" s="69">
        <v>157878</v>
      </c>
      <c r="B1133" s="69" t="s">
        <v>2609</v>
      </c>
      <c r="C1133" s="70" t="s">
        <v>418</v>
      </c>
      <c r="D1133" s="70" t="s">
        <v>2610</v>
      </c>
      <c r="E1133" s="72">
        <v>1</v>
      </c>
      <c r="F1133" s="70"/>
      <c r="G1133" s="70" t="str">
        <f>IFERROR(VLOOKUP(A1133,[1]wms_iv_f!$A$1:$E$136,4,FALSE),"")</f>
        <v/>
      </c>
      <c r="H1133" s="95" t="str">
        <f>IFERROR(VLOOKUP(A1133,[2]wms_lc_f!$A$1:$B$156,2,FALSE),"")</f>
        <v/>
      </c>
    </row>
    <row r="1134" spans="1:8">
      <c r="A1134" s="69">
        <v>155719</v>
      </c>
      <c r="B1134" s="69" t="s">
        <v>2609</v>
      </c>
      <c r="C1134" s="70" t="s">
        <v>417</v>
      </c>
      <c r="D1134" s="70" t="s">
        <v>2610</v>
      </c>
      <c r="E1134" s="72">
        <v>1</v>
      </c>
      <c r="F1134" s="70"/>
      <c r="G1134" s="70" t="str">
        <f>IFERROR(VLOOKUP(A1134,[1]wms_iv_f!$A$1:$E$136,4,FALSE),"")</f>
        <v/>
      </c>
      <c r="H1134" s="95" t="str">
        <f>IFERROR(VLOOKUP(A1134,[2]wms_lc_f!$A$1:$B$156,2,FALSE),"")</f>
        <v/>
      </c>
    </row>
    <row r="1135" spans="1:8">
      <c r="A1135" s="69">
        <v>141345</v>
      </c>
      <c r="B1135" s="69" t="s">
        <v>2609</v>
      </c>
      <c r="C1135" s="70" t="s">
        <v>416</v>
      </c>
      <c r="D1135" s="70" t="s">
        <v>2610</v>
      </c>
      <c r="E1135" s="72">
        <v>1</v>
      </c>
      <c r="F1135" s="70"/>
      <c r="G1135" s="70" t="str">
        <f>IFERROR(VLOOKUP(A1135,[1]wms_iv_f!$A$1:$E$136,4,FALSE),"")</f>
        <v/>
      </c>
      <c r="H1135" s="95" t="str">
        <f>IFERROR(VLOOKUP(A1135,[2]wms_lc_f!$A$1:$B$156,2,FALSE),"")</f>
        <v/>
      </c>
    </row>
    <row r="1136" spans="1:8">
      <c r="A1136" s="69">
        <v>49167</v>
      </c>
      <c r="B1136" s="69" t="s">
        <v>2609</v>
      </c>
      <c r="C1136" s="70" t="s">
        <v>415</v>
      </c>
      <c r="D1136" s="70" t="s">
        <v>2610</v>
      </c>
      <c r="E1136" s="72">
        <v>1</v>
      </c>
      <c r="F1136" s="70"/>
      <c r="G1136" s="70" t="str">
        <f>IFERROR(VLOOKUP(A1136,[1]wms_iv_f!$A$1:$E$136,4,FALSE),"")</f>
        <v/>
      </c>
      <c r="H1136" s="95" t="str">
        <f>IFERROR(VLOOKUP(A1136,[2]wms_lc_f!$A$1:$B$156,2,FALSE),"")</f>
        <v/>
      </c>
    </row>
    <row r="1137" spans="1:8">
      <c r="A1137" s="69">
        <v>89774</v>
      </c>
      <c r="B1137" s="69" t="s">
        <v>2609</v>
      </c>
      <c r="C1137" s="70" t="s">
        <v>531</v>
      </c>
      <c r="D1137" s="70" t="s">
        <v>2610</v>
      </c>
      <c r="E1137" s="72">
        <v>1</v>
      </c>
      <c r="F1137" s="70" t="s">
        <v>2612</v>
      </c>
      <c r="G1137" s="70" t="str">
        <f>IFERROR(VLOOKUP(A1137,[1]wms_iv_f!$A$1:$E$136,4,FALSE),"")</f>
        <v/>
      </c>
      <c r="H1137" s="95" t="str">
        <f>IFERROR(VLOOKUP(A1137,[2]wms_lc_f!$A$1:$B$156,2,FALSE),"")</f>
        <v/>
      </c>
    </row>
    <row r="1138" spans="1:8">
      <c r="A1138" s="69">
        <v>70444</v>
      </c>
      <c r="B1138" s="69" t="s">
        <v>2609</v>
      </c>
      <c r="C1138" s="70" t="s">
        <v>530</v>
      </c>
      <c r="D1138" s="70" t="s">
        <v>2610</v>
      </c>
      <c r="E1138" s="72">
        <v>1</v>
      </c>
      <c r="F1138" s="70" t="s">
        <v>2612</v>
      </c>
      <c r="G1138" s="70" t="str">
        <f>IFERROR(VLOOKUP(A1138,[1]wms_iv_f!$A$1:$E$136,4,FALSE),"")</f>
        <v/>
      </c>
      <c r="H1138" s="95" t="str">
        <f>IFERROR(VLOOKUP(A1138,[2]wms_lc_f!$A$1:$B$156,2,FALSE),"")</f>
        <v/>
      </c>
    </row>
    <row r="1139" spans="1:8">
      <c r="A1139" s="69">
        <v>94726</v>
      </c>
      <c r="B1139" s="69" t="s">
        <v>2609</v>
      </c>
      <c r="C1139" s="70" t="s">
        <v>529</v>
      </c>
      <c r="D1139" s="70" t="s">
        <v>2610</v>
      </c>
      <c r="E1139" s="72">
        <v>1</v>
      </c>
      <c r="F1139" s="70" t="s">
        <v>2612</v>
      </c>
      <c r="G1139" s="70" t="str">
        <f>IFERROR(VLOOKUP(A1139,[1]wms_iv_f!$A$1:$E$136,4,FALSE),"")</f>
        <v/>
      </c>
      <c r="H1139" s="95" t="str">
        <f>IFERROR(VLOOKUP(A1139,[2]wms_lc_f!$A$1:$B$156,2,FALSE),"")</f>
        <v/>
      </c>
    </row>
    <row r="1140" spans="1:8">
      <c r="A1140" s="69">
        <v>94360</v>
      </c>
      <c r="B1140" s="69" t="s">
        <v>2609</v>
      </c>
      <c r="C1140" s="70" t="s">
        <v>528</v>
      </c>
      <c r="D1140" s="70" t="s">
        <v>2610</v>
      </c>
      <c r="E1140" s="72">
        <v>1</v>
      </c>
      <c r="F1140" s="70" t="s">
        <v>2612</v>
      </c>
      <c r="G1140" s="70" t="str">
        <f>IFERROR(VLOOKUP(A1140,[1]wms_iv_f!$A$1:$E$136,4,FALSE),"")</f>
        <v/>
      </c>
      <c r="H1140" s="95" t="str">
        <f>IFERROR(VLOOKUP(A1140,[2]wms_lc_f!$A$1:$B$156,2,FALSE),"")</f>
        <v/>
      </c>
    </row>
    <row r="1141" spans="1:8">
      <c r="A1141" s="69">
        <v>124172</v>
      </c>
      <c r="B1141" s="69" t="s">
        <v>2609</v>
      </c>
      <c r="C1141" s="70" t="s">
        <v>527</v>
      </c>
      <c r="D1141" s="70" t="s">
        <v>2610</v>
      </c>
      <c r="E1141" s="72">
        <v>1</v>
      </c>
      <c r="F1141" s="70" t="s">
        <v>2612</v>
      </c>
      <c r="G1141" s="70" t="str">
        <f>IFERROR(VLOOKUP(A1141,[1]wms_iv_f!$A$1:$E$136,4,FALSE),"")</f>
        <v/>
      </c>
      <c r="H1141" s="95" t="str">
        <f>IFERROR(VLOOKUP(A1141,[2]wms_lc_f!$A$1:$B$156,2,FALSE),"")</f>
        <v/>
      </c>
    </row>
    <row r="1142" spans="1:8">
      <c r="A1142" s="69">
        <v>64470</v>
      </c>
      <c r="B1142" s="69" t="s">
        <v>2609</v>
      </c>
      <c r="C1142" s="70" t="s">
        <v>526</v>
      </c>
      <c r="D1142" s="70" t="s">
        <v>2610</v>
      </c>
      <c r="E1142" s="72">
        <v>1</v>
      </c>
      <c r="F1142" s="70" t="s">
        <v>2612</v>
      </c>
      <c r="G1142" s="70" t="str">
        <f>IFERROR(VLOOKUP(A1142,[1]wms_iv_f!$A$1:$E$136,4,FALSE),"")</f>
        <v/>
      </c>
      <c r="H1142" s="95" t="str">
        <f>IFERROR(VLOOKUP(A1142,[2]wms_lc_f!$A$1:$B$156,2,FALSE),"")</f>
        <v/>
      </c>
    </row>
    <row r="1143" spans="1:8">
      <c r="A1143" s="69">
        <v>18557</v>
      </c>
      <c r="B1143" s="69" t="s">
        <v>2609</v>
      </c>
      <c r="C1143" s="70" t="s">
        <v>642</v>
      </c>
      <c r="D1143" s="70" t="s">
        <v>2610</v>
      </c>
      <c r="E1143" s="72">
        <v>1</v>
      </c>
      <c r="F1143" s="70"/>
      <c r="G1143" s="70" t="str">
        <f>IFERROR(VLOOKUP(A1143,[1]wms_iv_f!$A$1:$E$136,4,FALSE),"")</f>
        <v/>
      </c>
      <c r="H1143" s="95" t="str">
        <f>IFERROR(VLOOKUP(A1143,[2]wms_lc_f!$A$1:$B$156,2,FALSE),"")</f>
        <v/>
      </c>
    </row>
    <row r="1144" spans="1:8">
      <c r="A1144" s="69">
        <v>107810</v>
      </c>
      <c r="B1144" s="69" t="s">
        <v>2609</v>
      </c>
      <c r="C1144" s="70" t="s">
        <v>641</v>
      </c>
      <c r="D1144" s="70" t="s">
        <v>2610</v>
      </c>
      <c r="E1144" s="72">
        <v>1</v>
      </c>
      <c r="F1144" s="70"/>
      <c r="G1144" s="70" t="str">
        <f>IFERROR(VLOOKUP(A1144,[1]wms_iv_f!$A$1:$E$136,4,FALSE),"")</f>
        <v/>
      </c>
      <c r="H1144" s="95" t="str">
        <f>IFERROR(VLOOKUP(A1144,[2]wms_lc_f!$A$1:$B$156,2,FALSE),"")</f>
        <v/>
      </c>
    </row>
    <row r="1145" spans="1:8">
      <c r="A1145" s="69">
        <v>133697</v>
      </c>
      <c r="B1145" s="69" t="s">
        <v>2609</v>
      </c>
      <c r="C1145" s="70" t="s">
        <v>640</v>
      </c>
      <c r="D1145" s="70" t="s">
        <v>2610</v>
      </c>
      <c r="E1145" s="72">
        <v>1</v>
      </c>
      <c r="F1145" s="70"/>
      <c r="G1145" s="70" t="str">
        <f>IFERROR(VLOOKUP(A1145,[1]wms_iv_f!$A$1:$E$136,4,FALSE),"")</f>
        <v/>
      </c>
      <c r="H1145" s="95" t="str">
        <f>IFERROR(VLOOKUP(A1145,[2]wms_lc_f!$A$1:$B$156,2,FALSE),"")</f>
        <v/>
      </c>
    </row>
    <row r="1146" spans="1:8">
      <c r="A1146" s="69">
        <v>94371</v>
      </c>
      <c r="B1146" s="69" t="s">
        <v>2609</v>
      </c>
      <c r="C1146" s="70" t="s">
        <v>639</v>
      </c>
      <c r="D1146" s="70" t="s">
        <v>2610</v>
      </c>
      <c r="E1146" s="72">
        <v>1</v>
      </c>
      <c r="F1146" s="70"/>
      <c r="G1146" s="70" t="str">
        <f>IFERROR(VLOOKUP(A1146,[1]wms_iv_f!$A$1:$E$136,4,FALSE),"")</f>
        <v/>
      </c>
      <c r="H1146" s="95" t="str">
        <f>IFERROR(VLOOKUP(A1146,[2]wms_lc_f!$A$1:$B$156,2,FALSE),"")</f>
        <v/>
      </c>
    </row>
    <row r="1147" spans="1:8">
      <c r="A1147" s="69">
        <v>142570</v>
      </c>
      <c r="B1147" s="69" t="s">
        <v>2609</v>
      </c>
      <c r="C1147" s="70" t="s">
        <v>638</v>
      </c>
      <c r="D1147" s="70" t="s">
        <v>2610</v>
      </c>
      <c r="E1147" s="72">
        <v>1</v>
      </c>
      <c r="F1147" s="70"/>
      <c r="G1147" s="70" t="str">
        <f>IFERROR(VLOOKUP(A1147,[1]wms_iv_f!$A$1:$E$136,4,FALSE),"")</f>
        <v/>
      </c>
      <c r="H1147" s="95" t="str">
        <f>IFERROR(VLOOKUP(A1147,[2]wms_lc_f!$A$1:$B$156,2,FALSE),"")</f>
        <v/>
      </c>
    </row>
    <row r="1148" spans="1:8">
      <c r="A1148" s="69">
        <v>93780</v>
      </c>
      <c r="B1148" s="69" t="s">
        <v>2609</v>
      </c>
      <c r="C1148" s="70" t="s">
        <v>637</v>
      </c>
      <c r="D1148" s="70" t="s">
        <v>2610</v>
      </c>
      <c r="E1148" s="72">
        <v>1</v>
      </c>
      <c r="F1148" s="70"/>
      <c r="G1148" s="70" t="str">
        <f>IFERROR(VLOOKUP(A1148,[1]wms_iv_f!$A$1:$E$136,4,FALSE),"")</f>
        <v/>
      </c>
      <c r="H1148" s="95" t="str">
        <f>IFERROR(VLOOKUP(A1148,[2]wms_lc_f!$A$1:$B$156,2,FALSE),"")</f>
        <v/>
      </c>
    </row>
    <row r="1149" spans="1:8">
      <c r="A1149" s="69">
        <v>114048</v>
      </c>
      <c r="B1149" s="69" t="s">
        <v>2609</v>
      </c>
      <c r="C1149" s="70" t="s">
        <v>414</v>
      </c>
      <c r="D1149" s="70" t="s">
        <v>2610</v>
      </c>
      <c r="E1149" s="72">
        <v>1</v>
      </c>
      <c r="F1149" s="70"/>
      <c r="G1149" s="70" t="str">
        <f>IFERROR(VLOOKUP(A1149,[1]wms_iv_f!$A$1:$E$136,4,FALSE),"")</f>
        <v/>
      </c>
      <c r="H1149" s="95" t="str">
        <f>IFERROR(VLOOKUP(A1149,[2]wms_lc_f!$A$1:$B$156,2,FALSE),"")</f>
        <v/>
      </c>
    </row>
    <row r="1150" spans="1:8">
      <c r="A1150" s="69">
        <v>133699</v>
      </c>
      <c r="B1150" s="69" t="s">
        <v>2609</v>
      </c>
      <c r="C1150" s="70" t="s">
        <v>413</v>
      </c>
      <c r="D1150" s="70" t="s">
        <v>2610</v>
      </c>
      <c r="E1150" s="72">
        <v>1</v>
      </c>
      <c r="F1150" s="70"/>
      <c r="G1150" s="70" t="str">
        <f>IFERROR(VLOOKUP(A1150,[1]wms_iv_f!$A$1:$E$136,4,FALSE),"")</f>
        <v/>
      </c>
      <c r="H1150" s="95" t="str">
        <f>IFERROR(VLOOKUP(A1150,[2]wms_lc_f!$A$1:$B$156,2,FALSE),"")</f>
        <v/>
      </c>
    </row>
    <row r="1151" spans="1:8">
      <c r="A1151" s="69">
        <v>139612</v>
      </c>
      <c r="B1151" s="69" t="s">
        <v>2609</v>
      </c>
      <c r="C1151" s="70" t="s">
        <v>412</v>
      </c>
      <c r="D1151" s="70" t="s">
        <v>2610</v>
      </c>
      <c r="E1151" s="72">
        <v>1</v>
      </c>
      <c r="F1151" s="70"/>
      <c r="G1151" s="70" t="str">
        <f>IFERROR(VLOOKUP(A1151,[1]wms_iv_f!$A$1:$E$136,4,FALSE),"")</f>
        <v/>
      </c>
      <c r="H1151" s="95" t="str">
        <f>IFERROR(VLOOKUP(A1151,[2]wms_lc_f!$A$1:$B$156,2,FALSE),"")</f>
        <v/>
      </c>
    </row>
    <row r="1152" spans="1:8">
      <c r="A1152" s="69">
        <v>132831</v>
      </c>
      <c r="B1152" s="69" t="s">
        <v>2609</v>
      </c>
      <c r="C1152" s="70" t="s">
        <v>411</v>
      </c>
      <c r="D1152" s="70" t="s">
        <v>2610</v>
      </c>
      <c r="E1152" s="72">
        <v>1</v>
      </c>
      <c r="F1152" s="70"/>
      <c r="G1152" s="70" t="str">
        <f>IFERROR(VLOOKUP(A1152,[1]wms_iv_f!$A$1:$E$136,4,FALSE),"")</f>
        <v/>
      </c>
      <c r="H1152" s="95" t="str">
        <f>IFERROR(VLOOKUP(A1152,[2]wms_lc_f!$A$1:$B$156,2,FALSE),"")</f>
        <v/>
      </c>
    </row>
    <row r="1153" spans="1:8">
      <c r="A1153" s="69">
        <v>54376</v>
      </c>
      <c r="B1153" s="69" t="s">
        <v>2609</v>
      </c>
      <c r="C1153" s="70" t="s">
        <v>410</v>
      </c>
      <c r="D1153" s="70" t="s">
        <v>2610</v>
      </c>
      <c r="E1153" s="72">
        <v>1</v>
      </c>
      <c r="F1153" s="70"/>
      <c r="G1153" s="70" t="str">
        <f>IFERROR(VLOOKUP(A1153,[1]wms_iv_f!$A$1:$E$136,4,FALSE),"")</f>
        <v/>
      </c>
      <c r="H1153" s="95" t="str">
        <f>IFERROR(VLOOKUP(A1153,[2]wms_lc_f!$A$1:$B$156,2,FALSE),"")</f>
        <v/>
      </c>
    </row>
    <row r="1154" spans="1:8">
      <c r="A1154" s="69">
        <v>112545</v>
      </c>
      <c r="B1154" s="69" t="s">
        <v>2609</v>
      </c>
      <c r="C1154" s="70" t="s">
        <v>409</v>
      </c>
      <c r="D1154" s="70" t="s">
        <v>2610</v>
      </c>
      <c r="E1154" s="72">
        <v>1</v>
      </c>
      <c r="F1154" s="70"/>
      <c r="G1154" s="70" t="str">
        <f>IFERROR(VLOOKUP(A1154,[1]wms_iv_f!$A$1:$E$136,4,FALSE),"")</f>
        <v/>
      </c>
      <c r="H1154" s="95" t="str">
        <f>IFERROR(VLOOKUP(A1154,[2]wms_lc_f!$A$1:$B$156,2,FALSE),"")</f>
        <v/>
      </c>
    </row>
    <row r="1155" spans="1:8">
      <c r="A1155" s="69">
        <v>59273</v>
      </c>
      <c r="B1155" s="69" t="s">
        <v>2609</v>
      </c>
      <c r="C1155" s="70" t="s">
        <v>525</v>
      </c>
      <c r="D1155" s="70" t="s">
        <v>2610</v>
      </c>
      <c r="E1155" s="72">
        <v>1</v>
      </c>
      <c r="F1155" s="70" t="s">
        <v>2612</v>
      </c>
      <c r="G1155" s="70" t="str">
        <f>IFERROR(VLOOKUP(A1155,[1]wms_iv_f!$A$1:$E$136,4,FALSE),"")</f>
        <v/>
      </c>
      <c r="H1155" s="95" t="str">
        <f>IFERROR(VLOOKUP(A1155,[2]wms_lc_f!$A$1:$B$156,2,FALSE),"")</f>
        <v/>
      </c>
    </row>
    <row r="1156" spans="1:8">
      <c r="A1156" s="69">
        <v>77270</v>
      </c>
      <c r="B1156" s="69" t="s">
        <v>2609</v>
      </c>
      <c r="C1156" s="70" t="s">
        <v>524</v>
      </c>
      <c r="D1156" s="70" t="s">
        <v>2610</v>
      </c>
      <c r="E1156" s="72">
        <v>1</v>
      </c>
      <c r="F1156" s="70" t="s">
        <v>2612</v>
      </c>
      <c r="G1156" s="70" t="str">
        <f>IFERROR(VLOOKUP(A1156,[1]wms_iv_f!$A$1:$E$136,4,FALSE),"")</f>
        <v/>
      </c>
      <c r="H1156" s="95" t="str">
        <f>IFERROR(VLOOKUP(A1156,[2]wms_lc_f!$A$1:$B$156,2,FALSE),"")</f>
        <v/>
      </c>
    </row>
    <row r="1157" spans="1:8">
      <c r="A1157" s="69">
        <v>110812</v>
      </c>
      <c r="B1157" s="69" t="s">
        <v>2609</v>
      </c>
      <c r="C1157" s="70" t="s">
        <v>523</v>
      </c>
      <c r="D1157" s="70" t="s">
        <v>2610</v>
      </c>
      <c r="E1157" s="72">
        <v>1</v>
      </c>
      <c r="F1157" s="70" t="s">
        <v>2612</v>
      </c>
      <c r="G1157" s="70" t="str">
        <f>IFERROR(VLOOKUP(A1157,[1]wms_iv_f!$A$1:$E$136,4,FALSE),"")</f>
        <v/>
      </c>
      <c r="H1157" s="95" t="str">
        <f>IFERROR(VLOOKUP(A1157,[2]wms_lc_f!$A$1:$B$156,2,FALSE),"")</f>
        <v/>
      </c>
    </row>
    <row r="1158" spans="1:8">
      <c r="A1158" s="69">
        <v>138814</v>
      </c>
      <c r="B1158" s="69" t="s">
        <v>2609</v>
      </c>
      <c r="C1158" s="70" t="s">
        <v>522</v>
      </c>
      <c r="D1158" s="70" t="s">
        <v>2610</v>
      </c>
      <c r="E1158" s="72">
        <v>1</v>
      </c>
      <c r="F1158" s="70" t="s">
        <v>2612</v>
      </c>
      <c r="G1158" s="70" t="str">
        <f>IFERROR(VLOOKUP(A1158,[1]wms_iv_f!$A$1:$E$136,4,FALSE),"")</f>
        <v/>
      </c>
      <c r="H1158" s="95" t="str">
        <f>IFERROR(VLOOKUP(A1158,[2]wms_lc_f!$A$1:$B$156,2,FALSE),"")</f>
        <v/>
      </c>
    </row>
    <row r="1159" spans="1:8">
      <c r="A1159" s="69">
        <v>3009</v>
      </c>
      <c r="B1159" s="69" t="s">
        <v>2609</v>
      </c>
      <c r="C1159" s="70" t="s">
        <v>521</v>
      </c>
      <c r="D1159" s="70" t="s">
        <v>2610</v>
      </c>
      <c r="E1159" s="72">
        <v>1</v>
      </c>
      <c r="F1159" s="70" t="s">
        <v>2612</v>
      </c>
      <c r="G1159" s="70" t="str">
        <f>IFERROR(VLOOKUP(A1159,[1]wms_iv_f!$A$1:$E$136,4,FALSE),"")</f>
        <v/>
      </c>
      <c r="H1159" s="95" t="str">
        <f>IFERROR(VLOOKUP(A1159,[2]wms_lc_f!$A$1:$B$156,2,FALSE),"")</f>
        <v/>
      </c>
    </row>
    <row r="1160" spans="1:8">
      <c r="A1160" s="69">
        <v>139734</v>
      </c>
      <c r="B1160" s="69" t="s">
        <v>2609</v>
      </c>
      <c r="C1160" s="70" t="s">
        <v>520</v>
      </c>
      <c r="D1160" s="70" t="s">
        <v>2610</v>
      </c>
      <c r="E1160" s="72">
        <v>1</v>
      </c>
      <c r="F1160" s="70" t="s">
        <v>2612</v>
      </c>
      <c r="G1160" s="70" t="str">
        <f>IFERROR(VLOOKUP(A1160,[1]wms_iv_f!$A$1:$E$136,4,FALSE),"")</f>
        <v/>
      </c>
      <c r="H1160" s="95" t="str">
        <f>IFERROR(VLOOKUP(A1160,[2]wms_lc_f!$A$1:$B$156,2,FALSE),"")</f>
        <v/>
      </c>
    </row>
    <row r="1161" spans="1:8">
      <c r="A1161" s="69">
        <v>133214</v>
      </c>
      <c r="B1161" s="69" t="s">
        <v>2609</v>
      </c>
      <c r="C1161" s="70" t="s">
        <v>636</v>
      </c>
      <c r="D1161" s="70" t="s">
        <v>2610</v>
      </c>
      <c r="E1161" s="72">
        <v>1</v>
      </c>
      <c r="F1161" s="70"/>
      <c r="G1161" s="70" t="str">
        <f>IFERROR(VLOOKUP(A1161,[1]wms_iv_f!$A$1:$E$136,4,FALSE),"")</f>
        <v/>
      </c>
      <c r="H1161" s="95" t="str">
        <f>IFERROR(VLOOKUP(A1161,[2]wms_lc_f!$A$1:$B$156,2,FALSE),"")</f>
        <v/>
      </c>
    </row>
    <row r="1162" spans="1:8">
      <c r="A1162" s="69">
        <v>125531</v>
      </c>
      <c r="B1162" s="69" t="s">
        <v>2609</v>
      </c>
      <c r="C1162" s="70" t="s">
        <v>635</v>
      </c>
      <c r="D1162" s="70" t="s">
        <v>2610</v>
      </c>
      <c r="E1162" s="72">
        <v>1</v>
      </c>
      <c r="F1162" s="70"/>
      <c r="G1162" s="70" t="str">
        <f>IFERROR(VLOOKUP(A1162,[1]wms_iv_f!$A$1:$E$136,4,FALSE),"")</f>
        <v/>
      </c>
      <c r="H1162" s="95" t="str">
        <f>IFERROR(VLOOKUP(A1162,[2]wms_lc_f!$A$1:$B$156,2,FALSE),"")</f>
        <v/>
      </c>
    </row>
    <row r="1163" spans="1:8">
      <c r="A1163" s="69">
        <v>107015</v>
      </c>
      <c r="B1163" s="69" t="s">
        <v>2609</v>
      </c>
      <c r="C1163" s="70" t="s">
        <v>634</v>
      </c>
      <c r="D1163" s="70" t="s">
        <v>2610</v>
      </c>
      <c r="E1163" s="72">
        <v>1</v>
      </c>
      <c r="F1163" s="70"/>
      <c r="G1163" s="70" t="str">
        <f>IFERROR(VLOOKUP(A1163,[1]wms_iv_f!$A$1:$E$136,4,FALSE),"")</f>
        <v/>
      </c>
      <c r="H1163" s="95" t="str">
        <f>IFERROR(VLOOKUP(A1163,[2]wms_lc_f!$A$1:$B$156,2,FALSE),"")</f>
        <v/>
      </c>
    </row>
    <row r="1164" spans="1:8">
      <c r="A1164" s="69">
        <v>110490</v>
      </c>
      <c r="B1164" s="69" t="s">
        <v>2609</v>
      </c>
      <c r="C1164" s="70" t="s">
        <v>633</v>
      </c>
      <c r="D1164" s="70" t="s">
        <v>2610</v>
      </c>
      <c r="E1164" s="72">
        <v>1</v>
      </c>
      <c r="F1164" s="70"/>
      <c r="G1164" s="70" t="str">
        <f>IFERROR(VLOOKUP(A1164,[1]wms_iv_f!$A$1:$E$136,4,FALSE),"")</f>
        <v/>
      </c>
      <c r="H1164" s="95" t="str">
        <f>IFERROR(VLOOKUP(A1164,[2]wms_lc_f!$A$1:$B$156,2,FALSE),"")</f>
        <v/>
      </c>
    </row>
    <row r="1165" spans="1:8">
      <c r="A1165" s="69">
        <v>53271</v>
      </c>
      <c r="B1165" s="69" t="s">
        <v>2609</v>
      </c>
      <c r="C1165" s="70" t="s">
        <v>632</v>
      </c>
      <c r="D1165" s="70" t="s">
        <v>2610</v>
      </c>
      <c r="E1165" s="72">
        <v>1</v>
      </c>
      <c r="F1165" s="70"/>
      <c r="G1165" s="70" t="str">
        <f>IFERROR(VLOOKUP(A1165,[1]wms_iv_f!$A$1:$E$136,4,FALSE),"")</f>
        <v/>
      </c>
      <c r="H1165" s="95" t="str">
        <f>IFERROR(VLOOKUP(A1165,[2]wms_lc_f!$A$1:$B$156,2,FALSE),"")</f>
        <v/>
      </c>
    </row>
    <row r="1166" spans="1:8">
      <c r="A1166" s="69">
        <v>18737</v>
      </c>
      <c r="B1166" s="69" t="s">
        <v>2609</v>
      </c>
      <c r="C1166" s="70" t="s">
        <v>631</v>
      </c>
      <c r="D1166" s="70" t="s">
        <v>2610</v>
      </c>
      <c r="E1166" s="72">
        <v>1</v>
      </c>
      <c r="F1166" s="70"/>
      <c r="G1166" s="70" t="str">
        <f>IFERROR(VLOOKUP(A1166,[1]wms_iv_f!$A$1:$E$136,4,FALSE),"")</f>
        <v/>
      </c>
      <c r="H1166" s="95" t="str">
        <f>IFERROR(VLOOKUP(A1166,[2]wms_lc_f!$A$1:$B$156,2,FALSE),"")</f>
        <v>12-112-C8</v>
      </c>
    </row>
    <row r="1167" spans="1:8">
      <c r="A1167" s="69">
        <v>82370</v>
      </c>
      <c r="B1167" s="69" t="s">
        <v>2609</v>
      </c>
      <c r="C1167" s="70" t="s">
        <v>408</v>
      </c>
      <c r="D1167" s="70" t="s">
        <v>2610</v>
      </c>
      <c r="E1167" s="72">
        <v>1</v>
      </c>
      <c r="F1167" s="70"/>
      <c r="G1167" s="70" t="str">
        <f>IFERROR(VLOOKUP(A1167,[1]wms_iv_f!$A$1:$E$136,4,FALSE),"")</f>
        <v/>
      </c>
      <c r="H1167" s="95" t="str">
        <f>IFERROR(VLOOKUP(A1167,[2]wms_lc_f!$A$1:$B$156,2,FALSE),"")</f>
        <v/>
      </c>
    </row>
    <row r="1168" spans="1:8">
      <c r="A1168" s="69">
        <v>130156</v>
      </c>
      <c r="B1168" s="69" t="s">
        <v>2609</v>
      </c>
      <c r="C1168" s="70" t="s">
        <v>407</v>
      </c>
      <c r="D1168" s="70" t="s">
        <v>2610</v>
      </c>
      <c r="E1168" s="72">
        <v>1</v>
      </c>
      <c r="F1168" s="70"/>
      <c r="G1168" s="70" t="str">
        <f>IFERROR(VLOOKUP(A1168,[1]wms_iv_f!$A$1:$E$136,4,FALSE),"")</f>
        <v/>
      </c>
      <c r="H1168" s="95" t="str">
        <f>IFERROR(VLOOKUP(A1168,[2]wms_lc_f!$A$1:$B$156,2,FALSE),"")</f>
        <v/>
      </c>
    </row>
    <row r="1169" spans="1:8">
      <c r="A1169" s="69">
        <v>9208</v>
      </c>
      <c r="B1169" s="69" t="s">
        <v>2609</v>
      </c>
      <c r="C1169" s="70" t="s">
        <v>406</v>
      </c>
      <c r="D1169" s="70" t="s">
        <v>2610</v>
      </c>
      <c r="E1169" s="72">
        <v>1</v>
      </c>
      <c r="F1169" s="70"/>
      <c r="G1169" s="70" t="str">
        <f>IFERROR(VLOOKUP(A1169,[1]wms_iv_f!$A$1:$E$136,4,FALSE),"")</f>
        <v/>
      </c>
      <c r="H1169" s="95" t="str">
        <f>IFERROR(VLOOKUP(A1169,[2]wms_lc_f!$A$1:$B$156,2,FALSE),"")</f>
        <v/>
      </c>
    </row>
    <row r="1170" spans="1:8">
      <c r="A1170" s="69">
        <v>18093</v>
      </c>
      <c r="B1170" s="69" t="s">
        <v>2609</v>
      </c>
      <c r="C1170" s="70" t="s">
        <v>405</v>
      </c>
      <c r="D1170" s="70" t="s">
        <v>2610</v>
      </c>
      <c r="E1170" s="72">
        <v>1</v>
      </c>
      <c r="F1170" s="70"/>
      <c r="G1170" s="70" t="str">
        <f>IFERROR(VLOOKUP(A1170,[1]wms_iv_f!$A$1:$E$136,4,FALSE),"")</f>
        <v/>
      </c>
      <c r="H1170" s="95" t="str">
        <f>IFERROR(VLOOKUP(A1170,[2]wms_lc_f!$A$1:$B$156,2,FALSE),"")</f>
        <v/>
      </c>
    </row>
    <row r="1171" spans="1:8">
      <c r="A1171" s="69">
        <v>101738</v>
      </c>
      <c r="B1171" s="69" t="s">
        <v>2609</v>
      </c>
      <c r="C1171" s="70" t="s">
        <v>404</v>
      </c>
      <c r="D1171" s="70" t="s">
        <v>2610</v>
      </c>
      <c r="E1171" s="72">
        <v>1</v>
      </c>
      <c r="F1171" s="70"/>
      <c r="G1171" s="70" t="str">
        <f>IFERROR(VLOOKUP(A1171,[1]wms_iv_f!$A$1:$E$136,4,FALSE),"")</f>
        <v/>
      </c>
      <c r="H1171" s="95" t="str">
        <f>IFERROR(VLOOKUP(A1171,[2]wms_lc_f!$A$1:$B$156,2,FALSE),"")</f>
        <v/>
      </c>
    </row>
    <row r="1172" spans="1:8">
      <c r="A1172" s="69">
        <v>27578</v>
      </c>
      <c r="B1172" s="69" t="s">
        <v>2609</v>
      </c>
      <c r="C1172" s="70" t="s">
        <v>403</v>
      </c>
      <c r="D1172" s="70" t="s">
        <v>2610</v>
      </c>
      <c r="E1172" s="72">
        <v>1</v>
      </c>
      <c r="F1172" s="70"/>
      <c r="G1172" s="70" t="str">
        <f>IFERROR(VLOOKUP(A1172,[1]wms_iv_f!$A$1:$E$136,4,FALSE),"")</f>
        <v/>
      </c>
      <c r="H1172" s="95" t="str">
        <f>IFERROR(VLOOKUP(A1172,[2]wms_lc_f!$A$1:$B$156,2,FALSE),"")</f>
        <v/>
      </c>
    </row>
    <row r="1173" spans="1:8">
      <c r="A1173" s="69">
        <v>126032</v>
      </c>
      <c r="B1173" s="69" t="s">
        <v>2609</v>
      </c>
      <c r="C1173" s="70" t="s">
        <v>519</v>
      </c>
      <c r="D1173" s="70" t="s">
        <v>2610</v>
      </c>
      <c r="E1173" s="72">
        <v>1</v>
      </c>
      <c r="F1173" s="70" t="s">
        <v>2612</v>
      </c>
      <c r="G1173" s="70" t="str">
        <f>IFERROR(VLOOKUP(A1173,[1]wms_iv_f!$A$1:$E$136,4,FALSE),"")</f>
        <v/>
      </c>
      <c r="H1173" s="95" t="str">
        <f>IFERROR(VLOOKUP(A1173,[2]wms_lc_f!$A$1:$B$156,2,FALSE),"")</f>
        <v/>
      </c>
    </row>
    <row r="1174" spans="1:8">
      <c r="A1174" s="69">
        <v>136239</v>
      </c>
      <c r="B1174" s="69" t="s">
        <v>2609</v>
      </c>
      <c r="C1174" s="70" t="s">
        <v>518</v>
      </c>
      <c r="D1174" s="70" t="s">
        <v>2610</v>
      </c>
      <c r="E1174" s="72">
        <v>1</v>
      </c>
      <c r="F1174" s="70" t="s">
        <v>2612</v>
      </c>
      <c r="G1174" s="70" t="str">
        <f>IFERROR(VLOOKUP(A1174,[1]wms_iv_f!$A$1:$E$136,4,FALSE),"")</f>
        <v/>
      </c>
      <c r="H1174" s="95" t="str">
        <f>IFERROR(VLOOKUP(A1174,[2]wms_lc_f!$A$1:$B$156,2,FALSE),"")</f>
        <v/>
      </c>
    </row>
    <row r="1175" spans="1:8">
      <c r="A1175" s="69">
        <v>27574</v>
      </c>
      <c r="B1175" s="69" t="s">
        <v>2609</v>
      </c>
      <c r="C1175" s="70" t="s">
        <v>517</v>
      </c>
      <c r="D1175" s="70" t="s">
        <v>2610</v>
      </c>
      <c r="E1175" s="72">
        <v>1</v>
      </c>
      <c r="F1175" s="70" t="s">
        <v>2612</v>
      </c>
      <c r="G1175" s="70" t="str">
        <f>IFERROR(VLOOKUP(A1175,[1]wms_iv_f!$A$1:$E$136,4,FALSE),"")</f>
        <v/>
      </c>
      <c r="H1175" s="95" t="str">
        <f>IFERROR(VLOOKUP(A1175,[2]wms_lc_f!$A$1:$B$156,2,FALSE),"")</f>
        <v/>
      </c>
    </row>
    <row r="1176" spans="1:8">
      <c r="A1176" s="69">
        <v>27577</v>
      </c>
      <c r="B1176" s="69" t="s">
        <v>2609</v>
      </c>
      <c r="C1176" s="70" t="s">
        <v>516</v>
      </c>
      <c r="D1176" s="70" t="s">
        <v>2610</v>
      </c>
      <c r="E1176" s="72">
        <v>1</v>
      </c>
      <c r="F1176" s="70" t="s">
        <v>2612</v>
      </c>
      <c r="G1176" s="70" t="str">
        <f>IFERROR(VLOOKUP(A1176,[1]wms_iv_f!$A$1:$E$136,4,FALSE),"")</f>
        <v/>
      </c>
      <c r="H1176" s="95" t="str">
        <f>IFERROR(VLOOKUP(A1176,[2]wms_lc_f!$A$1:$B$156,2,FALSE),"")</f>
        <v/>
      </c>
    </row>
    <row r="1177" spans="1:8">
      <c r="A1177" s="69">
        <v>126059</v>
      </c>
      <c r="B1177" s="69" t="s">
        <v>2609</v>
      </c>
      <c r="C1177" s="70" t="s">
        <v>515</v>
      </c>
      <c r="D1177" s="70" t="s">
        <v>2610</v>
      </c>
      <c r="E1177" s="72">
        <v>1</v>
      </c>
      <c r="F1177" s="70" t="s">
        <v>2612</v>
      </c>
      <c r="G1177" s="70" t="str">
        <f>IFERROR(VLOOKUP(A1177,[1]wms_iv_f!$A$1:$E$136,4,FALSE),"")</f>
        <v/>
      </c>
      <c r="H1177" s="95" t="str">
        <f>IFERROR(VLOOKUP(A1177,[2]wms_lc_f!$A$1:$B$156,2,FALSE),"")</f>
        <v/>
      </c>
    </row>
    <row r="1178" spans="1:8">
      <c r="A1178" s="69">
        <v>86991</v>
      </c>
      <c r="B1178" s="69" t="s">
        <v>2609</v>
      </c>
      <c r="C1178" s="70" t="s">
        <v>514</v>
      </c>
      <c r="D1178" s="70" t="s">
        <v>2610</v>
      </c>
      <c r="E1178" s="72">
        <v>1</v>
      </c>
      <c r="F1178" s="70" t="s">
        <v>2612</v>
      </c>
      <c r="G1178" s="70" t="str">
        <f>IFERROR(VLOOKUP(A1178,[1]wms_iv_f!$A$1:$E$136,4,FALSE),"")</f>
        <v/>
      </c>
      <c r="H1178" s="95" t="str">
        <f>IFERROR(VLOOKUP(A1178,[2]wms_lc_f!$A$1:$B$156,2,FALSE),"")</f>
        <v/>
      </c>
    </row>
    <row r="1179" spans="1:8">
      <c r="A1179" s="69">
        <v>110680</v>
      </c>
      <c r="B1179" s="69" t="s">
        <v>2609</v>
      </c>
      <c r="C1179" s="70" t="s">
        <v>630</v>
      </c>
      <c r="D1179" s="70" t="s">
        <v>2610</v>
      </c>
      <c r="E1179" s="72">
        <v>1</v>
      </c>
      <c r="F1179" s="70"/>
      <c r="G1179" s="70" t="str">
        <f>IFERROR(VLOOKUP(A1179,[1]wms_iv_f!$A$1:$E$136,4,FALSE),"")</f>
        <v/>
      </c>
      <c r="H1179" s="95" t="str">
        <f>IFERROR(VLOOKUP(A1179,[2]wms_lc_f!$A$1:$B$156,2,FALSE),"")</f>
        <v/>
      </c>
    </row>
    <row r="1180" spans="1:8">
      <c r="A1180" s="69">
        <v>140286</v>
      </c>
      <c r="B1180" s="69" t="s">
        <v>2609</v>
      </c>
      <c r="C1180" s="70" t="s">
        <v>629</v>
      </c>
      <c r="D1180" s="70" t="s">
        <v>2610</v>
      </c>
      <c r="E1180" s="72">
        <v>1</v>
      </c>
      <c r="F1180" s="70"/>
      <c r="G1180" s="70" t="str">
        <f>IFERROR(VLOOKUP(A1180,[1]wms_iv_f!$A$1:$E$136,4,FALSE),"")</f>
        <v/>
      </c>
      <c r="H1180" s="95" t="str">
        <f>IFERROR(VLOOKUP(A1180,[2]wms_lc_f!$A$1:$B$156,2,FALSE),"")</f>
        <v/>
      </c>
    </row>
    <row r="1181" spans="1:8">
      <c r="A1181" s="69">
        <v>39529</v>
      </c>
      <c r="B1181" s="69" t="s">
        <v>2609</v>
      </c>
      <c r="C1181" s="70" t="s">
        <v>628</v>
      </c>
      <c r="D1181" s="70" t="s">
        <v>2610</v>
      </c>
      <c r="E1181" s="72">
        <v>1</v>
      </c>
      <c r="F1181" s="70"/>
      <c r="G1181" s="70" t="str">
        <f>IFERROR(VLOOKUP(A1181,[1]wms_iv_f!$A$1:$E$136,4,FALSE),"")</f>
        <v/>
      </c>
      <c r="H1181" s="95" t="str">
        <f>IFERROR(VLOOKUP(A1181,[2]wms_lc_f!$A$1:$B$156,2,FALSE),"")</f>
        <v/>
      </c>
    </row>
    <row r="1182" spans="1:8">
      <c r="A1182" s="69">
        <v>137485</v>
      </c>
      <c r="B1182" s="69" t="s">
        <v>2609</v>
      </c>
      <c r="C1182" s="70" t="s">
        <v>627</v>
      </c>
      <c r="D1182" s="70" t="s">
        <v>2610</v>
      </c>
      <c r="E1182" s="72">
        <v>1</v>
      </c>
      <c r="F1182" s="70"/>
      <c r="G1182" s="70" t="str">
        <f>IFERROR(VLOOKUP(A1182,[1]wms_iv_f!$A$1:$E$136,4,FALSE),"")</f>
        <v/>
      </c>
      <c r="H1182" s="95" t="str">
        <f>IFERROR(VLOOKUP(A1182,[2]wms_lc_f!$A$1:$B$156,2,FALSE),"")</f>
        <v/>
      </c>
    </row>
    <row r="1183" spans="1:8">
      <c r="A1183" s="69">
        <v>135745</v>
      </c>
      <c r="B1183" s="69" t="s">
        <v>2609</v>
      </c>
      <c r="C1183" s="70" t="s">
        <v>626</v>
      </c>
      <c r="D1183" s="70" t="s">
        <v>2610</v>
      </c>
      <c r="E1183" s="72">
        <v>1</v>
      </c>
      <c r="F1183" s="70"/>
      <c r="G1183" s="70" t="str">
        <f>IFERROR(VLOOKUP(A1183,[1]wms_iv_f!$A$1:$E$136,4,FALSE),"")</f>
        <v/>
      </c>
      <c r="H1183" s="95" t="str">
        <f>IFERROR(VLOOKUP(A1183,[2]wms_lc_f!$A$1:$B$156,2,FALSE),"")</f>
        <v/>
      </c>
    </row>
    <row r="1184" spans="1:8">
      <c r="A1184" s="69">
        <v>138519</v>
      </c>
      <c r="B1184" s="69" t="s">
        <v>2609</v>
      </c>
      <c r="C1184" s="70" t="s">
        <v>625</v>
      </c>
      <c r="D1184" s="70" t="s">
        <v>2610</v>
      </c>
      <c r="E1184" s="72">
        <v>1</v>
      </c>
      <c r="F1184" s="70"/>
      <c r="G1184" s="70" t="str">
        <f>IFERROR(VLOOKUP(A1184,[1]wms_iv_f!$A$1:$E$136,4,FALSE),"")</f>
        <v/>
      </c>
      <c r="H1184" s="95" t="str">
        <f>IFERROR(VLOOKUP(A1184,[2]wms_lc_f!$A$1:$B$156,2,FALSE),"")</f>
        <v/>
      </c>
    </row>
    <row r="1185" spans="1:8">
      <c r="A1185" s="69">
        <v>125262</v>
      </c>
      <c r="B1185" s="69" t="s">
        <v>2609</v>
      </c>
      <c r="C1185" s="70" t="s">
        <v>402</v>
      </c>
      <c r="D1185" s="70" t="s">
        <v>2610</v>
      </c>
      <c r="E1185" s="72">
        <v>1</v>
      </c>
      <c r="F1185" s="70"/>
      <c r="G1185" s="70" t="str">
        <f>IFERROR(VLOOKUP(A1185,[1]wms_iv_f!$A$1:$E$136,4,FALSE),"")</f>
        <v/>
      </c>
      <c r="H1185" s="95" t="str">
        <f>IFERROR(VLOOKUP(A1185,[2]wms_lc_f!$A$1:$B$156,2,FALSE),"")</f>
        <v/>
      </c>
    </row>
    <row r="1186" spans="1:8">
      <c r="A1186" s="69">
        <v>105917</v>
      </c>
      <c r="B1186" s="69" t="s">
        <v>2609</v>
      </c>
      <c r="C1186" s="70" t="s">
        <v>401</v>
      </c>
      <c r="D1186" s="70" t="s">
        <v>2610</v>
      </c>
      <c r="E1186" s="72">
        <v>1</v>
      </c>
      <c r="F1186" s="70"/>
      <c r="G1186" s="70" t="str">
        <f>IFERROR(VLOOKUP(A1186,[1]wms_iv_f!$A$1:$E$136,4,FALSE),"")</f>
        <v/>
      </c>
      <c r="H1186" s="95" t="str">
        <f>IFERROR(VLOOKUP(A1186,[2]wms_lc_f!$A$1:$B$156,2,FALSE),"")</f>
        <v/>
      </c>
    </row>
    <row r="1187" spans="1:8">
      <c r="A1187" s="69">
        <v>110684</v>
      </c>
      <c r="B1187" s="69" t="s">
        <v>2609</v>
      </c>
      <c r="C1187" s="70" t="s">
        <v>400</v>
      </c>
      <c r="D1187" s="70" t="s">
        <v>2610</v>
      </c>
      <c r="E1187" s="72">
        <v>1</v>
      </c>
      <c r="F1187" s="70"/>
      <c r="G1187" s="70" t="str">
        <f>IFERROR(VLOOKUP(A1187,[1]wms_iv_f!$A$1:$E$136,4,FALSE),"")</f>
        <v/>
      </c>
      <c r="H1187" s="95" t="str">
        <f>IFERROR(VLOOKUP(A1187,[2]wms_lc_f!$A$1:$B$156,2,FALSE),"")</f>
        <v/>
      </c>
    </row>
    <row r="1188" spans="1:8">
      <c r="A1188" s="69">
        <v>108438</v>
      </c>
      <c r="B1188" s="69" t="s">
        <v>2609</v>
      </c>
      <c r="C1188" s="70" t="s">
        <v>399</v>
      </c>
      <c r="D1188" s="70" t="s">
        <v>2610</v>
      </c>
      <c r="E1188" s="72">
        <v>1</v>
      </c>
      <c r="F1188" s="70"/>
      <c r="G1188" s="70" t="str">
        <f>IFERROR(VLOOKUP(A1188,[1]wms_iv_f!$A$1:$E$136,4,FALSE),"")</f>
        <v/>
      </c>
      <c r="H1188" s="95" t="str">
        <f>IFERROR(VLOOKUP(A1188,[2]wms_lc_f!$A$1:$B$156,2,FALSE),"")</f>
        <v/>
      </c>
    </row>
    <row r="1189" spans="1:8">
      <c r="A1189" s="69">
        <v>110841</v>
      </c>
      <c r="B1189" s="69" t="s">
        <v>2609</v>
      </c>
      <c r="C1189" s="70" t="s">
        <v>398</v>
      </c>
      <c r="D1189" s="70" t="s">
        <v>2610</v>
      </c>
      <c r="E1189" s="72">
        <v>1</v>
      </c>
      <c r="F1189" s="70"/>
      <c r="G1189" s="70" t="str">
        <f>IFERROR(VLOOKUP(A1189,[1]wms_iv_f!$A$1:$E$136,4,FALSE),"")</f>
        <v/>
      </c>
      <c r="H1189" s="95" t="str">
        <f>IFERROR(VLOOKUP(A1189,[2]wms_lc_f!$A$1:$B$156,2,FALSE),"")</f>
        <v/>
      </c>
    </row>
    <row r="1190" spans="1:8">
      <c r="A1190" s="69">
        <v>126104</v>
      </c>
      <c r="B1190" s="69" t="s">
        <v>2609</v>
      </c>
      <c r="C1190" s="70" t="s">
        <v>397</v>
      </c>
      <c r="D1190" s="70" t="s">
        <v>2610</v>
      </c>
      <c r="E1190" s="72">
        <v>1</v>
      </c>
      <c r="F1190" s="70"/>
      <c r="G1190" s="70" t="str">
        <f>IFERROR(VLOOKUP(A1190,[1]wms_iv_f!$A$1:$E$136,4,FALSE),"")</f>
        <v/>
      </c>
      <c r="H1190" s="95" t="str">
        <f>IFERROR(VLOOKUP(A1190,[2]wms_lc_f!$A$1:$B$156,2,FALSE),"")</f>
        <v/>
      </c>
    </row>
    <row r="1191" spans="1:8">
      <c r="A1191" s="69">
        <v>126105</v>
      </c>
      <c r="B1191" s="69" t="s">
        <v>2609</v>
      </c>
      <c r="C1191" s="70" t="s">
        <v>513</v>
      </c>
      <c r="D1191" s="70" t="s">
        <v>2610</v>
      </c>
      <c r="E1191" s="72">
        <v>1</v>
      </c>
      <c r="F1191" s="70"/>
      <c r="G1191" s="70" t="str">
        <f>IFERROR(VLOOKUP(A1191,[1]wms_iv_f!$A$1:$E$136,4,FALSE),"")</f>
        <v/>
      </c>
      <c r="H1191" s="95" t="str">
        <f>IFERROR(VLOOKUP(A1191,[2]wms_lc_f!$A$1:$B$156,2,FALSE),"")</f>
        <v/>
      </c>
    </row>
    <row r="1192" spans="1:8">
      <c r="A1192" s="69">
        <v>131598</v>
      </c>
      <c r="B1192" s="69" t="s">
        <v>2609</v>
      </c>
      <c r="C1192" s="70" t="s">
        <v>512</v>
      </c>
      <c r="D1192" s="70" t="s">
        <v>2610</v>
      </c>
      <c r="E1192" s="72">
        <v>1</v>
      </c>
      <c r="F1192" s="70"/>
      <c r="G1192" s="70" t="str">
        <f>IFERROR(VLOOKUP(A1192,[1]wms_iv_f!$A$1:$E$136,4,FALSE),"")</f>
        <v/>
      </c>
      <c r="H1192" s="95" t="str">
        <f>IFERROR(VLOOKUP(A1192,[2]wms_lc_f!$A$1:$B$156,2,FALSE),"")</f>
        <v/>
      </c>
    </row>
    <row r="1193" spans="1:8">
      <c r="A1193" s="69">
        <v>125260</v>
      </c>
      <c r="B1193" s="69" t="s">
        <v>2609</v>
      </c>
      <c r="C1193" s="70" t="s">
        <v>511</v>
      </c>
      <c r="D1193" s="70" t="s">
        <v>2610</v>
      </c>
      <c r="E1193" s="72">
        <v>1</v>
      </c>
      <c r="F1193" s="70"/>
      <c r="G1193" s="70" t="str">
        <f>IFERROR(VLOOKUP(A1193,[1]wms_iv_f!$A$1:$E$136,4,FALSE),"")</f>
        <v/>
      </c>
      <c r="H1193" s="95" t="str">
        <f>IFERROR(VLOOKUP(A1193,[2]wms_lc_f!$A$1:$B$156,2,FALSE),"")</f>
        <v/>
      </c>
    </row>
    <row r="1194" spans="1:8">
      <c r="A1194" s="69">
        <v>110685</v>
      </c>
      <c r="B1194" s="69" t="s">
        <v>2609</v>
      </c>
      <c r="C1194" s="70" t="s">
        <v>510</v>
      </c>
      <c r="D1194" s="70" t="s">
        <v>2610</v>
      </c>
      <c r="E1194" s="72">
        <v>1</v>
      </c>
      <c r="F1194" s="70"/>
      <c r="G1194" s="70" t="str">
        <f>IFERROR(VLOOKUP(A1194,[1]wms_iv_f!$A$1:$E$136,4,FALSE),"")</f>
        <v/>
      </c>
      <c r="H1194" s="95" t="str">
        <f>IFERROR(VLOOKUP(A1194,[2]wms_lc_f!$A$1:$B$156,2,FALSE),"")</f>
        <v/>
      </c>
    </row>
    <row r="1195" spans="1:8">
      <c r="A1195" s="69">
        <v>114052</v>
      </c>
      <c r="B1195" s="69" t="s">
        <v>2609</v>
      </c>
      <c r="C1195" s="70" t="s">
        <v>509</v>
      </c>
      <c r="D1195" s="70" t="s">
        <v>2610</v>
      </c>
      <c r="E1195" s="72">
        <v>1</v>
      </c>
      <c r="F1195" s="70"/>
      <c r="G1195" s="70" t="str">
        <f>IFERROR(VLOOKUP(A1195,[1]wms_iv_f!$A$1:$E$136,4,FALSE),"")</f>
        <v/>
      </c>
      <c r="H1195" s="95" t="str">
        <f>IFERROR(VLOOKUP(A1195,[2]wms_lc_f!$A$1:$B$156,2,FALSE),"")</f>
        <v/>
      </c>
    </row>
    <row r="1196" spans="1:8">
      <c r="A1196" s="69">
        <v>116652</v>
      </c>
      <c r="B1196" s="69" t="s">
        <v>2609</v>
      </c>
      <c r="C1196" s="70" t="s">
        <v>508</v>
      </c>
      <c r="D1196" s="70" t="s">
        <v>2610</v>
      </c>
      <c r="E1196" s="72">
        <v>1</v>
      </c>
      <c r="F1196" s="70"/>
      <c r="G1196" s="70" t="str">
        <f>IFERROR(VLOOKUP(A1196,[1]wms_iv_f!$A$1:$E$136,4,FALSE),"")</f>
        <v/>
      </c>
      <c r="H1196" s="95" t="str">
        <f>IFERROR(VLOOKUP(A1196,[2]wms_lc_f!$A$1:$B$156,2,FALSE),"")</f>
        <v/>
      </c>
    </row>
    <row r="1197" spans="1:8">
      <c r="A1197" s="69">
        <v>14454</v>
      </c>
      <c r="B1197" s="69" t="s">
        <v>2609</v>
      </c>
      <c r="C1197" s="70" t="s">
        <v>624</v>
      </c>
      <c r="D1197" s="70" t="s">
        <v>2610</v>
      </c>
      <c r="E1197" s="72">
        <v>1</v>
      </c>
      <c r="F1197" s="70"/>
      <c r="G1197" s="70" t="str">
        <f>IFERROR(VLOOKUP(A1197,[1]wms_iv_f!$A$1:$E$136,4,FALSE),"")</f>
        <v/>
      </c>
      <c r="H1197" s="95" t="str">
        <f>IFERROR(VLOOKUP(A1197,[2]wms_lc_f!$A$1:$B$156,2,FALSE),"")</f>
        <v/>
      </c>
    </row>
    <row r="1198" spans="1:8">
      <c r="A1198" s="69">
        <v>83062</v>
      </c>
      <c r="B1198" s="69" t="s">
        <v>2609</v>
      </c>
      <c r="C1198" s="70" t="s">
        <v>623</v>
      </c>
      <c r="D1198" s="70" t="s">
        <v>2610</v>
      </c>
      <c r="E1198" s="72">
        <v>1</v>
      </c>
      <c r="F1198" s="70"/>
      <c r="G1198" s="70" t="str">
        <f>IFERROR(VLOOKUP(A1198,[1]wms_iv_f!$A$1:$E$136,4,FALSE),"")</f>
        <v/>
      </c>
      <c r="H1198" s="95" t="str">
        <f>IFERROR(VLOOKUP(A1198,[2]wms_lc_f!$A$1:$B$156,2,FALSE),"")</f>
        <v/>
      </c>
    </row>
    <row r="1199" spans="1:8">
      <c r="A1199" s="69">
        <v>125261</v>
      </c>
      <c r="B1199" s="69" t="s">
        <v>2609</v>
      </c>
      <c r="C1199" s="70" t="s">
        <v>622</v>
      </c>
      <c r="D1199" s="70" t="s">
        <v>2610</v>
      </c>
      <c r="E1199" s="72">
        <v>1</v>
      </c>
      <c r="F1199" s="70"/>
      <c r="G1199" s="70" t="str">
        <f>IFERROR(VLOOKUP(A1199,[1]wms_iv_f!$A$1:$E$136,4,FALSE),"")</f>
        <v/>
      </c>
      <c r="H1199" s="95" t="str">
        <f>IFERROR(VLOOKUP(A1199,[2]wms_lc_f!$A$1:$B$156,2,FALSE),"")</f>
        <v/>
      </c>
    </row>
    <row r="1200" spans="1:8">
      <c r="A1200" s="69">
        <v>113994</v>
      </c>
      <c r="B1200" s="69" t="s">
        <v>2609</v>
      </c>
      <c r="C1200" s="70" t="s">
        <v>621</v>
      </c>
      <c r="D1200" s="70" t="s">
        <v>2610</v>
      </c>
      <c r="E1200" s="72">
        <v>1</v>
      </c>
      <c r="F1200" s="70"/>
      <c r="G1200" s="70" t="str">
        <f>IFERROR(VLOOKUP(A1200,[1]wms_iv_f!$A$1:$E$136,4,FALSE),"")</f>
        <v/>
      </c>
      <c r="H1200" s="95" t="str">
        <f>IFERROR(VLOOKUP(A1200,[2]wms_lc_f!$A$1:$B$156,2,FALSE),"")</f>
        <v/>
      </c>
    </row>
    <row r="1201" spans="1:8">
      <c r="A1201" s="69">
        <v>2489</v>
      </c>
      <c r="B1201" s="69" t="s">
        <v>2609</v>
      </c>
      <c r="C1201" s="70" t="s">
        <v>620</v>
      </c>
      <c r="D1201" s="70" t="s">
        <v>2610</v>
      </c>
      <c r="E1201" s="72">
        <v>1</v>
      </c>
      <c r="F1201" s="70"/>
      <c r="G1201" s="70" t="str">
        <f>IFERROR(VLOOKUP(A1201,[1]wms_iv_f!$A$1:$E$136,4,FALSE),"")</f>
        <v/>
      </c>
      <c r="H1201" s="95" t="str">
        <f>IFERROR(VLOOKUP(A1201,[2]wms_lc_f!$A$1:$B$156,2,FALSE),"")</f>
        <v/>
      </c>
    </row>
    <row r="1202" spans="1:8">
      <c r="A1202" s="69">
        <v>159180</v>
      </c>
      <c r="B1202" s="69" t="s">
        <v>2609</v>
      </c>
      <c r="C1202" s="70" t="s">
        <v>619</v>
      </c>
      <c r="D1202" s="70" t="s">
        <v>2610</v>
      </c>
      <c r="E1202" s="72">
        <v>1</v>
      </c>
      <c r="F1202" s="70"/>
      <c r="G1202" s="70" t="str">
        <f>IFERROR(VLOOKUP(A1202,[1]wms_iv_f!$A$1:$E$136,4,FALSE),"")</f>
        <v/>
      </c>
      <c r="H1202" s="95" t="str">
        <f>IFERROR(VLOOKUP(A1202,[2]wms_lc_f!$A$1:$B$156,2,FALSE),"")</f>
        <v/>
      </c>
    </row>
    <row r="1203" spans="1:8">
      <c r="A1203" s="69">
        <v>110503</v>
      </c>
      <c r="B1203" s="69" t="s">
        <v>2609</v>
      </c>
      <c r="C1203" s="70" t="s">
        <v>396</v>
      </c>
      <c r="D1203" s="70" t="s">
        <v>2610</v>
      </c>
      <c r="E1203" s="72">
        <v>1</v>
      </c>
      <c r="F1203" s="70"/>
      <c r="G1203" s="70" t="str">
        <f>IFERROR(VLOOKUP(A1203,[1]wms_iv_f!$A$1:$E$136,4,FALSE),"")</f>
        <v/>
      </c>
      <c r="H1203" s="95" t="str">
        <f>IFERROR(VLOOKUP(A1203,[2]wms_lc_f!$A$1:$B$156,2,FALSE),"")</f>
        <v/>
      </c>
    </row>
    <row r="1204" spans="1:8">
      <c r="A1204" s="69">
        <v>93785</v>
      </c>
      <c r="B1204" s="69" t="s">
        <v>2609</v>
      </c>
      <c r="C1204" s="70" t="s">
        <v>395</v>
      </c>
      <c r="D1204" s="70" t="s">
        <v>2610</v>
      </c>
      <c r="E1204" s="72">
        <v>1</v>
      </c>
      <c r="F1204" s="70"/>
      <c r="G1204" s="70" t="str">
        <f>IFERROR(VLOOKUP(A1204,[1]wms_iv_f!$A$1:$E$136,4,FALSE),"")</f>
        <v/>
      </c>
      <c r="H1204" s="95" t="str">
        <f>IFERROR(VLOOKUP(A1204,[2]wms_lc_f!$A$1:$B$156,2,FALSE),"")</f>
        <v/>
      </c>
    </row>
    <row r="1205" spans="1:8">
      <c r="A1205" s="69">
        <v>132823</v>
      </c>
      <c r="B1205" s="69" t="s">
        <v>2609</v>
      </c>
      <c r="C1205" s="70" t="s">
        <v>394</v>
      </c>
      <c r="D1205" s="70" t="s">
        <v>2610</v>
      </c>
      <c r="E1205" s="72">
        <v>1</v>
      </c>
      <c r="F1205" s="70"/>
      <c r="G1205" s="70" t="str">
        <f>IFERROR(VLOOKUP(A1205,[1]wms_iv_f!$A$1:$E$136,4,FALSE),"")</f>
        <v/>
      </c>
      <c r="H1205" s="95" t="str">
        <f>IFERROR(VLOOKUP(A1205,[2]wms_lc_f!$A$1:$B$156,2,FALSE),"")</f>
        <v/>
      </c>
    </row>
    <row r="1206" spans="1:8">
      <c r="A1206" s="69">
        <v>140675</v>
      </c>
      <c r="B1206" s="69" t="s">
        <v>2609</v>
      </c>
      <c r="C1206" s="70" t="s">
        <v>393</v>
      </c>
      <c r="D1206" s="70" t="s">
        <v>2610</v>
      </c>
      <c r="E1206" s="72">
        <v>1</v>
      </c>
      <c r="F1206" s="70"/>
      <c r="G1206" s="70" t="str">
        <f>IFERROR(VLOOKUP(A1206,[1]wms_iv_f!$A$1:$E$136,4,FALSE),"")</f>
        <v/>
      </c>
      <c r="H1206" s="95" t="str">
        <f>IFERROR(VLOOKUP(A1206,[2]wms_lc_f!$A$1:$B$156,2,FALSE),"")</f>
        <v/>
      </c>
    </row>
    <row r="1207" spans="1:8">
      <c r="A1207" s="69">
        <v>139735</v>
      </c>
      <c r="B1207" s="69" t="s">
        <v>2609</v>
      </c>
      <c r="C1207" s="70" t="s">
        <v>392</v>
      </c>
      <c r="D1207" s="70" t="s">
        <v>2610</v>
      </c>
      <c r="E1207" s="72">
        <v>1</v>
      </c>
      <c r="F1207" s="70"/>
      <c r="G1207" s="70" t="str">
        <f>IFERROR(VLOOKUP(A1207,[1]wms_iv_f!$A$1:$E$136,4,FALSE),"")</f>
        <v/>
      </c>
      <c r="H1207" s="95" t="str">
        <f>IFERROR(VLOOKUP(A1207,[2]wms_lc_f!$A$1:$B$156,2,FALSE),"")</f>
        <v/>
      </c>
    </row>
    <row r="1208" spans="1:8">
      <c r="A1208" s="69">
        <v>100752</v>
      </c>
      <c r="B1208" s="69" t="s">
        <v>2609</v>
      </c>
      <c r="C1208" s="70" t="s">
        <v>391</v>
      </c>
      <c r="D1208" s="70" t="s">
        <v>2610</v>
      </c>
      <c r="E1208" s="72">
        <v>1</v>
      </c>
      <c r="F1208" s="70"/>
      <c r="G1208" s="70" t="str">
        <f>IFERROR(VLOOKUP(A1208,[1]wms_iv_f!$A$1:$E$136,4,FALSE),"")</f>
        <v/>
      </c>
      <c r="H1208" s="95" t="str">
        <f>IFERROR(VLOOKUP(A1208,[2]wms_lc_f!$A$1:$B$156,2,FALSE),"")</f>
        <v/>
      </c>
    </row>
    <row r="1209" spans="1:8">
      <c r="A1209" s="69">
        <v>2646</v>
      </c>
      <c r="B1209" s="69" t="s">
        <v>2609</v>
      </c>
      <c r="C1209" s="70" t="s">
        <v>507</v>
      </c>
      <c r="D1209" s="70" t="s">
        <v>2610</v>
      </c>
      <c r="E1209" s="72">
        <v>1</v>
      </c>
      <c r="F1209" s="70"/>
      <c r="G1209" s="70" t="str">
        <f>IFERROR(VLOOKUP(A1209,[1]wms_iv_f!$A$1:$E$136,4,FALSE),"")</f>
        <v/>
      </c>
      <c r="H1209" s="95" t="str">
        <f>IFERROR(VLOOKUP(A1209,[2]wms_lc_f!$A$1:$B$156,2,FALSE),"")</f>
        <v/>
      </c>
    </row>
    <row r="1210" spans="1:8">
      <c r="A1210" s="69">
        <v>138811</v>
      </c>
      <c r="B1210" s="69" t="s">
        <v>2609</v>
      </c>
      <c r="C1210" s="70" t="s">
        <v>506</v>
      </c>
      <c r="D1210" s="70" t="s">
        <v>2610</v>
      </c>
      <c r="E1210" s="72">
        <v>1</v>
      </c>
      <c r="F1210" s="70"/>
      <c r="G1210" s="70" t="str">
        <f>IFERROR(VLOOKUP(A1210,[1]wms_iv_f!$A$1:$E$136,4,FALSE),"")</f>
        <v/>
      </c>
      <c r="H1210" s="95" t="str">
        <f>IFERROR(VLOOKUP(A1210,[2]wms_lc_f!$A$1:$B$156,2,FALSE),"")</f>
        <v/>
      </c>
    </row>
    <row r="1211" spans="1:8">
      <c r="A1211" s="69">
        <v>110502</v>
      </c>
      <c r="B1211" s="69" t="s">
        <v>2609</v>
      </c>
      <c r="C1211" s="70" t="s">
        <v>505</v>
      </c>
      <c r="D1211" s="70" t="s">
        <v>2610</v>
      </c>
      <c r="E1211" s="72">
        <v>1</v>
      </c>
      <c r="F1211" s="70"/>
      <c r="G1211" s="70" t="str">
        <f>IFERROR(VLOOKUP(A1211,[1]wms_iv_f!$A$1:$E$136,4,FALSE),"")</f>
        <v/>
      </c>
      <c r="H1211" s="95" t="str">
        <f>IFERROR(VLOOKUP(A1211,[2]wms_lc_f!$A$1:$B$156,2,FALSE),"")</f>
        <v/>
      </c>
    </row>
    <row r="1212" spans="1:8">
      <c r="A1212" s="69">
        <v>138815</v>
      </c>
      <c r="B1212" s="69" t="s">
        <v>2609</v>
      </c>
      <c r="C1212" s="70" t="s">
        <v>504</v>
      </c>
      <c r="D1212" s="70" t="s">
        <v>2610</v>
      </c>
      <c r="E1212" s="72">
        <v>1</v>
      </c>
      <c r="F1212" s="70"/>
      <c r="G1212" s="70" t="str">
        <f>IFERROR(VLOOKUP(A1212,[1]wms_iv_f!$A$1:$E$136,4,FALSE),"")</f>
        <v/>
      </c>
      <c r="H1212" s="95" t="str">
        <f>IFERROR(VLOOKUP(A1212,[2]wms_lc_f!$A$1:$B$156,2,FALSE),"")</f>
        <v/>
      </c>
    </row>
    <row r="1213" spans="1:8">
      <c r="A1213" s="69">
        <v>144249</v>
      </c>
      <c r="B1213" s="69" t="s">
        <v>2609</v>
      </c>
      <c r="C1213" s="70" t="s">
        <v>503</v>
      </c>
      <c r="D1213" s="70" t="s">
        <v>2610</v>
      </c>
      <c r="E1213" s="72">
        <v>1</v>
      </c>
      <c r="F1213" s="70"/>
      <c r="G1213" s="70" t="str">
        <f>IFERROR(VLOOKUP(A1213,[1]wms_iv_f!$A$1:$E$136,4,FALSE),"")</f>
        <v/>
      </c>
      <c r="H1213" s="95" t="str">
        <f>IFERROR(VLOOKUP(A1213,[2]wms_lc_f!$A$1:$B$156,2,FALSE),"")</f>
        <v/>
      </c>
    </row>
    <row r="1214" spans="1:8">
      <c r="A1214" s="69">
        <v>60997</v>
      </c>
      <c r="B1214" s="69" t="s">
        <v>2609</v>
      </c>
      <c r="C1214" s="70" t="s">
        <v>502</v>
      </c>
      <c r="D1214" s="70" t="s">
        <v>2610</v>
      </c>
      <c r="E1214" s="72">
        <v>1</v>
      </c>
      <c r="F1214" s="70"/>
      <c r="G1214" s="70" t="str">
        <f>IFERROR(VLOOKUP(A1214,[1]wms_iv_f!$A$1:$E$136,4,FALSE),"")</f>
        <v/>
      </c>
      <c r="H1214" s="95" t="str">
        <f>IFERROR(VLOOKUP(A1214,[2]wms_lc_f!$A$1:$B$156,2,FALSE),"")</f>
        <v/>
      </c>
    </row>
    <row r="1215" spans="1:8">
      <c r="A1215" s="69">
        <v>99765</v>
      </c>
      <c r="B1215" s="69" t="s">
        <v>2609</v>
      </c>
      <c r="C1215" s="70" t="s">
        <v>618</v>
      </c>
      <c r="D1215" s="70" t="s">
        <v>2610</v>
      </c>
      <c r="E1215" s="72">
        <v>1</v>
      </c>
      <c r="F1215" s="70"/>
      <c r="G1215" s="70" t="str">
        <f>IFERROR(VLOOKUP(A1215,[1]wms_iv_f!$A$1:$E$136,4,FALSE),"")</f>
        <v/>
      </c>
      <c r="H1215" s="95" t="str">
        <f>IFERROR(VLOOKUP(A1215,[2]wms_lc_f!$A$1:$B$156,2,FALSE),"")</f>
        <v/>
      </c>
    </row>
    <row r="1216" spans="1:8">
      <c r="A1216" s="69">
        <v>158120</v>
      </c>
      <c r="B1216" s="69" t="s">
        <v>2609</v>
      </c>
      <c r="C1216" s="70" t="s">
        <v>617</v>
      </c>
      <c r="D1216" s="70" t="s">
        <v>2610</v>
      </c>
      <c r="E1216" s="72">
        <v>1</v>
      </c>
      <c r="F1216" s="70"/>
      <c r="G1216" s="70" t="str">
        <f>IFERROR(VLOOKUP(A1216,[1]wms_iv_f!$A$1:$E$136,4,FALSE),"")</f>
        <v/>
      </c>
      <c r="H1216" s="95" t="str">
        <f>IFERROR(VLOOKUP(A1216,[2]wms_lc_f!$A$1:$B$156,2,FALSE),"")</f>
        <v/>
      </c>
    </row>
    <row r="1217" spans="1:8">
      <c r="A1217" s="69">
        <v>126006</v>
      </c>
      <c r="B1217" s="69" t="s">
        <v>2609</v>
      </c>
      <c r="C1217" s="70" t="s">
        <v>616</v>
      </c>
      <c r="D1217" s="70" t="s">
        <v>2610</v>
      </c>
      <c r="E1217" s="72">
        <v>1</v>
      </c>
      <c r="F1217" s="70"/>
      <c r="G1217" s="70" t="str">
        <f>IFERROR(VLOOKUP(A1217,[1]wms_iv_f!$A$1:$E$136,4,FALSE),"")</f>
        <v/>
      </c>
      <c r="H1217" s="95" t="str">
        <f>IFERROR(VLOOKUP(A1217,[2]wms_lc_f!$A$1:$B$156,2,FALSE),"")</f>
        <v/>
      </c>
    </row>
    <row r="1218" spans="1:8">
      <c r="A1218" s="69">
        <v>451</v>
      </c>
      <c r="B1218" s="69" t="s">
        <v>2609</v>
      </c>
      <c r="C1218" s="70" t="s">
        <v>615</v>
      </c>
      <c r="D1218" s="70" t="s">
        <v>2610</v>
      </c>
      <c r="E1218" s="72">
        <v>1</v>
      </c>
      <c r="F1218" s="70"/>
      <c r="G1218" s="70" t="str">
        <f>IFERROR(VLOOKUP(A1218,[1]wms_iv_f!$A$1:$E$136,4,FALSE),"")</f>
        <v/>
      </c>
      <c r="H1218" s="95" t="str">
        <f>IFERROR(VLOOKUP(A1218,[2]wms_lc_f!$A$1:$B$156,2,FALSE),"")</f>
        <v/>
      </c>
    </row>
    <row r="1219" spans="1:8">
      <c r="A1219" s="69">
        <v>1512</v>
      </c>
      <c r="B1219" s="69" t="s">
        <v>2609</v>
      </c>
      <c r="C1219" s="70" t="s">
        <v>614</v>
      </c>
      <c r="D1219" s="70" t="s">
        <v>2610</v>
      </c>
      <c r="E1219" s="72">
        <v>1</v>
      </c>
      <c r="F1219" s="70"/>
      <c r="G1219" s="70" t="str">
        <f>IFERROR(VLOOKUP(A1219,[1]wms_iv_f!$A$1:$E$136,4,FALSE),"")</f>
        <v/>
      </c>
      <c r="H1219" s="95" t="str">
        <f>IFERROR(VLOOKUP(A1219,[2]wms_lc_f!$A$1:$B$156,2,FALSE),"")</f>
        <v/>
      </c>
    </row>
    <row r="1220" spans="1:8">
      <c r="A1220" s="69">
        <v>1450</v>
      </c>
      <c r="B1220" s="69" t="s">
        <v>2609</v>
      </c>
      <c r="C1220" s="70" t="s">
        <v>613</v>
      </c>
      <c r="D1220" s="70" t="s">
        <v>2610</v>
      </c>
      <c r="E1220" s="72">
        <v>1</v>
      </c>
      <c r="F1220" s="70"/>
      <c r="G1220" s="70" t="str">
        <f>IFERROR(VLOOKUP(A1220,[1]wms_iv_f!$A$1:$E$136,4,FALSE),"")</f>
        <v/>
      </c>
      <c r="H1220" s="95" t="str">
        <f>IFERROR(VLOOKUP(A1220,[2]wms_lc_f!$A$1:$B$156,2,FALSE),"")</f>
        <v/>
      </c>
    </row>
    <row r="1221" spans="1:8">
      <c r="A1221" s="69">
        <v>132826</v>
      </c>
      <c r="B1221" s="69" t="s">
        <v>2609</v>
      </c>
      <c r="C1221" s="70" t="s">
        <v>390</v>
      </c>
      <c r="D1221" s="70" t="s">
        <v>2610</v>
      </c>
      <c r="E1221" s="72">
        <v>1</v>
      </c>
      <c r="F1221" s="70"/>
      <c r="G1221" s="70" t="str">
        <f>IFERROR(VLOOKUP(A1221,[1]wms_iv_f!$A$1:$E$136,4,FALSE),"")</f>
        <v/>
      </c>
      <c r="H1221" s="95" t="str">
        <f>IFERROR(VLOOKUP(A1221,[2]wms_lc_f!$A$1:$B$156,2,FALSE),"")</f>
        <v/>
      </c>
    </row>
    <row r="1222" spans="1:8">
      <c r="A1222" s="69">
        <v>130155</v>
      </c>
      <c r="B1222" s="69" t="s">
        <v>2609</v>
      </c>
      <c r="C1222" s="70" t="s">
        <v>389</v>
      </c>
      <c r="D1222" s="70" t="s">
        <v>2610</v>
      </c>
      <c r="E1222" s="72">
        <v>1</v>
      </c>
      <c r="F1222" s="70"/>
      <c r="G1222" s="70" t="str">
        <f>IFERROR(VLOOKUP(A1222,[1]wms_iv_f!$A$1:$E$136,4,FALSE),"")</f>
        <v/>
      </c>
      <c r="H1222" s="95" t="str">
        <f>IFERROR(VLOOKUP(A1222,[2]wms_lc_f!$A$1:$B$156,2,FALSE),"")</f>
        <v/>
      </c>
    </row>
    <row r="1223" spans="1:8">
      <c r="A1223" s="69">
        <v>128712</v>
      </c>
      <c r="B1223" s="69" t="s">
        <v>2609</v>
      </c>
      <c r="C1223" s="70" t="s">
        <v>388</v>
      </c>
      <c r="D1223" s="70" t="s">
        <v>2610</v>
      </c>
      <c r="E1223" s="72">
        <v>1</v>
      </c>
      <c r="F1223" s="70"/>
      <c r="G1223" s="70" t="str">
        <f>IFERROR(VLOOKUP(A1223,[1]wms_iv_f!$A$1:$E$136,4,FALSE),"")</f>
        <v/>
      </c>
      <c r="H1223" s="95" t="str">
        <f>IFERROR(VLOOKUP(A1223,[2]wms_lc_f!$A$1:$B$156,2,FALSE),"")</f>
        <v/>
      </c>
    </row>
    <row r="1224" spans="1:8">
      <c r="A1224" s="69">
        <v>37456</v>
      </c>
      <c r="B1224" s="69" t="s">
        <v>2609</v>
      </c>
      <c r="C1224" s="70" t="s">
        <v>501</v>
      </c>
      <c r="D1224" s="70" t="s">
        <v>2610</v>
      </c>
      <c r="E1224" s="72">
        <v>1</v>
      </c>
      <c r="F1224" s="70"/>
      <c r="G1224" s="70" t="str">
        <f>IFERROR(VLOOKUP(A1224,[1]wms_iv_f!$A$1:$E$136,4,FALSE),"")</f>
        <v/>
      </c>
      <c r="H1224" s="95" t="str">
        <f>IFERROR(VLOOKUP(A1224,[2]wms_lc_f!$A$1:$B$156,2,FALSE),"")</f>
        <v/>
      </c>
    </row>
    <row r="1225" spans="1:8">
      <c r="A1225" s="69">
        <v>125452</v>
      </c>
      <c r="B1225" s="69" t="s">
        <v>2609</v>
      </c>
      <c r="C1225" s="70" t="s">
        <v>500</v>
      </c>
      <c r="D1225" s="70" t="s">
        <v>2610</v>
      </c>
      <c r="E1225" s="72">
        <v>1</v>
      </c>
      <c r="F1225" s="70"/>
      <c r="G1225" s="70" t="str">
        <f>IFERROR(VLOOKUP(A1225,[1]wms_iv_f!$A$1:$E$136,4,FALSE),"")</f>
        <v/>
      </c>
      <c r="H1225" s="95" t="str">
        <f>IFERROR(VLOOKUP(A1225,[2]wms_lc_f!$A$1:$B$156,2,FALSE),"")</f>
        <v/>
      </c>
    </row>
    <row r="1226" spans="1:8">
      <c r="A1226" s="69">
        <v>127300</v>
      </c>
      <c r="B1226" s="69" t="s">
        <v>2609</v>
      </c>
      <c r="C1226" s="70" t="s">
        <v>499</v>
      </c>
      <c r="D1226" s="70" t="s">
        <v>2610</v>
      </c>
      <c r="E1226" s="72">
        <v>1</v>
      </c>
      <c r="F1226" s="70"/>
      <c r="G1226" s="70" t="str">
        <f>IFERROR(VLOOKUP(A1226,[1]wms_iv_f!$A$1:$E$136,4,FALSE),"")</f>
        <v/>
      </c>
      <c r="H1226" s="95" t="str">
        <f>IFERROR(VLOOKUP(A1226,[2]wms_lc_f!$A$1:$B$156,2,FALSE),"")</f>
        <v/>
      </c>
    </row>
    <row r="1227" spans="1:8">
      <c r="A1227" s="69">
        <v>638</v>
      </c>
      <c r="B1227" s="69" t="s">
        <v>2609</v>
      </c>
      <c r="C1227" s="70" t="s">
        <v>612</v>
      </c>
      <c r="D1227" s="70" t="s">
        <v>2610</v>
      </c>
      <c r="E1227" s="72">
        <v>1</v>
      </c>
      <c r="F1227" s="70"/>
      <c r="G1227" s="70" t="str">
        <f>IFERROR(VLOOKUP(A1227,[1]wms_iv_f!$A$1:$E$136,4,FALSE),"")</f>
        <v/>
      </c>
      <c r="H1227" s="95" t="str">
        <f>IFERROR(VLOOKUP(A1227,[2]wms_lc_f!$A$1:$B$156,2,FALSE),"")</f>
        <v/>
      </c>
    </row>
    <row r="1228" spans="1:8">
      <c r="A1228" s="69">
        <v>1174</v>
      </c>
      <c r="B1228" s="69" t="s">
        <v>2609</v>
      </c>
      <c r="C1228" s="70" t="s">
        <v>611</v>
      </c>
      <c r="D1228" s="70" t="s">
        <v>2610</v>
      </c>
      <c r="E1228" s="72">
        <v>1</v>
      </c>
      <c r="F1228" s="70"/>
      <c r="G1228" s="70" t="str">
        <f>IFERROR(VLOOKUP(A1228,[1]wms_iv_f!$A$1:$E$136,4,FALSE),"")</f>
        <v/>
      </c>
      <c r="H1228" s="95" t="str">
        <f>IFERROR(VLOOKUP(A1228,[2]wms_lc_f!$A$1:$B$156,2,FALSE),"")</f>
        <v/>
      </c>
    </row>
    <row r="1229" spans="1:8">
      <c r="A1229" s="69">
        <v>61359</v>
      </c>
      <c r="B1229" s="69" t="s">
        <v>2609</v>
      </c>
      <c r="C1229" s="70" t="s">
        <v>610</v>
      </c>
      <c r="D1229" s="70" t="s">
        <v>2610</v>
      </c>
      <c r="E1229" s="72">
        <v>1</v>
      </c>
      <c r="F1229" s="70"/>
      <c r="G1229" s="70" t="str">
        <f>IFERROR(VLOOKUP(A1229,[1]wms_iv_f!$A$1:$E$136,4,FALSE),"")</f>
        <v/>
      </c>
      <c r="H1229" s="95" t="str">
        <f>IFERROR(VLOOKUP(A1229,[2]wms_lc_f!$A$1:$B$156,2,FALSE),"")</f>
        <v/>
      </c>
    </row>
    <row r="1230" spans="1:8">
      <c r="A1230" s="69">
        <v>131599</v>
      </c>
      <c r="B1230" s="69" t="s">
        <v>2609</v>
      </c>
      <c r="C1230" s="70" t="s">
        <v>381</v>
      </c>
      <c r="D1230" s="70" t="s">
        <v>2610</v>
      </c>
      <c r="E1230" s="72">
        <v>1</v>
      </c>
      <c r="F1230" s="70"/>
      <c r="G1230" s="70" t="str">
        <f>IFERROR(VLOOKUP(A1230,[1]wms_iv_f!$A$1:$E$136,4,FALSE),"")</f>
        <v/>
      </c>
      <c r="H1230" s="95" t="str">
        <f>IFERROR(VLOOKUP(A1230,[2]wms_lc_f!$A$1:$B$156,2,FALSE),"")</f>
        <v/>
      </c>
    </row>
    <row r="1231" spans="1:8">
      <c r="A1231" s="69">
        <v>110677</v>
      </c>
      <c r="B1231" s="69" t="s">
        <v>2609</v>
      </c>
      <c r="C1231" s="70" t="s">
        <v>380</v>
      </c>
      <c r="D1231" s="70" t="s">
        <v>2610</v>
      </c>
      <c r="E1231" s="72">
        <v>1</v>
      </c>
      <c r="F1231" s="70"/>
      <c r="G1231" s="70" t="str">
        <f>IFERROR(VLOOKUP(A1231,[1]wms_iv_f!$A$1:$E$136,4,FALSE),"")</f>
        <v/>
      </c>
      <c r="H1231" s="95" t="str">
        <f>IFERROR(VLOOKUP(A1231,[2]wms_lc_f!$A$1:$B$156,2,FALSE),"")</f>
        <v/>
      </c>
    </row>
    <row r="1232" spans="1:8">
      <c r="A1232" s="69">
        <v>87756</v>
      </c>
      <c r="B1232" s="69" t="s">
        <v>2609</v>
      </c>
      <c r="C1232" s="70" t="s">
        <v>379</v>
      </c>
      <c r="D1232" s="70" t="s">
        <v>2610</v>
      </c>
      <c r="E1232" s="72">
        <v>1</v>
      </c>
      <c r="F1232" s="70"/>
      <c r="G1232" s="70" t="str">
        <f>IFERROR(VLOOKUP(A1232,[1]wms_iv_f!$A$1:$E$136,4,FALSE),"")</f>
        <v/>
      </c>
      <c r="H1232" s="95" t="str">
        <f>IFERROR(VLOOKUP(A1232,[2]wms_lc_f!$A$1:$B$156,2,FALSE),"")</f>
        <v/>
      </c>
    </row>
    <row r="1233" spans="1:8">
      <c r="A1233" s="69">
        <v>87760</v>
      </c>
      <c r="B1233" s="69" t="s">
        <v>2609</v>
      </c>
      <c r="C1233" s="70" t="s">
        <v>378</v>
      </c>
      <c r="D1233" s="70" t="s">
        <v>2610</v>
      </c>
      <c r="E1233" s="72">
        <v>1</v>
      </c>
      <c r="F1233" s="70"/>
      <c r="G1233" s="70" t="str">
        <f>IFERROR(VLOOKUP(A1233,[1]wms_iv_f!$A$1:$E$136,4,FALSE),"")</f>
        <v/>
      </c>
      <c r="H1233" s="95" t="str">
        <f>IFERROR(VLOOKUP(A1233,[2]wms_lc_f!$A$1:$B$156,2,FALSE),"")</f>
        <v/>
      </c>
    </row>
    <row r="1234" spans="1:8">
      <c r="A1234" s="69">
        <v>83929</v>
      </c>
      <c r="B1234" s="69" t="s">
        <v>2609</v>
      </c>
      <c r="C1234" s="70" t="s">
        <v>377</v>
      </c>
      <c r="D1234" s="70" t="s">
        <v>2610</v>
      </c>
      <c r="E1234" s="72">
        <v>1</v>
      </c>
      <c r="F1234" s="70"/>
      <c r="G1234" s="70" t="str">
        <f>IFERROR(VLOOKUP(A1234,[1]wms_iv_f!$A$1:$E$136,4,FALSE),"")</f>
        <v/>
      </c>
      <c r="H1234" s="95" t="str">
        <f>IFERROR(VLOOKUP(A1234,[2]wms_lc_f!$A$1:$B$156,2,FALSE),"")</f>
        <v/>
      </c>
    </row>
    <row r="1235" spans="1:8">
      <c r="A1235" s="69">
        <v>139159</v>
      </c>
      <c r="B1235" s="69" t="s">
        <v>2609</v>
      </c>
      <c r="C1235" s="70" t="s">
        <v>376</v>
      </c>
      <c r="D1235" s="70" t="s">
        <v>2610</v>
      </c>
      <c r="E1235" s="72">
        <v>1</v>
      </c>
      <c r="F1235" s="70"/>
      <c r="G1235" s="70" t="str">
        <f>IFERROR(VLOOKUP(A1235,[1]wms_iv_f!$A$1:$E$136,4,FALSE),"")</f>
        <v/>
      </c>
      <c r="H1235" s="95" t="str">
        <f>IFERROR(VLOOKUP(A1235,[2]wms_lc_f!$A$1:$B$156,2,FALSE),"")</f>
        <v/>
      </c>
    </row>
    <row r="1236" spans="1:8">
      <c r="A1236" s="69">
        <v>84255</v>
      </c>
      <c r="B1236" s="69" t="s">
        <v>2609</v>
      </c>
      <c r="C1236" s="70" t="s">
        <v>492</v>
      </c>
      <c r="D1236" s="70" t="s">
        <v>2610</v>
      </c>
      <c r="E1236" s="72">
        <v>1</v>
      </c>
      <c r="F1236" s="70"/>
      <c r="G1236" s="70" t="str">
        <f>IFERROR(VLOOKUP(A1236,[1]wms_iv_f!$A$1:$E$136,4,FALSE),"")</f>
        <v/>
      </c>
      <c r="H1236" s="95" t="str">
        <f>IFERROR(VLOOKUP(A1236,[2]wms_lc_f!$A$1:$B$156,2,FALSE),"")</f>
        <v/>
      </c>
    </row>
    <row r="1237" spans="1:8">
      <c r="A1237" s="69">
        <v>31693</v>
      </c>
      <c r="B1237" s="69" t="s">
        <v>2609</v>
      </c>
      <c r="C1237" s="70" t="s">
        <v>491</v>
      </c>
      <c r="D1237" s="70" t="s">
        <v>2610</v>
      </c>
      <c r="E1237" s="72">
        <v>1</v>
      </c>
      <c r="F1237" s="70"/>
      <c r="G1237" s="70" t="str">
        <f>IFERROR(VLOOKUP(A1237,[1]wms_iv_f!$A$1:$E$136,4,FALSE),"")</f>
        <v/>
      </c>
      <c r="H1237" s="95" t="str">
        <f>IFERROR(VLOOKUP(A1237,[2]wms_lc_f!$A$1:$B$156,2,FALSE),"")</f>
        <v/>
      </c>
    </row>
    <row r="1238" spans="1:8">
      <c r="A1238" s="69">
        <v>139239</v>
      </c>
      <c r="B1238" s="69" t="s">
        <v>2609</v>
      </c>
      <c r="C1238" s="70" t="s">
        <v>490</v>
      </c>
      <c r="D1238" s="70" t="s">
        <v>2610</v>
      </c>
      <c r="E1238" s="72">
        <v>1</v>
      </c>
      <c r="F1238" s="70"/>
      <c r="G1238" s="70" t="str">
        <f>IFERROR(VLOOKUP(A1238,[1]wms_iv_f!$A$1:$E$136,4,FALSE),"")</f>
        <v/>
      </c>
      <c r="H1238" s="95" t="str">
        <f>IFERROR(VLOOKUP(A1238,[2]wms_lc_f!$A$1:$B$156,2,FALSE),"")</f>
        <v/>
      </c>
    </row>
    <row r="1239" spans="1:8">
      <c r="A1239" s="69">
        <v>141154</v>
      </c>
      <c r="B1239" s="69" t="s">
        <v>2609</v>
      </c>
      <c r="C1239" s="70" t="s">
        <v>489</v>
      </c>
      <c r="D1239" s="70" t="s">
        <v>2610</v>
      </c>
      <c r="E1239" s="72">
        <v>1</v>
      </c>
      <c r="F1239" s="70"/>
      <c r="G1239" s="70" t="str">
        <f>IFERROR(VLOOKUP(A1239,[1]wms_iv_f!$A$1:$E$136,4,FALSE),"")</f>
        <v/>
      </c>
      <c r="H1239" s="95" t="str">
        <f>IFERROR(VLOOKUP(A1239,[2]wms_lc_f!$A$1:$B$156,2,FALSE),"")</f>
        <v/>
      </c>
    </row>
    <row r="1240" spans="1:8">
      <c r="A1240" s="69">
        <v>158179</v>
      </c>
      <c r="B1240" s="69" t="s">
        <v>2609</v>
      </c>
      <c r="C1240" s="70" t="s">
        <v>488</v>
      </c>
      <c r="D1240" s="70" t="s">
        <v>2610</v>
      </c>
      <c r="E1240" s="72">
        <v>1</v>
      </c>
      <c r="F1240" s="70"/>
      <c r="G1240" s="70" t="str">
        <f>IFERROR(VLOOKUP(A1240,[1]wms_iv_f!$A$1:$E$136,4,FALSE),"")</f>
        <v/>
      </c>
      <c r="H1240" s="95" t="str">
        <f>IFERROR(VLOOKUP(A1240,[2]wms_lc_f!$A$1:$B$156,2,FALSE),"")</f>
        <v/>
      </c>
    </row>
    <row r="1241" spans="1:8">
      <c r="A1241" s="69">
        <v>61369</v>
      </c>
      <c r="B1241" s="69" t="s">
        <v>2609</v>
      </c>
      <c r="C1241" s="70" t="s">
        <v>487</v>
      </c>
      <c r="D1241" s="70" t="s">
        <v>2610</v>
      </c>
      <c r="E1241" s="72">
        <v>1</v>
      </c>
      <c r="F1241" s="70"/>
      <c r="G1241" s="70" t="str">
        <f>IFERROR(VLOOKUP(A1241,[1]wms_iv_f!$A$1:$E$136,4,FALSE),"")</f>
        <v/>
      </c>
      <c r="H1241" s="95" t="str">
        <f>IFERROR(VLOOKUP(A1241,[2]wms_lc_f!$A$1:$B$156,2,FALSE),"")</f>
        <v/>
      </c>
    </row>
    <row r="1242" spans="1:8">
      <c r="A1242" s="69">
        <v>150</v>
      </c>
      <c r="B1242" s="69" t="s">
        <v>2609</v>
      </c>
      <c r="C1242" s="70" t="s">
        <v>603</v>
      </c>
      <c r="D1242" s="70" t="s">
        <v>2610</v>
      </c>
      <c r="E1242" s="72">
        <v>1</v>
      </c>
      <c r="F1242" s="70"/>
      <c r="G1242" s="70" t="str">
        <f>IFERROR(VLOOKUP(A1242,[1]wms_iv_f!$A$1:$E$136,4,FALSE),"")</f>
        <v/>
      </c>
      <c r="H1242" s="95" t="str">
        <f>IFERROR(VLOOKUP(A1242,[2]wms_lc_f!$A$1:$B$156,2,FALSE),"")</f>
        <v/>
      </c>
    </row>
    <row r="1243" spans="1:8">
      <c r="A1243" s="69">
        <v>140228</v>
      </c>
      <c r="B1243" s="69" t="s">
        <v>2609</v>
      </c>
      <c r="C1243" s="70" t="s">
        <v>602</v>
      </c>
      <c r="D1243" s="70" t="s">
        <v>2610</v>
      </c>
      <c r="E1243" s="72">
        <v>1</v>
      </c>
      <c r="F1243" s="70"/>
      <c r="G1243" s="70" t="str">
        <f>IFERROR(VLOOKUP(A1243,[1]wms_iv_f!$A$1:$E$136,4,FALSE),"")</f>
        <v/>
      </c>
      <c r="H1243" s="95" t="str">
        <f>IFERROR(VLOOKUP(A1243,[2]wms_lc_f!$A$1:$B$156,2,FALSE),"")</f>
        <v/>
      </c>
    </row>
    <row r="1244" spans="1:8">
      <c r="A1244" s="69">
        <v>132834</v>
      </c>
      <c r="B1244" s="69" t="s">
        <v>2609</v>
      </c>
      <c r="C1244" s="70" t="s">
        <v>601</v>
      </c>
      <c r="D1244" s="70" t="s">
        <v>2610</v>
      </c>
      <c r="E1244" s="72">
        <v>1</v>
      </c>
      <c r="F1244" s="70"/>
      <c r="G1244" s="70" t="str">
        <f>IFERROR(VLOOKUP(A1244,[1]wms_iv_f!$A$1:$E$136,4,FALSE),"")</f>
        <v/>
      </c>
      <c r="H1244" s="95" t="str">
        <f>IFERROR(VLOOKUP(A1244,[2]wms_lc_f!$A$1:$B$156,2,FALSE),"")</f>
        <v/>
      </c>
    </row>
    <row r="1245" spans="1:8">
      <c r="A1245" s="69">
        <v>114123</v>
      </c>
      <c r="B1245" s="69" t="s">
        <v>2609</v>
      </c>
      <c r="C1245" s="70" t="s">
        <v>600</v>
      </c>
      <c r="D1245" s="70" t="s">
        <v>2610</v>
      </c>
      <c r="E1245" s="72">
        <v>1</v>
      </c>
      <c r="F1245" s="70"/>
      <c r="G1245" s="70" t="str">
        <f>IFERROR(VLOOKUP(A1245,[1]wms_iv_f!$A$1:$E$136,4,FALSE),"")</f>
        <v/>
      </c>
      <c r="H1245" s="95" t="str">
        <f>IFERROR(VLOOKUP(A1245,[2]wms_lc_f!$A$1:$B$156,2,FALSE),"")</f>
        <v/>
      </c>
    </row>
    <row r="1246" spans="1:8">
      <c r="A1246" s="69">
        <v>138804</v>
      </c>
      <c r="B1246" s="69" t="s">
        <v>2609</v>
      </c>
      <c r="C1246" s="70" t="s">
        <v>599</v>
      </c>
      <c r="D1246" s="70" t="s">
        <v>2610</v>
      </c>
      <c r="E1246" s="72">
        <v>1</v>
      </c>
      <c r="F1246" s="70"/>
      <c r="G1246" s="70" t="str">
        <f>IFERROR(VLOOKUP(A1246,[1]wms_iv_f!$A$1:$E$136,4,FALSE),"")</f>
        <v/>
      </c>
      <c r="H1246" s="95" t="str">
        <f>IFERROR(VLOOKUP(A1246,[2]wms_lc_f!$A$1:$B$156,2,FALSE),"")</f>
        <v/>
      </c>
    </row>
    <row r="1247" spans="1:8">
      <c r="A1247" s="69">
        <v>110485</v>
      </c>
      <c r="B1247" s="69" t="s">
        <v>2609</v>
      </c>
      <c r="C1247" s="70" t="s">
        <v>598</v>
      </c>
      <c r="D1247" s="70" t="s">
        <v>2610</v>
      </c>
      <c r="E1247" s="72">
        <v>1</v>
      </c>
      <c r="F1247" s="70"/>
      <c r="G1247" s="70" t="str">
        <f>IFERROR(VLOOKUP(A1247,[1]wms_iv_f!$A$1:$E$136,4,FALSE),"")</f>
        <v/>
      </c>
      <c r="H1247" s="95" t="str">
        <f>IFERROR(VLOOKUP(A1247,[2]wms_lc_f!$A$1:$B$156,2,FALSE),"")</f>
        <v/>
      </c>
    </row>
    <row r="1248" spans="1:8">
      <c r="A1248" s="69">
        <v>109531</v>
      </c>
      <c r="B1248" s="69" t="s">
        <v>2613</v>
      </c>
      <c r="C1248" s="70" t="s">
        <v>1183</v>
      </c>
      <c r="D1248" s="70" t="s">
        <v>2610</v>
      </c>
      <c r="E1248" s="72">
        <v>1</v>
      </c>
      <c r="F1248" s="70"/>
      <c r="G1248" s="70" t="str">
        <f>IFERROR(VLOOKUP(A1248,[1]wms_iv_f!$A$1:$E$136,4,FALSE),"")</f>
        <v/>
      </c>
      <c r="H1248" s="95" t="str">
        <f>IFERROR(VLOOKUP(A1248,[2]wms_lc_f!$A$1:$B$156,2,FALSE),"")</f>
        <v/>
      </c>
    </row>
    <row r="1249" spans="1:8">
      <c r="A1249" s="69">
        <v>104970</v>
      </c>
      <c r="B1249" s="69" t="s">
        <v>2613</v>
      </c>
      <c r="C1249" s="70" t="s">
        <v>1184</v>
      </c>
      <c r="D1249" s="70" t="s">
        <v>2610</v>
      </c>
      <c r="E1249" s="72">
        <v>1</v>
      </c>
      <c r="F1249" s="70"/>
      <c r="G1249" s="70" t="str">
        <f>IFERROR(VLOOKUP(A1249,[1]wms_iv_f!$A$1:$E$136,4,FALSE),"")</f>
        <v/>
      </c>
      <c r="H1249" s="95" t="str">
        <f>IFERROR(VLOOKUP(A1249,[2]wms_lc_f!$A$1:$B$156,2,FALSE),"")</f>
        <v/>
      </c>
    </row>
    <row r="1250" spans="1:8">
      <c r="A1250" s="69">
        <v>159005</v>
      </c>
      <c r="B1250" s="69" t="s">
        <v>2613</v>
      </c>
      <c r="C1250" s="70" t="s">
        <v>1185</v>
      </c>
      <c r="D1250" s="70" t="s">
        <v>2610</v>
      </c>
      <c r="E1250" s="72">
        <v>1</v>
      </c>
      <c r="F1250" s="70"/>
      <c r="G1250" s="70" t="str">
        <f>IFERROR(VLOOKUP(A1250,[1]wms_iv_f!$A$1:$E$136,4,FALSE),"")</f>
        <v/>
      </c>
      <c r="H1250" s="95" t="str">
        <f>IFERROR(VLOOKUP(A1250,[2]wms_lc_f!$A$1:$B$156,2,FALSE),"")</f>
        <v/>
      </c>
    </row>
    <row r="1251" spans="1:8">
      <c r="A1251" s="69">
        <v>18845</v>
      </c>
      <c r="B1251" s="69" t="s">
        <v>2613</v>
      </c>
      <c r="C1251" s="70" t="s">
        <v>1186</v>
      </c>
      <c r="D1251" s="70" t="s">
        <v>2610</v>
      </c>
      <c r="E1251" s="72">
        <v>1</v>
      </c>
      <c r="F1251" s="70"/>
      <c r="G1251" s="70" t="str">
        <f>IFERROR(VLOOKUP(A1251,[1]wms_iv_f!$A$1:$E$136,4,FALSE),"")</f>
        <v/>
      </c>
      <c r="H1251" s="95" t="str">
        <f>IFERROR(VLOOKUP(A1251,[2]wms_lc_f!$A$1:$B$156,2,FALSE),"")</f>
        <v/>
      </c>
    </row>
    <row r="1252" spans="1:8">
      <c r="A1252" s="69">
        <v>143545</v>
      </c>
      <c r="B1252" s="69" t="s">
        <v>2613</v>
      </c>
      <c r="C1252" s="70" t="s">
        <v>1295</v>
      </c>
      <c r="D1252" s="70" t="s">
        <v>2610</v>
      </c>
      <c r="E1252" s="72">
        <v>1</v>
      </c>
      <c r="F1252" s="70"/>
      <c r="G1252" s="70" t="str">
        <f>IFERROR(VLOOKUP(A1252,[1]wms_iv_f!$A$1:$E$136,4,FALSE),"")</f>
        <v/>
      </c>
      <c r="H1252" s="95" t="str">
        <f>IFERROR(VLOOKUP(A1252,[2]wms_lc_f!$A$1:$B$156,2,FALSE),"")</f>
        <v/>
      </c>
    </row>
    <row r="1253" spans="1:8">
      <c r="A1253" s="69">
        <v>136241</v>
      </c>
      <c r="B1253" s="69" t="s">
        <v>2613</v>
      </c>
      <c r="C1253" s="70" t="s">
        <v>1296</v>
      </c>
      <c r="D1253" s="70" t="s">
        <v>2610</v>
      </c>
      <c r="E1253" s="72">
        <v>1</v>
      </c>
      <c r="F1253" s="70"/>
      <c r="G1253" s="70" t="str">
        <f>IFERROR(VLOOKUP(A1253,[1]wms_iv_f!$A$1:$E$136,4,FALSE),"")</f>
        <v/>
      </c>
      <c r="H1253" s="95" t="str">
        <f>IFERROR(VLOOKUP(A1253,[2]wms_lc_f!$A$1:$B$156,2,FALSE),"")</f>
        <v/>
      </c>
    </row>
    <row r="1254" spans="1:8">
      <c r="A1254" s="69">
        <v>83137</v>
      </c>
      <c r="B1254" s="69" t="s">
        <v>2613</v>
      </c>
      <c r="C1254" s="70" t="s">
        <v>1297</v>
      </c>
      <c r="D1254" s="70" t="s">
        <v>2610</v>
      </c>
      <c r="E1254" s="72">
        <v>1</v>
      </c>
      <c r="F1254" s="70"/>
      <c r="G1254" s="70" t="str">
        <f>IFERROR(VLOOKUP(A1254,[1]wms_iv_f!$A$1:$E$136,4,FALSE),"")</f>
        <v/>
      </c>
      <c r="H1254" s="95" t="str">
        <f>IFERROR(VLOOKUP(A1254,[2]wms_lc_f!$A$1:$B$156,2,FALSE),"")</f>
        <v/>
      </c>
    </row>
    <row r="1255" spans="1:8">
      <c r="A1255" s="69">
        <v>138407</v>
      </c>
      <c r="B1255" s="69" t="s">
        <v>2613</v>
      </c>
      <c r="C1255" s="70" t="s">
        <v>1298</v>
      </c>
      <c r="D1255" s="70" t="s">
        <v>2610</v>
      </c>
      <c r="E1255" s="72">
        <v>1</v>
      </c>
      <c r="F1255" s="70"/>
      <c r="G1255" s="70" t="str">
        <f>IFERROR(VLOOKUP(A1255,[1]wms_iv_f!$A$1:$E$136,4,FALSE),"")</f>
        <v/>
      </c>
      <c r="H1255" s="95" t="str">
        <f>IFERROR(VLOOKUP(A1255,[2]wms_lc_f!$A$1:$B$156,2,FALSE),"")</f>
        <v/>
      </c>
    </row>
    <row r="1256" spans="1:8">
      <c r="A1256" s="69">
        <v>134218</v>
      </c>
      <c r="B1256" s="69" t="s">
        <v>2613</v>
      </c>
      <c r="C1256" s="70" t="s">
        <v>1299</v>
      </c>
      <c r="D1256" s="70" t="s">
        <v>2610</v>
      </c>
      <c r="E1256" s="72">
        <v>1</v>
      </c>
      <c r="F1256" s="70"/>
      <c r="G1256" s="70" t="str">
        <f>IFERROR(VLOOKUP(A1256,[1]wms_iv_f!$A$1:$E$136,4,FALSE),"")</f>
        <v/>
      </c>
      <c r="H1256" s="95" t="str">
        <f>IFERROR(VLOOKUP(A1256,[2]wms_lc_f!$A$1:$B$156,2,FALSE),"")</f>
        <v/>
      </c>
    </row>
    <row r="1257" spans="1:8">
      <c r="A1257" s="69">
        <v>105106</v>
      </c>
      <c r="B1257" s="69" t="s">
        <v>2613</v>
      </c>
      <c r="C1257" s="70" t="s">
        <v>1300</v>
      </c>
      <c r="D1257" s="70" t="s">
        <v>2610</v>
      </c>
      <c r="E1257" s="72">
        <v>1</v>
      </c>
      <c r="F1257" s="70"/>
      <c r="G1257" s="70" t="str">
        <f>IFERROR(VLOOKUP(A1257,[1]wms_iv_f!$A$1:$E$136,4,FALSE),"")</f>
        <v/>
      </c>
      <c r="H1257" s="95" t="str">
        <f>IFERROR(VLOOKUP(A1257,[2]wms_lc_f!$A$1:$B$156,2,FALSE),"")</f>
        <v/>
      </c>
    </row>
    <row r="1258" spans="1:8">
      <c r="A1258" s="69">
        <v>132786</v>
      </c>
      <c r="B1258" s="69" t="s">
        <v>2613</v>
      </c>
      <c r="C1258" s="70" t="s">
        <v>1073</v>
      </c>
      <c r="D1258" s="70" t="s">
        <v>2610</v>
      </c>
      <c r="E1258" s="72">
        <v>1</v>
      </c>
      <c r="F1258" s="70"/>
      <c r="G1258" s="70" t="str">
        <f>IFERROR(VLOOKUP(A1258,[1]wms_iv_f!$A$1:$E$136,4,FALSE),"")</f>
        <v/>
      </c>
      <c r="H1258" s="95" t="str">
        <f>IFERROR(VLOOKUP(A1258,[2]wms_lc_f!$A$1:$B$156,2,FALSE),"")</f>
        <v/>
      </c>
    </row>
    <row r="1259" spans="1:8">
      <c r="A1259" s="69">
        <v>131495</v>
      </c>
      <c r="B1259" s="69" t="s">
        <v>2613</v>
      </c>
      <c r="C1259" s="70" t="s">
        <v>1074</v>
      </c>
      <c r="D1259" s="70" t="s">
        <v>2610</v>
      </c>
      <c r="E1259" s="72">
        <v>1</v>
      </c>
      <c r="F1259" s="70"/>
      <c r="G1259" s="70" t="str">
        <f>IFERROR(VLOOKUP(A1259,[1]wms_iv_f!$A$1:$E$136,4,FALSE),"")</f>
        <v/>
      </c>
      <c r="H1259" s="95" t="str">
        <f>IFERROR(VLOOKUP(A1259,[2]wms_lc_f!$A$1:$B$156,2,FALSE),"")</f>
        <v/>
      </c>
    </row>
    <row r="1260" spans="1:8">
      <c r="A1260" s="69">
        <v>105212</v>
      </c>
      <c r="B1260" s="69" t="s">
        <v>2613</v>
      </c>
      <c r="C1260" s="70" t="s">
        <v>1075</v>
      </c>
      <c r="D1260" s="70" t="s">
        <v>2610</v>
      </c>
      <c r="E1260" s="72">
        <v>1</v>
      </c>
      <c r="F1260" s="70"/>
      <c r="G1260" s="70" t="str">
        <f>IFERROR(VLOOKUP(A1260,[1]wms_iv_f!$A$1:$E$136,4,FALSE),"")</f>
        <v/>
      </c>
      <c r="H1260" s="95" t="str">
        <f>IFERROR(VLOOKUP(A1260,[2]wms_lc_f!$A$1:$B$156,2,FALSE),"")</f>
        <v/>
      </c>
    </row>
    <row r="1261" spans="1:8">
      <c r="A1261" s="69">
        <v>83307</v>
      </c>
      <c r="B1261" s="69" t="s">
        <v>2613</v>
      </c>
      <c r="C1261" s="70" t="s">
        <v>1076</v>
      </c>
      <c r="D1261" s="70" t="s">
        <v>2610</v>
      </c>
      <c r="E1261" s="72">
        <v>1</v>
      </c>
      <c r="F1261" s="70"/>
      <c r="G1261" s="70" t="str">
        <f>IFERROR(VLOOKUP(A1261,[1]wms_iv_f!$A$1:$E$136,4,FALSE),"")</f>
        <v/>
      </c>
      <c r="H1261" s="95" t="str">
        <f>IFERROR(VLOOKUP(A1261,[2]wms_lc_f!$A$1:$B$156,2,FALSE),"")</f>
        <v/>
      </c>
    </row>
    <row r="1262" spans="1:8">
      <c r="A1262" s="69">
        <v>157264</v>
      </c>
      <c r="B1262" s="69" t="s">
        <v>2613</v>
      </c>
      <c r="C1262" s="70" t="s">
        <v>1078</v>
      </c>
      <c r="D1262" s="70" t="s">
        <v>2610</v>
      </c>
      <c r="E1262" s="72">
        <v>1</v>
      </c>
      <c r="F1262" s="70"/>
      <c r="G1262" s="70" t="str">
        <f>IFERROR(VLOOKUP(A1262,[1]wms_iv_f!$A$1:$E$136,4,FALSE),"")</f>
        <v/>
      </c>
      <c r="H1262" s="95" t="str">
        <f>IFERROR(VLOOKUP(A1262,[2]wms_lc_f!$A$1:$B$156,2,FALSE),"")</f>
        <v/>
      </c>
    </row>
    <row r="1263" spans="1:8">
      <c r="A1263" s="69">
        <v>59790</v>
      </c>
      <c r="B1263" s="69" t="s">
        <v>2613</v>
      </c>
      <c r="C1263" s="70" t="s">
        <v>1187</v>
      </c>
      <c r="D1263" s="70" t="s">
        <v>2610</v>
      </c>
      <c r="E1263" s="72">
        <v>1</v>
      </c>
      <c r="F1263" s="70"/>
      <c r="G1263" s="70" t="str">
        <f>IFERROR(VLOOKUP(A1263,[1]wms_iv_f!$A$1:$E$136,4,FALSE),"")</f>
        <v/>
      </c>
      <c r="H1263" s="95" t="str">
        <f>IFERROR(VLOOKUP(A1263,[2]wms_lc_f!$A$1:$B$156,2,FALSE),"")</f>
        <v/>
      </c>
    </row>
    <row r="1264" spans="1:8">
      <c r="A1264" s="69">
        <v>157081</v>
      </c>
      <c r="B1264" s="69" t="s">
        <v>2613</v>
      </c>
      <c r="C1264" s="70" t="s">
        <v>1188</v>
      </c>
      <c r="D1264" s="70" t="s">
        <v>2610</v>
      </c>
      <c r="E1264" s="72">
        <v>1</v>
      </c>
      <c r="F1264" s="70"/>
      <c r="G1264" s="70" t="str">
        <f>IFERROR(VLOOKUP(A1264,[1]wms_iv_f!$A$1:$E$136,4,FALSE),"")</f>
        <v/>
      </c>
      <c r="H1264" s="95" t="str">
        <f>IFERROR(VLOOKUP(A1264,[2]wms_lc_f!$A$1:$B$156,2,FALSE),"")</f>
        <v/>
      </c>
    </row>
    <row r="1265" spans="1:8">
      <c r="A1265" s="69">
        <v>9840</v>
      </c>
      <c r="B1265" s="69" t="s">
        <v>2613</v>
      </c>
      <c r="C1265" s="70" t="s">
        <v>1189</v>
      </c>
      <c r="D1265" s="70" t="s">
        <v>2610</v>
      </c>
      <c r="E1265" s="72">
        <v>1</v>
      </c>
      <c r="F1265" s="70"/>
      <c r="G1265" s="70" t="str">
        <f>IFERROR(VLOOKUP(A1265,[1]wms_iv_f!$A$1:$E$136,4,FALSE),"")</f>
        <v/>
      </c>
      <c r="H1265" s="95" t="str">
        <f>IFERROR(VLOOKUP(A1265,[2]wms_lc_f!$A$1:$B$156,2,FALSE),"")</f>
        <v/>
      </c>
    </row>
    <row r="1266" spans="1:8">
      <c r="A1266" s="69">
        <v>135747</v>
      </c>
      <c r="B1266" s="69" t="s">
        <v>2613</v>
      </c>
      <c r="C1266" s="70" t="s">
        <v>1190</v>
      </c>
      <c r="D1266" s="70" t="s">
        <v>2610</v>
      </c>
      <c r="E1266" s="72">
        <v>1</v>
      </c>
      <c r="F1266" s="70"/>
      <c r="G1266" s="70" t="str">
        <f>IFERROR(VLOOKUP(A1266,[1]wms_iv_f!$A$1:$E$136,4,FALSE),"")</f>
        <v/>
      </c>
      <c r="H1266" s="95" t="str">
        <f>IFERROR(VLOOKUP(A1266,[2]wms_lc_f!$A$1:$B$156,2,FALSE),"")</f>
        <v/>
      </c>
    </row>
    <row r="1267" spans="1:8">
      <c r="A1267" s="69">
        <v>143559</v>
      </c>
      <c r="B1267" s="69" t="s">
        <v>2613</v>
      </c>
      <c r="C1267" s="70" t="s">
        <v>1192</v>
      </c>
      <c r="D1267" s="70" t="s">
        <v>2610</v>
      </c>
      <c r="E1267" s="72">
        <v>1</v>
      </c>
      <c r="F1267" s="70"/>
      <c r="G1267" s="70" t="str">
        <f>IFERROR(VLOOKUP(A1267,[1]wms_iv_f!$A$1:$E$136,4,FALSE),"")</f>
        <v/>
      </c>
      <c r="H1267" s="95" t="str">
        <f>IFERROR(VLOOKUP(A1267,[2]wms_lc_f!$A$1:$B$156,2,FALSE),"")</f>
        <v/>
      </c>
    </row>
    <row r="1268" spans="1:8">
      <c r="A1268" s="69">
        <v>64844</v>
      </c>
      <c r="B1268" s="69" t="s">
        <v>2613</v>
      </c>
      <c r="C1268" s="70" t="s">
        <v>1301</v>
      </c>
      <c r="D1268" s="70" t="s">
        <v>2610</v>
      </c>
      <c r="E1268" s="72">
        <v>1</v>
      </c>
      <c r="F1268" s="70"/>
      <c r="G1268" s="70" t="str">
        <f>IFERROR(VLOOKUP(A1268,[1]wms_iv_f!$A$1:$E$136,4,FALSE),"")</f>
        <v/>
      </c>
      <c r="H1268" s="95" t="str">
        <f>IFERROR(VLOOKUP(A1268,[2]wms_lc_f!$A$1:$B$156,2,FALSE),"")</f>
        <v/>
      </c>
    </row>
    <row r="1269" spans="1:8">
      <c r="A1269" s="69">
        <v>159183</v>
      </c>
      <c r="B1269" s="69" t="s">
        <v>2613</v>
      </c>
      <c r="C1269" s="70" t="s">
        <v>1302</v>
      </c>
      <c r="D1269" s="70" t="s">
        <v>2610</v>
      </c>
      <c r="E1269" s="72">
        <v>1</v>
      </c>
      <c r="F1269" s="70"/>
      <c r="G1269" s="70" t="str">
        <f>IFERROR(VLOOKUP(A1269,[1]wms_iv_f!$A$1:$E$136,4,FALSE),"")</f>
        <v/>
      </c>
      <c r="H1269" s="95" t="str">
        <f>IFERROR(VLOOKUP(A1269,[2]wms_lc_f!$A$1:$B$156,2,FALSE),"")</f>
        <v/>
      </c>
    </row>
    <row r="1270" spans="1:8">
      <c r="A1270" s="69">
        <v>159136</v>
      </c>
      <c r="B1270" s="69" t="s">
        <v>2613</v>
      </c>
      <c r="C1270" s="70" t="s">
        <v>1303</v>
      </c>
      <c r="D1270" s="70" t="s">
        <v>2610</v>
      </c>
      <c r="E1270" s="72">
        <v>1</v>
      </c>
      <c r="F1270" s="70"/>
      <c r="G1270" s="70" t="str">
        <f>IFERROR(VLOOKUP(A1270,[1]wms_iv_f!$A$1:$E$136,4,FALSE),"")</f>
        <v/>
      </c>
      <c r="H1270" s="95" t="str">
        <f>IFERROR(VLOOKUP(A1270,[2]wms_lc_f!$A$1:$B$156,2,FALSE),"")</f>
        <v/>
      </c>
    </row>
    <row r="1271" spans="1:8">
      <c r="A1271" s="69">
        <v>156118</v>
      </c>
      <c r="B1271" s="69" t="s">
        <v>2613</v>
      </c>
      <c r="C1271" s="70" t="s">
        <v>1304</v>
      </c>
      <c r="D1271" s="70" t="s">
        <v>2610</v>
      </c>
      <c r="E1271" s="72">
        <v>1</v>
      </c>
      <c r="F1271" s="70"/>
      <c r="G1271" s="70" t="str">
        <f>IFERROR(VLOOKUP(A1271,[1]wms_iv_f!$A$1:$E$136,4,FALSE),"")</f>
        <v/>
      </c>
      <c r="H1271" s="95" t="str">
        <f>IFERROR(VLOOKUP(A1271,[2]wms_lc_f!$A$1:$B$156,2,FALSE),"")</f>
        <v/>
      </c>
    </row>
    <row r="1272" spans="1:8">
      <c r="A1272" s="69">
        <v>142637</v>
      </c>
      <c r="B1272" s="69" t="s">
        <v>2613</v>
      </c>
      <c r="C1272" s="70" t="s">
        <v>1306</v>
      </c>
      <c r="D1272" s="70" t="s">
        <v>2610</v>
      </c>
      <c r="E1272" s="72">
        <v>1</v>
      </c>
      <c r="F1272" s="70"/>
      <c r="G1272" s="70" t="str">
        <f>IFERROR(VLOOKUP(A1272,[1]wms_iv_f!$A$1:$E$136,4,FALSE),"")</f>
        <v/>
      </c>
      <c r="H1272" s="95" t="str">
        <f>IFERROR(VLOOKUP(A1272,[2]wms_lc_f!$A$1:$B$156,2,FALSE),"")</f>
        <v/>
      </c>
    </row>
    <row r="1273" spans="1:8">
      <c r="A1273" s="69">
        <v>157733</v>
      </c>
      <c r="B1273" s="69" t="s">
        <v>2613</v>
      </c>
      <c r="C1273" s="70" t="s">
        <v>952</v>
      </c>
      <c r="D1273" s="70" t="s">
        <v>2610</v>
      </c>
      <c r="E1273" s="72">
        <v>1</v>
      </c>
      <c r="F1273" s="70"/>
      <c r="G1273" s="70" t="str">
        <f>IFERROR(VLOOKUP(A1273,[1]wms_iv_f!$A$1:$E$136,4,FALSE),"")</f>
        <v/>
      </c>
      <c r="H1273" s="95" t="str">
        <f>IFERROR(VLOOKUP(A1273,[2]wms_lc_f!$A$1:$B$156,2,FALSE),"")</f>
        <v/>
      </c>
    </row>
    <row r="1274" spans="1:8">
      <c r="A1274" s="69">
        <v>37697</v>
      </c>
      <c r="B1274" s="69" t="s">
        <v>2613</v>
      </c>
      <c r="C1274" s="70" t="s">
        <v>842</v>
      </c>
      <c r="D1274" s="70" t="s">
        <v>2610</v>
      </c>
      <c r="E1274" s="72">
        <v>1</v>
      </c>
      <c r="F1274" s="70"/>
      <c r="G1274" s="70" t="str">
        <f>IFERROR(VLOOKUP(A1274,[1]wms_iv_f!$A$1:$E$136,4,FALSE),"")</f>
        <v/>
      </c>
      <c r="H1274" s="95" t="str">
        <f>IFERROR(VLOOKUP(A1274,[2]wms_lc_f!$A$1:$B$156,2,FALSE),"")</f>
        <v/>
      </c>
    </row>
    <row r="1275" spans="1:8">
      <c r="A1275" s="69">
        <v>116522</v>
      </c>
      <c r="B1275" s="69" t="s">
        <v>2613</v>
      </c>
      <c r="C1275" s="70" t="s">
        <v>2635</v>
      </c>
      <c r="D1275" s="70" t="s">
        <v>2610</v>
      </c>
      <c r="E1275" s="72">
        <v>1</v>
      </c>
      <c r="F1275" s="70"/>
      <c r="G1275" s="70" t="str">
        <f>IFERROR(VLOOKUP(A1275,[1]wms_iv_f!$A$1:$E$136,4,FALSE),"")</f>
        <v/>
      </c>
      <c r="H1275" s="95" t="str">
        <f>IFERROR(VLOOKUP(A1275,[2]wms_lc_f!$A$1:$B$156,2,FALSE),"")</f>
        <v/>
      </c>
    </row>
    <row r="1276" spans="1:8">
      <c r="A1276" s="69">
        <v>156117</v>
      </c>
      <c r="B1276" s="69" t="s">
        <v>2613</v>
      </c>
      <c r="C1276" s="70" t="s">
        <v>843</v>
      </c>
      <c r="D1276" s="70" t="s">
        <v>2610</v>
      </c>
      <c r="E1276" s="72">
        <v>1</v>
      </c>
      <c r="F1276" s="70"/>
      <c r="G1276" s="70" t="str">
        <f>IFERROR(VLOOKUP(A1276,[1]wms_iv_f!$A$1:$E$136,4,FALSE),"")</f>
        <v/>
      </c>
      <c r="H1276" s="95" t="str">
        <f>IFERROR(VLOOKUP(A1276,[2]wms_lc_f!$A$1:$B$156,2,FALSE),"")</f>
        <v/>
      </c>
    </row>
    <row r="1277" spans="1:8">
      <c r="A1277" s="69">
        <v>951</v>
      </c>
      <c r="B1277" s="69" t="s">
        <v>2613</v>
      </c>
      <c r="C1277" s="70" t="s">
        <v>730</v>
      </c>
      <c r="D1277" s="70" t="s">
        <v>2610</v>
      </c>
      <c r="E1277" s="72">
        <v>1</v>
      </c>
      <c r="F1277" s="70"/>
      <c r="G1277" s="70" t="str">
        <f>IFERROR(VLOOKUP(A1277,[1]wms_iv_f!$A$1:$E$136,4,FALSE),"")</f>
        <v/>
      </c>
      <c r="H1277" s="95" t="str">
        <f>IFERROR(VLOOKUP(A1277,[2]wms_lc_f!$A$1:$B$156,2,FALSE),"")</f>
        <v/>
      </c>
    </row>
    <row r="1278" spans="1:8">
      <c r="A1278" s="69">
        <v>76</v>
      </c>
      <c r="B1278" s="69" t="s">
        <v>2613</v>
      </c>
      <c r="C1278" s="70" t="s">
        <v>731</v>
      </c>
      <c r="D1278" s="70" t="s">
        <v>2610</v>
      </c>
      <c r="E1278" s="72">
        <v>1</v>
      </c>
      <c r="F1278" s="70"/>
      <c r="G1278" s="70" t="str">
        <f>IFERROR(VLOOKUP(A1278,[1]wms_iv_f!$A$1:$E$136,4,FALSE),"")</f>
        <v/>
      </c>
      <c r="H1278" s="95" t="str">
        <f>IFERROR(VLOOKUP(A1278,[2]wms_lc_f!$A$1:$B$156,2,FALSE),"")</f>
        <v/>
      </c>
    </row>
    <row r="1279" spans="1:8">
      <c r="A1279" s="69">
        <v>133698</v>
      </c>
      <c r="B1279" s="69" t="s">
        <v>2613</v>
      </c>
      <c r="C1279" s="70" t="s">
        <v>732</v>
      </c>
      <c r="D1279" s="70" t="s">
        <v>2610</v>
      </c>
      <c r="E1279" s="72">
        <v>1</v>
      </c>
      <c r="F1279" s="70"/>
      <c r="G1279" s="70" t="str">
        <f>IFERROR(VLOOKUP(A1279,[1]wms_iv_f!$A$1:$E$136,4,FALSE),"")</f>
        <v/>
      </c>
      <c r="H1279" s="95" t="str">
        <f>IFERROR(VLOOKUP(A1279,[2]wms_lc_f!$A$1:$B$156,2,FALSE),"")</f>
        <v/>
      </c>
    </row>
    <row r="1280" spans="1:8">
      <c r="A1280" s="69">
        <v>13020</v>
      </c>
      <c r="B1280" s="69" t="s">
        <v>2613</v>
      </c>
      <c r="C1280" s="70" t="s">
        <v>733</v>
      </c>
      <c r="D1280" s="70" t="s">
        <v>2610</v>
      </c>
      <c r="E1280" s="72">
        <v>1</v>
      </c>
      <c r="F1280" s="70"/>
      <c r="G1280" s="70" t="str">
        <f>IFERROR(VLOOKUP(A1280,[1]wms_iv_f!$A$1:$E$136,4,FALSE),"")</f>
        <v/>
      </c>
      <c r="H1280" s="95" t="str">
        <f>IFERROR(VLOOKUP(A1280,[2]wms_lc_f!$A$1:$B$156,2,FALSE),"")</f>
        <v/>
      </c>
    </row>
    <row r="1281" spans="1:8">
      <c r="A1281" s="69">
        <v>86223</v>
      </c>
      <c r="B1281" s="69" t="s">
        <v>2613</v>
      </c>
      <c r="C1281" s="70" t="s">
        <v>2636</v>
      </c>
      <c r="D1281" s="70" t="s">
        <v>2610</v>
      </c>
      <c r="E1281" s="72">
        <v>1</v>
      </c>
      <c r="F1281" s="70"/>
      <c r="G1281" s="70" t="str">
        <f>IFERROR(VLOOKUP(A1281,[1]wms_iv_f!$A$1:$E$136,4,FALSE),"")</f>
        <v/>
      </c>
      <c r="H1281" s="95" t="str">
        <f>IFERROR(VLOOKUP(A1281,[2]wms_lc_f!$A$1:$B$156,2,FALSE),"")</f>
        <v/>
      </c>
    </row>
    <row r="1282" spans="1:8">
      <c r="A1282" s="71">
        <v>138668</v>
      </c>
      <c r="B1282" s="69" t="s">
        <v>2613</v>
      </c>
      <c r="C1282" s="70" t="s">
        <v>734</v>
      </c>
      <c r="D1282" s="70" t="s">
        <v>2610</v>
      </c>
      <c r="E1282" s="72">
        <v>1</v>
      </c>
      <c r="F1282" s="70"/>
      <c r="G1282" s="70" t="str">
        <f>IFERROR(VLOOKUP(A1282,[1]wms_iv_f!$A$1:$E$136,4,FALSE),"")</f>
        <v/>
      </c>
      <c r="H1282" s="95" t="str">
        <f>IFERROR(VLOOKUP(A1282,[2]wms_lc_f!$A$1:$B$156,2,FALSE),"")</f>
        <v/>
      </c>
    </row>
    <row r="1283" spans="1:8">
      <c r="A1283" s="71">
        <v>2645</v>
      </c>
      <c r="B1283" s="69" t="s">
        <v>2613</v>
      </c>
      <c r="C1283" s="70" t="s">
        <v>1030</v>
      </c>
      <c r="D1283" s="70" t="s">
        <v>2610</v>
      </c>
      <c r="E1283" s="72">
        <v>1</v>
      </c>
      <c r="F1283" s="70"/>
      <c r="G1283" s="70" t="str">
        <f>IFERROR(VLOOKUP(A1283,[1]wms_iv_f!$A$1:$E$136,4,FALSE),"")</f>
        <v/>
      </c>
      <c r="H1283" s="95" t="str">
        <f>IFERROR(VLOOKUP(A1283,[2]wms_lc_f!$A$1:$B$156,2,FALSE),"")</f>
        <v/>
      </c>
    </row>
    <row r="1284" spans="1:8">
      <c r="A1284" s="71">
        <v>13219</v>
      </c>
      <c r="B1284" s="69" t="s">
        <v>2613</v>
      </c>
      <c r="C1284" s="70" t="s">
        <v>1029</v>
      </c>
      <c r="D1284" s="70" t="s">
        <v>2610</v>
      </c>
      <c r="E1284" s="72">
        <v>1</v>
      </c>
      <c r="F1284" s="70"/>
      <c r="G1284" s="70" t="str">
        <f>IFERROR(VLOOKUP(A1284,[1]wms_iv_f!$A$1:$E$136,4,FALSE),"")</f>
        <v/>
      </c>
      <c r="H1284" s="95" t="str">
        <f>IFERROR(VLOOKUP(A1284,[2]wms_lc_f!$A$1:$B$156,2,FALSE),"")</f>
        <v/>
      </c>
    </row>
    <row r="1285" spans="1:8">
      <c r="A1285" s="71">
        <v>63519</v>
      </c>
      <c r="B1285" s="69" t="s">
        <v>2613</v>
      </c>
      <c r="C1285" s="70" t="s">
        <v>1028</v>
      </c>
      <c r="D1285" s="70" t="s">
        <v>2610</v>
      </c>
      <c r="E1285" s="72">
        <v>1</v>
      </c>
      <c r="F1285" s="70"/>
      <c r="G1285" s="70" t="str">
        <f>IFERROR(VLOOKUP(A1285,[1]wms_iv_f!$A$1:$E$136,4,FALSE),"")</f>
        <v/>
      </c>
      <c r="H1285" s="95" t="str">
        <f>IFERROR(VLOOKUP(A1285,[2]wms_lc_f!$A$1:$B$156,2,FALSE),"")</f>
        <v/>
      </c>
    </row>
    <row r="1286" spans="1:8">
      <c r="A1286" s="71">
        <v>64887</v>
      </c>
      <c r="B1286" s="69" t="s">
        <v>2613</v>
      </c>
      <c r="C1286" s="70" t="s">
        <v>1257</v>
      </c>
      <c r="D1286" s="70" t="s">
        <v>2610</v>
      </c>
      <c r="E1286" s="72">
        <v>1</v>
      </c>
      <c r="F1286" s="70"/>
      <c r="G1286" s="70" t="str">
        <f>IFERROR(VLOOKUP(A1286,[1]wms_iv_f!$A$1:$E$136,4,FALSE),"")</f>
        <v/>
      </c>
      <c r="H1286" s="95" t="str">
        <f>IFERROR(VLOOKUP(A1286,[2]wms_lc_f!$A$1:$B$156,2,FALSE),"")</f>
        <v/>
      </c>
    </row>
    <row r="1287" spans="1:8">
      <c r="A1287" s="71">
        <v>78513</v>
      </c>
      <c r="B1287" s="69" t="s">
        <v>2613</v>
      </c>
      <c r="C1287" s="70" t="s">
        <v>1253</v>
      </c>
      <c r="D1287" s="70" t="s">
        <v>2610</v>
      </c>
      <c r="E1287" s="72">
        <v>1</v>
      </c>
      <c r="F1287" s="70"/>
      <c r="G1287" s="70" t="str">
        <f>IFERROR(VLOOKUP(A1287,[1]wms_iv_f!$A$1:$E$136,4,FALSE),"")</f>
        <v/>
      </c>
      <c r="H1287" s="95" t="str">
        <f>IFERROR(VLOOKUP(A1287,[2]wms_lc_f!$A$1:$B$156,2,FALSE),"")</f>
        <v/>
      </c>
    </row>
    <row r="1288" spans="1:8">
      <c r="A1288" s="71">
        <v>85468</v>
      </c>
      <c r="B1288" s="69" t="s">
        <v>2613</v>
      </c>
      <c r="C1288" s="70" t="s">
        <v>1258</v>
      </c>
      <c r="D1288" s="70" t="s">
        <v>2610</v>
      </c>
      <c r="E1288" s="72">
        <v>1</v>
      </c>
      <c r="F1288" s="70"/>
      <c r="G1288" s="70" t="str">
        <f>IFERROR(VLOOKUP(A1288,[1]wms_iv_f!$A$1:$E$136,4,FALSE),"")</f>
        <v/>
      </c>
      <c r="H1288" s="95" t="str">
        <f>IFERROR(VLOOKUP(A1288,[2]wms_lc_f!$A$1:$B$156,2,FALSE),"")</f>
        <v/>
      </c>
    </row>
    <row r="1289" spans="1:8">
      <c r="A1289" s="69">
        <v>97476</v>
      </c>
      <c r="B1289" s="69" t="s">
        <v>2613</v>
      </c>
      <c r="C1289" s="70" t="s">
        <v>1144</v>
      </c>
      <c r="D1289" s="70" t="s">
        <v>2610</v>
      </c>
      <c r="E1289" s="72">
        <v>1</v>
      </c>
      <c r="F1289" s="70"/>
      <c r="G1289" s="70" t="str">
        <f>IFERROR(VLOOKUP(A1289,[1]wms_iv_f!$A$1:$E$136,4,FALSE),"")</f>
        <v/>
      </c>
      <c r="H1289" s="95" t="str">
        <f>IFERROR(VLOOKUP(A1289,[2]wms_lc_f!$A$1:$B$156,2,FALSE),"")</f>
        <v/>
      </c>
    </row>
    <row r="1290" spans="1:8">
      <c r="A1290" s="77">
        <v>101026</v>
      </c>
      <c r="B1290" s="69" t="s">
        <v>2613</v>
      </c>
      <c r="C1290" s="70" t="s">
        <v>1026</v>
      </c>
      <c r="D1290" s="70" t="s">
        <v>2610</v>
      </c>
      <c r="E1290" s="72">
        <v>1</v>
      </c>
      <c r="F1290" s="70"/>
      <c r="G1290" s="70" t="str">
        <f>IFERROR(VLOOKUP(A1290,[1]wms_iv_f!$A$1:$E$136,4,FALSE),"")</f>
        <v/>
      </c>
      <c r="H1290" s="95" t="str">
        <f>IFERROR(VLOOKUP(A1290,[2]wms_lc_f!$A$1:$B$156,2,FALSE),"")</f>
        <v/>
      </c>
    </row>
    <row r="1291" spans="1:8">
      <c r="A1291" s="77">
        <v>108194</v>
      </c>
      <c r="B1291" s="69" t="s">
        <v>2613</v>
      </c>
      <c r="C1291" s="70" t="s">
        <v>1142</v>
      </c>
      <c r="D1291" s="70" t="s">
        <v>2610</v>
      </c>
      <c r="E1291" s="72">
        <v>1</v>
      </c>
      <c r="F1291" s="70"/>
      <c r="G1291" s="70" t="str">
        <f>IFERROR(VLOOKUP(A1291,[1]wms_iv_f!$A$1:$E$136,4,FALSE),"")</f>
        <v/>
      </c>
      <c r="H1291" s="95" t="str">
        <f>IFERROR(VLOOKUP(A1291,[2]wms_lc_f!$A$1:$B$156,2,FALSE),"")</f>
        <v/>
      </c>
    </row>
    <row r="1292" spans="1:8">
      <c r="A1292" s="71">
        <v>110258</v>
      </c>
      <c r="B1292" s="69" t="s">
        <v>2613</v>
      </c>
      <c r="C1292" s="70" t="s">
        <v>1139</v>
      </c>
      <c r="D1292" s="70" t="s">
        <v>2610</v>
      </c>
      <c r="E1292" s="72">
        <v>1</v>
      </c>
      <c r="F1292" s="70"/>
      <c r="G1292" s="70" t="str">
        <f>IFERROR(VLOOKUP(A1292,[1]wms_iv_f!$A$1:$E$136,4,FALSE),"")</f>
        <v/>
      </c>
      <c r="H1292" s="95" t="str">
        <f>IFERROR(VLOOKUP(A1292,[2]wms_lc_f!$A$1:$B$156,2,FALSE),"")</f>
        <v/>
      </c>
    </row>
    <row r="1293" spans="1:8">
      <c r="A1293" s="71">
        <v>110259</v>
      </c>
      <c r="B1293" s="69" t="s">
        <v>2613</v>
      </c>
      <c r="C1293" s="70" t="s">
        <v>1140</v>
      </c>
      <c r="D1293" s="70" t="s">
        <v>2610</v>
      </c>
      <c r="E1293" s="72">
        <v>1</v>
      </c>
      <c r="F1293" s="70"/>
      <c r="G1293" s="70" t="str">
        <f>IFERROR(VLOOKUP(A1293,[1]wms_iv_f!$A$1:$E$136,4,FALSE),"")</f>
        <v/>
      </c>
      <c r="H1293" s="95" t="str">
        <f>IFERROR(VLOOKUP(A1293,[2]wms_lc_f!$A$1:$B$156,2,FALSE),"")</f>
        <v/>
      </c>
    </row>
    <row r="1294" spans="1:8">
      <c r="A1294" s="71">
        <v>110539</v>
      </c>
      <c r="B1294" s="69" t="s">
        <v>2613</v>
      </c>
      <c r="C1294" s="70" t="s">
        <v>1255</v>
      </c>
      <c r="D1294" s="70" t="s">
        <v>2610</v>
      </c>
      <c r="E1294" s="72">
        <v>1</v>
      </c>
      <c r="F1294" s="70"/>
      <c r="G1294" s="70" t="str">
        <f>IFERROR(VLOOKUP(A1294,[1]wms_iv_f!$A$1:$E$136,4,FALSE),"")</f>
        <v/>
      </c>
      <c r="H1294" s="95" t="str">
        <f>IFERROR(VLOOKUP(A1294,[2]wms_lc_f!$A$1:$B$156,2,FALSE),"")</f>
        <v/>
      </c>
    </row>
    <row r="1295" spans="1:8">
      <c r="A1295" s="71">
        <v>138843</v>
      </c>
      <c r="B1295" s="69" t="s">
        <v>2613</v>
      </c>
      <c r="C1295" s="70" t="s">
        <v>1027</v>
      </c>
      <c r="D1295" s="70" t="s">
        <v>2610</v>
      </c>
      <c r="E1295" s="72">
        <v>1</v>
      </c>
      <c r="F1295" s="70"/>
      <c r="G1295" s="70" t="str">
        <f>IFERROR(VLOOKUP(A1295,[1]wms_iv_f!$A$1:$E$136,4,FALSE),"")</f>
        <v/>
      </c>
      <c r="H1295" s="95" t="str">
        <f>IFERROR(VLOOKUP(A1295,[2]wms_lc_f!$A$1:$B$156,2,FALSE),"")</f>
        <v/>
      </c>
    </row>
    <row r="1296" spans="1:8">
      <c r="A1296" s="71">
        <v>138847</v>
      </c>
      <c r="B1296" s="69" t="s">
        <v>2613</v>
      </c>
      <c r="C1296" s="70" t="s">
        <v>1256</v>
      </c>
      <c r="D1296" s="70" t="s">
        <v>2610</v>
      </c>
      <c r="E1296" s="72">
        <v>1</v>
      </c>
      <c r="F1296" s="70"/>
      <c r="G1296" s="70" t="str">
        <f>IFERROR(VLOOKUP(A1296,[1]wms_iv_f!$A$1:$E$136,4,FALSE),"")</f>
        <v/>
      </c>
      <c r="H1296" s="95" t="str">
        <f>IFERROR(VLOOKUP(A1296,[2]wms_lc_f!$A$1:$B$156,2,FALSE),"")</f>
        <v/>
      </c>
    </row>
    <row r="1297" spans="1:8">
      <c r="A1297" s="71">
        <v>138930</v>
      </c>
      <c r="B1297" s="69" t="s">
        <v>2613</v>
      </c>
      <c r="C1297" s="70" t="s">
        <v>1254</v>
      </c>
      <c r="D1297" s="70" t="s">
        <v>2610</v>
      </c>
      <c r="E1297" s="72">
        <v>1</v>
      </c>
      <c r="F1297" s="70"/>
      <c r="G1297" s="70" t="str">
        <f>IFERROR(VLOOKUP(A1297,[1]wms_iv_f!$A$1:$E$136,4,FALSE),"")</f>
        <v/>
      </c>
      <c r="H1297" s="95" t="str">
        <f>IFERROR(VLOOKUP(A1297,[2]wms_lc_f!$A$1:$B$156,2,FALSE),"")</f>
        <v/>
      </c>
    </row>
    <row r="1298" spans="1:8">
      <c r="A1298" s="71">
        <v>140996</v>
      </c>
      <c r="B1298" s="69" t="s">
        <v>2613</v>
      </c>
      <c r="C1298" s="70" t="s">
        <v>1141</v>
      </c>
      <c r="D1298" s="70" t="s">
        <v>2610</v>
      </c>
      <c r="E1298" s="72">
        <v>1</v>
      </c>
      <c r="F1298" s="70"/>
      <c r="G1298" s="70" t="str">
        <f>IFERROR(VLOOKUP(A1298,[1]wms_iv_f!$A$1:$E$136,4,FALSE),"")</f>
        <v/>
      </c>
      <c r="H1298" s="95" t="str">
        <f>IFERROR(VLOOKUP(A1298,[2]wms_lc_f!$A$1:$B$156,2,FALSE),"")</f>
        <v/>
      </c>
    </row>
    <row r="1299" spans="1:8">
      <c r="A1299" s="71">
        <v>155998</v>
      </c>
      <c r="B1299" s="69" t="s">
        <v>2613</v>
      </c>
      <c r="C1299" s="70" t="s">
        <v>1143</v>
      </c>
      <c r="D1299" s="70" t="s">
        <v>2610</v>
      </c>
      <c r="E1299" s="72">
        <v>1</v>
      </c>
      <c r="F1299" s="70"/>
      <c r="G1299" s="70" t="str">
        <f>IFERROR(VLOOKUP(A1299,[1]wms_iv_f!$A$1:$E$136,4,FALSE),"")</f>
        <v/>
      </c>
      <c r="H1299" s="95" t="str">
        <f>IFERROR(VLOOKUP(A1299,[2]wms_lc_f!$A$1:$B$156,2,FALSE),"")</f>
        <v/>
      </c>
    </row>
    <row r="1300" spans="1:8">
      <c r="A1300" s="71">
        <v>159355</v>
      </c>
      <c r="B1300" s="69" t="s">
        <v>2613</v>
      </c>
      <c r="C1300" s="70" t="s">
        <v>1025</v>
      </c>
      <c r="D1300" s="70" t="s">
        <v>2610</v>
      </c>
      <c r="E1300" s="72">
        <v>1</v>
      </c>
      <c r="F1300" s="70"/>
      <c r="G1300" s="70"/>
      <c r="H1300" s="95" t="str">
        <f>IFERROR(VLOOKUP(A1300,[2]wms_lc_f!$A$1:$B$156,2,FALSE),"")</f>
        <v/>
      </c>
    </row>
    <row r="1301" spans="1:8">
      <c r="A1301" s="71">
        <v>132788</v>
      </c>
      <c r="B1301" s="69" t="s">
        <v>2613</v>
      </c>
      <c r="C1301" s="70" t="s">
        <v>687</v>
      </c>
      <c r="D1301" s="70" t="s">
        <v>2610</v>
      </c>
      <c r="E1301" s="72">
        <v>1</v>
      </c>
      <c r="F1301" s="70"/>
      <c r="G1301" s="70" t="str">
        <f>IFERROR(VLOOKUP(A1301,[1]wms_iv_f!$A$1:$E$136,4,FALSE),"")</f>
        <v/>
      </c>
      <c r="H1301" s="95" t="str">
        <f>IFERROR(VLOOKUP(A1301,[2]wms_lc_f!$A$1:$B$156,2,FALSE),"")</f>
        <v/>
      </c>
    </row>
    <row r="1302" spans="1:8">
      <c r="A1302" s="71">
        <v>105955</v>
      </c>
      <c r="B1302" s="69" t="s">
        <v>2613</v>
      </c>
      <c r="C1302" s="70" t="s">
        <v>688</v>
      </c>
      <c r="D1302" s="70" t="s">
        <v>2610</v>
      </c>
      <c r="E1302" s="72">
        <v>1</v>
      </c>
      <c r="F1302" s="70"/>
      <c r="G1302" s="70" t="str">
        <f>IFERROR(VLOOKUP(A1302,[1]wms_iv_f!$A$1:$E$136,4,FALSE),"")</f>
        <v/>
      </c>
      <c r="H1302" s="95" t="str">
        <f>IFERROR(VLOOKUP(A1302,[2]wms_lc_f!$A$1:$B$156,2,FALSE),"")</f>
        <v/>
      </c>
    </row>
    <row r="1303" spans="1:8">
      <c r="A1303" s="71">
        <v>156084</v>
      </c>
      <c r="B1303" s="69" t="s">
        <v>2613</v>
      </c>
      <c r="C1303" s="70" t="s">
        <v>689</v>
      </c>
      <c r="D1303" s="70" t="s">
        <v>2610</v>
      </c>
      <c r="E1303" s="72">
        <v>1</v>
      </c>
      <c r="F1303" s="70"/>
      <c r="G1303" s="70" t="str">
        <f>IFERROR(VLOOKUP(A1303,[1]wms_iv_f!$A$1:$E$136,4,FALSE),"")</f>
        <v/>
      </c>
      <c r="H1303" s="95" t="str">
        <f>IFERROR(VLOOKUP(A1303,[2]wms_lc_f!$A$1:$B$156,2,FALSE),"")</f>
        <v/>
      </c>
    </row>
    <row r="1304" spans="1:8">
      <c r="A1304" s="71">
        <v>127302</v>
      </c>
      <c r="B1304" s="69" t="s">
        <v>2613</v>
      </c>
      <c r="C1304" s="70" t="s">
        <v>690</v>
      </c>
      <c r="D1304" s="70" t="s">
        <v>2610</v>
      </c>
      <c r="E1304" s="72">
        <v>1</v>
      </c>
      <c r="F1304" s="70"/>
      <c r="G1304" s="70" t="str">
        <f>IFERROR(VLOOKUP(A1304,[1]wms_iv_f!$A$1:$E$136,4,FALSE),"")</f>
        <v/>
      </c>
      <c r="H1304" s="95" t="str">
        <f>IFERROR(VLOOKUP(A1304,[2]wms_lc_f!$A$1:$B$156,2,FALSE),"")</f>
        <v/>
      </c>
    </row>
    <row r="1305" spans="1:8">
      <c r="A1305" s="71">
        <v>96259</v>
      </c>
      <c r="B1305" s="69" t="s">
        <v>2609</v>
      </c>
      <c r="C1305" s="70" t="s">
        <v>1566</v>
      </c>
      <c r="D1305" s="70" t="s">
        <v>2610</v>
      </c>
      <c r="E1305" s="72">
        <v>1</v>
      </c>
      <c r="F1305" s="70"/>
      <c r="G1305" s="70" t="str">
        <f>IFERROR(VLOOKUP(A1305,[1]wms_iv_f!$A$1:$E$136,4,FALSE),"")</f>
        <v/>
      </c>
      <c r="H1305" s="95" t="str">
        <f>IFERROR(VLOOKUP(A1305,[2]wms_lc_f!$A$1:$B$156,2,FALSE),"")</f>
        <v/>
      </c>
    </row>
    <row r="1306" spans="1:8">
      <c r="A1306" s="71">
        <v>20401</v>
      </c>
      <c r="B1306" s="69" t="s">
        <v>2609</v>
      </c>
      <c r="C1306" s="70" t="s">
        <v>1565</v>
      </c>
      <c r="D1306" s="70" t="s">
        <v>2610</v>
      </c>
      <c r="E1306" s="72">
        <v>1</v>
      </c>
      <c r="F1306" s="70"/>
      <c r="G1306" s="70" t="str">
        <f>IFERROR(VLOOKUP(A1306,[1]wms_iv_f!$A$1:$E$136,4,FALSE),"")</f>
        <v/>
      </c>
      <c r="H1306" s="95" t="str">
        <f>IFERROR(VLOOKUP(A1306,[2]wms_lc_f!$A$1:$B$156,2,FALSE),"")</f>
        <v/>
      </c>
    </row>
    <row r="1307" spans="1:8">
      <c r="A1307" s="71">
        <v>96261</v>
      </c>
      <c r="B1307" s="69" t="s">
        <v>2609</v>
      </c>
      <c r="C1307" s="70" t="s">
        <v>1564</v>
      </c>
      <c r="D1307" s="70" t="s">
        <v>2610</v>
      </c>
      <c r="E1307" s="72">
        <v>1</v>
      </c>
      <c r="F1307" s="70"/>
      <c r="G1307" s="70" t="str">
        <f>IFERROR(VLOOKUP(A1307,[1]wms_iv_f!$A$1:$E$136,4,FALSE),"")</f>
        <v/>
      </c>
      <c r="H1307" s="95" t="str">
        <f>IFERROR(VLOOKUP(A1307,[2]wms_lc_f!$A$1:$B$156,2,FALSE),"")</f>
        <v/>
      </c>
    </row>
    <row r="1308" spans="1:8">
      <c r="A1308" s="71">
        <v>158219</v>
      </c>
      <c r="B1308" s="69" t="s">
        <v>2609</v>
      </c>
      <c r="C1308" s="70" t="s">
        <v>1563</v>
      </c>
      <c r="D1308" s="70" t="s">
        <v>2610</v>
      </c>
      <c r="E1308" s="72">
        <v>1</v>
      </c>
      <c r="F1308" s="70"/>
      <c r="G1308" s="70" t="str">
        <f>IFERROR(VLOOKUP(A1308,[1]wms_iv_f!$A$1:$E$136,4,FALSE),"")</f>
        <v/>
      </c>
      <c r="H1308" s="95" t="str">
        <f>IFERROR(VLOOKUP(A1308,[2]wms_lc_f!$A$1:$B$156,2,FALSE),"")</f>
        <v/>
      </c>
    </row>
    <row r="1309" spans="1:8">
      <c r="A1309" s="71">
        <v>6667</v>
      </c>
      <c r="B1309" s="69" t="s">
        <v>2609</v>
      </c>
      <c r="C1309" s="70" t="s">
        <v>1562</v>
      </c>
      <c r="D1309" s="70" t="s">
        <v>2610</v>
      </c>
      <c r="E1309" s="72">
        <v>1</v>
      </c>
      <c r="F1309" s="70"/>
      <c r="G1309" s="70" t="str">
        <f>IFERROR(VLOOKUP(A1309,[1]wms_iv_f!$A$1:$E$136,4,FALSE),"")</f>
        <v/>
      </c>
      <c r="H1309" s="95" t="str">
        <f>IFERROR(VLOOKUP(A1309,[2]wms_lc_f!$A$1:$B$156,2,FALSE),"")</f>
        <v/>
      </c>
    </row>
    <row r="1310" spans="1:8">
      <c r="A1310" s="71">
        <v>328</v>
      </c>
      <c r="B1310" s="69" t="s">
        <v>2609</v>
      </c>
      <c r="C1310" s="70" t="s">
        <v>1561</v>
      </c>
      <c r="D1310" s="70" t="s">
        <v>2610</v>
      </c>
      <c r="E1310" s="72">
        <v>1</v>
      </c>
      <c r="F1310" s="70"/>
      <c r="G1310" s="70" t="str">
        <f>IFERROR(VLOOKUP(A1310,[1]wms_iv_f!$A$1:$E$136,4,FALSE),"")</f>
        <v/>
      </c>
      <c r="H1310" s="95" t="str">
        <f>IFERROR(VLOOKUP(A1310,[2]wms_lc_f!$A$1:$B$156,2,FALSE),"")</f>
        <v/>
      </c>
    </row>
    <row r="1311" spans="1:8">
      <c r="A1311" s="71">
        <v>83902</v>
      </c>
      <c r="B1311" s="69" t="s">
        <v>2609</v>
      </c>
      <c r="C1311" s="70" t="s">
        <v>1460</v>
      </c>
      <c r="D1311" s="70" t="s">
        <v>2610</v>
      </c>
      <c r="E1311" s="72">
        <v>1</v>
      </c>
      <c r="F1311" s="70" t="s">
        <v>2612</v>
      </c>
      <c r="G1311" s="70" t="str">
        <f>IFERROR(VLOOKUP(A1311,[1]wms_iv_f!$A$1:$E$136,4,FALSE),"")</f>
        <v/>
      </c>
      <c r="H1311" s="95" t="str">
        <f>IFERROR(VLOOKUP(A1311,[2]wms_lc_f!$A$1:$B$156,2,FALSE),"")</f>
        <v/>
      </c>
    </row>
    <row r="1312" spans="1:8">
      <c r="A1312" s="71">
        <v>14049</v>
      </c>
      <c r="B1312" s="69" t="s">
        <v>2609</v>
      </c>
      <c r="C1312" s="70" t="s">
        <v>1459</v>
      </c>
      <c r="D1312" s="70" t="s">
        <v>2610</v>
      </c>
      <c r="E1312" s="72">
        <v>1</v>
      </c>
      <c r="F1312" s="70" t="s">
        <v>2612</v>
      </c>
      <c r="G1312" s="70" t="str">
        <f>IFERROR(VLOOKUP(A1312,[1]wms_iv_f!$A$1:$E$136,4,FALSE),"")</f>
        <v/>
      </c>
      <c r="H1312" s="95" t="str">
        <f>IFERROR(VLOOKUP(A1312,[2]wms_lc_f!$A$1:$B$156,2,FALSE),"")</f>
        <v/>
      </c>
    </row>
    <row r="1313" spans="1:8">
      <c r="A1313" s="71">
        <v>157434</v>
      </c>
      <c r="B1313" s="69" t="s">
        <v>2609</v>
      </c>
      <c r="C1313" s="70" t="s">
        <v>1458</v>
      </c>
      <c r="D1313" s="70" t="s">
        <v>2610</v>
      </c>
      <c r="E1313" s="72">
        <v>1</v>
      </c>
      <c r="F1313" s="70" t="s">
        <v>2612</v>
      </c>
      <c r="G1313" s="70" t="str">
        <f>IFERROR(VLOOKUP(A1313,[1]wms_iv_f!$A$1:$E$136,4,FALSE),"")</f>
        <v/>
      </c>
      <c r="H1313" s="95" t="str">
        <f>IFERROR(VLOOKUP(A1313,[2]wms_lc_f!$A$1:$B$156,2,FALSE),"")</f>
        <v/>
      </c>
    </row>
    <row r="1314" spans="1:8">
      <c r="A1314" s="71">
        <v>112428</v>
      </c>
      <c r="B1314" s="69" t="s">
        <v>2609</v>
      </c>
      <c r="C1314" s="70" t="s">
        <v>1457</v>
      </c>
      <c r="D1314" s="70" t="s">
        <v>2610</v>
      </c>
      <c r="E1314" s="72">
        <v>1</v>
      </c>
      <c r="F1314" s="70" t="s">
        <v>2612</v>
      </c>
      <c r="G1314" s="70" t="str">
        <f>IFERROR(VLOOKUP(A1314,[1]wms_iv_f!$A$1:$E$136,4,FALSE),"")</f>
        <v/>
      </c>
      <c r="H1314" s="95" t="str">
        <f>IFERROR(VLOOKUP(A1314,[2]wms_lc_f!$A$1:$B$156,2,FALSE),"")</f>
        <v/>
      </c>
    </row>
    <row r="1315" spans="1:8">
      <c r="A1315" s="71">
        <v>7378</v>
      </c>
      <c r="B1315" s="69" t="s">
        <v>2609</v>
      </c>
      <c r="C1315" s="70" t="s">
        <v>1456</v>
      </c>
      <c r="D1315" s="70" t="s">
        <v>2610</v>
      </c>
      <c r="E1315" s="72">
        <v>1</v>
      </c>
      <c r="F1315" s="70" t="s">
        <v>2612</v>
      </c>
      <c r="G1315" s="70" t="str">
        <f>IFERROR(VLOOKUP(A1315,[1]wms_iv_f!$A$1:$E$136,4,FALSE),"")</f>
        <v/>
      </c>
      <c r="H1315" s="95" t="str">
        <f>IFERROR(VLOOKUP(A1315,[2]wms_lc_f!$A$1:$B$156,2,FALSE),"")</f>
        <v/>
      </c>
    </row>
    <row r="1316" spans="1:8">
      <c r="A1316" s="71">
        <v>83918</v>
      </c>
      <c r="B1316" s="69" t="s">
        <v>2609</v>
      </c>
      <c r="C1316" s="70" t="s">
        <v>1455</v>
      </c>
      <c r="D1316" s="70" t="s">
        <v>2610</v>
      </c>
      <c r="E1316" s="72">
        <v>1</v>
      </c>
      <c r="F1316" s="70" t="s">
        <v>2612</v>
      </c>
      <c r="G1316" s="70" t="str">
        <f>IFERROR(VLOOKUP(A1316,[1]wms_iv_f!$A$1:$E$136,4,FALSE),"")</f>
        <v/>
      </c>
      <c r="H1316" s="95" t="str">
        <f>IFERROR(VLOOKUP(A1316,[2]wms_lc_f!$A$1:$B$156,2,FALSE),"")</f>
        <v/>
      </c>
    </row>
    <row r="1317" spans="1:8">
      <c r="A1317" s="71">
        <v>89162</v>
      </c>
      <c r="B1317" s="69" t="s">
        <v>2609</v>
      </c>
      <c r="C1317" s="70" t="s">
        <v>1353</v>
      </c>
      <c r="D1317" s="70" t="s">
        <v>2610</v>
      </c>
      <c r="E1317" s="72">
        <v>1</v>
      </c>
      <c r="F1317" s="70"/>
      <c r="G1317" s="70" t="str">
        <f>IFERROR(VLOOKUP(A1317,[1]wms_iv_f!$A$1:$E$136,4,FALSE),"")</f>
        <v/>
      </c>
      <c r="H1317" s="95" t="str">
        <f>IFERROR(VLOOKUP(A1317,[2]wms_lc_f!$A$1:$B$156,2,FALSE),"")</f>
        <v/>
      </c>
    </row>
    <row r="1318" spans="1:8">
      <c r="A1318" s="71">
        <v>190</v>
      </c>
      <c r="B1318" s="69" t="s">
        <v>2609</v>
      </c>
      <c r="C1318" s="70" t="s">
        <v>1352</v>
      </c>
      <c r="D1318" s="70" t="s">
        <v>2610</v>
      </c>
      <c r="E1318" s="72">
        <v>1</v>
      </c>
      <c r="F1318" s="70"/>
      <c r="G1318" s="70" t="str">
        <f>IFERROR(VLOOKUP(A1318,[1]wms_iv_f!$A$1:$E$136,4,FALSE),"")</f>
        <v/>
      </c>
      <c r="H1318" s="95" t="str">
        <f>IFERROR(VLOOKUP(A1318,[2]wms_lc_f!$A$1:$B$156,2,FALSE),"")</f>
        <v/>
      </c>
    </row>
    <row r="1319" spans="1:8">
      <c r="A1319" s="71">
        <v>17386</v>
      </c>
      <c r="B1319" s="69" t="s">
        <v>2609</v>
      </c>
      <c r="C1319" s="70" t="s">
        <v>1351</v>
      </c>
      <c r="D1319" s="70" t="s">
        <v>2610</v>
      </c>
      <c r="E1319" s="72">
        <v>1</v>
      </c>
      <c r="F1319" s="70"/>
      <c r="G1319" s="70" t="str">
        <f>IFERROR(VLOOKUP(A1319,[1]wms_iv_f!$A$1:$E$136,4,FALSE),"")</f>
        <v/>
      </c>
      <c r="H1319" s="95" t="str">
        <f>IFERROR(VLOOKUP(A1319,[2]wms_lc_f!$A$1:$B$156,2,FALSE),"")</f>
        <v/>
      </c>
    </row>
    <row r="1320" spans="1:8">
      <c r="A1320" s="71">
        <v>82148</v>
      </c>
      <c r="B1320" s="69" t="s">
        <v>2609</v>
      </c>
      <c r="C1320" s="70" t="s">
        <v>1350</v>
      </c>
      <c r="D1320" s="70" t="s">
        <v>2610</v>
      </c>
      <c r="E1320" s="72">
        <v>1</v>
      </c>
      <c r="F1320" s="70"/>
      <c r="G1320" s="70" t="str">
        <f>IFERROR(VLOOKUP(A1320,[1]wms_iv_f!$A$1:$E$136,4,FALSE),"")</f>
        <v/>
      </c>
      <c r="H1320" s="95" t="str">
        <f>IFERROR(VLOOKUP(A1320,[2]wms_lc_f!$A$1:$B$156,2,FALSE),"")</f>
        <v/>
      </c>
    </row>
    <row r="1321" spans="1:8">
      <c r="A1321" s="71">
        <v>9928</v>
      </c>
      <c r="B1321" s="69" t="s">
        <v>2609</v>
      </c>
      <c r="C1321" s="70" t="s">
        <v>1349</v>
      </c>
      <c r="D1321" s="70" t="s">
        <v>2610</v>
      </c>
      <c r="E1321" s="72">
        <v>1</v>
      </c>
      <c r="F1321" s="70"/>
      <c r="G1321" s="70" t="str">
        <f>IFERROR(VLOOKUP(A1321,[1]wms_iv_f!$A$1:$E$136,4,FALSE),"")</f>
        <v/>
      </c>
      <c r="H1321" s="95" t="str">
        <f>IFERROR(VLOOKUP(A1321,[2]wms_lc_f!$A$1:$B$156,2,FALSE),"")</f>
        <v/>
      </c>
    </row>
    <row r="1322" spans="1:8">
      <c r="A1322" s="71">
        <v>139649</v>
      </c>
      <c r="B1322" s="69" t="s">
        <v>2609</v>
      </c>
      <c r="C1322" s="70" t="s">
        <v>1348</v>
      </c>
      <c r="D1322" s="70" t="s">
        <v>2610</v>
      </c>
      <c r="E1322" s="72">
        <v>1</v>
      </c>
      <c r="F1322" s="70"/>
      <c r="G1322" s="70" t="str">
        <f>IFERROR(VLOOKUP(A1322,[1]wms_iv_f!$A$1:$E$136,4,FALSE),"")</f>
        <v/>
      </c>
      <c r="H1322" s="95" t="str">
        <f>IFERROR(VLOOKUP(A1322,[2]wms_lc_f!$A$1:$B$156,2,FALSE),"")</f>
        <v/>
      </c>
    </row>
    <row r="1323" spans="1:8">
      <c r="A1323" s="71">
        <v>112793</v>
      </c>
      <c r="B1323" s="69" t="s">
        <v>2609</v>
      </c>
      <c r="C1323" s="70" t="s">
        <v>1560</v>
      </c>
      <c r="D1323" s="70" t="s">
        <v>2610</v>
      </c>
      <c r="E1323" s="72">
        <v>1</v>
      </c>
      <c r="F1323" s="70"/>
      <c r="G1323" s="70" t="str">
        <f>IFERROR(VLOOKUP(A1323,[1]wms_iv_f!$A$1:$E$136,4,FALSE),"")</f>
        <v/>
      </c>
      <c r="H1323" s="95" t="str">
        <f>IFERROR(VLOOKUP(A1323,[2]wms_lc_f!$A$1:$B$156,2,FALSE),"")</f>
        <v/>
      </c>
    </row>
    <row r="1324" spans="1:8">
      <c r="A1324" s="71">
        <v>129863</v>
      </c>
      <c r="B1324" s="69" t="s">
        <v>2609</v>
      </c>
      <c r="C1324" s="70" t="s">
        <v>1559</v>
      </c>
      <c r="D1324" s="70" t="s">
        <v>2610</v>
      </c>
      <c r="E1324" s="72">
        <v>1</v>
      </c>
      <c r="F1324" s="70"/>
      <c r="G1324" s="70" t="str">
        <f>IFERROR(VLOOKUP(A1324,[1]wms_iv_f!$A$1:$E$136,4,FALSE),"")</f>
        <v/>
      </c>
      <c r="H1324" s="95" t="str">
        <f>IFERROR(VLOOKUP(A1324,[2]wms_lc_f!$A$1:$B$156,2,FALSE),"")</f>
        <v/>
      </c>
    </row>
    <row r="1325" spans="1:8">
      <c r="A1325" s="71">
        <v>16592</v>
      </c>
      <c r="B1325" s="69" t="s">
        <v>2609</v>
      </c>
      <c r="C1325" s="70" t="s">
        <v>1558</v>
      </c>
      <c r="D1325" s="70" t="s">
        <v>2610</v>
      </c>
      <c r="E1325" s="72">
        <v>1</v>
      </c>
      <c r="F1325" s="70"/>
      <c r="G1325" s="70" t="str">
        <f>IFERROR(VLOOKUP(A1325,[1]wms_iv_f!$A$1:$E$136,4,FALSE),"")</f>
        <v/>
      </c>
      <c r="H1325" s="95" t="str">
        <f>IFERROR(VLOOKUP(A1325,[2]wms_lc_f!$A$1:$B$156,2,FALSE),"")</f>
        <v/>
      </c>
    </row>
    <row r="1326" spans="1:8">
      <c r="A1326" s="71">
        <v>122475</v>
      </c>
      <c r="B1326" s="69" t="s">
        <v>2609</v>
      </c>
      <c r="C1326" s="70" t="s">
        <v>1557</v>
      </c>
      <c r="D1326" s="70" t="s">
        <v>2610</v>
      </c>
      <c r="E1326" s="72">
        <v>1</v>
      </c>
      <c r="F1326" s="70"/>
      <c r="G1326" s="70" t="str">
        <f>IFERROR(VLOOKUP(A1326,[1]wms_iv_f!$A$1:$E$136,4,FALSE),"")</f>
        <v/>
      </c>
      <c r="H1326" s="95" t="str">
        <f>IFERROR(VLOOKUP(A1326,[2]wms_lc_f!$A$1:$B$156,2,FALSE),"")</f>
        <v/>
      </c>
    </row>
    <row r="1327" spans="1:8">
      <c r="A1327" s="71">
        <v>128286</v>
      </c>
      <c r="B1327" s="69" t="s">
        <v>2609</v>
      </c>
      <c r="C1327" s="70" t="s">
        <v>1556</v>
      </c>
      <c r="D1327" s="70" t="s">
        <v>2610</v>
      </c>
      <c r="E1327" s="72">
        <v>1</v>
      </c>
      <c r="F1327" s="70"/>
      <c r="G1327" s="70" t="str">
        <f>IFERROR(VLOOKUP(A1327,[1]wms_iv_f!$A$1:$E$136,4,FALSE),"")</f>
        <v/>
      </c>
      <c r="H1327" s="95" t="str">
        <f>IFERROR(VLOOKUP(A1327,[2]wms_lc_f!$A$1:$B$156,2,FALSE),"")</f>
        <v/>
      </c>
    </row>
    <row r="1328" spans="1:8">
      <c r="A1328" s="71">
        <v>63129</v>
      </c>
      <c r="B1328" s="69" t="s">
        <v>2609</v>
      </c>
      <c r="C1328" s="70" t="s">
        <v>1555</v>
      </c>
      <c r="D1328" s="70" t="s">
        <v>2610</v>
      </c>
      <c r="E1328" s="72">
        <v>1</v>
      </c>
      <c r="F1328" s="70"/>
      <c r="G1328" s="70" t="str">
        <f>IFERROR(VLOOKUP(A1328,[1]wms_iv_f!$A$1:$E$136,4,FALSE),"")</f>
        <v/>
      </c>
      <c r="H1328" s="95" t="str">
        <f>IFERROR(VLOOKUP(A1328,[2]wms_lc_f!$A$1:$B$156,2,FALSE),"")</f>
        <v/>
      </c>
    </row>
    <row r="1329" spans="1:8">
      <c r="A1329" s="71">
        <v>128509</v>
      </c>
      <c r="B1329" s="69" t="s">
        <v>2609</v>
      </c>
      <c r="C1329" s="70" t="s">
        <v>1454</v>
      </c>
      <c r="D1329" s="70" t="s">
        <v>2610</v>
      </c>
      <c r="E1329" s="72">
        <v>1</v>
      </c>
      <c r="F1329" s="70" t="s">
        <v>2612</v>
      </c>
      <c r="G1329" s="70" t="str">
        <f>IFERROR(VLOOKUP(A1329,[1]wms_iv_f!$A$1:$E$136,4,FALSE),"")</f>
        <v/>
      </c>
      <c r="H1329" s="95" t="str">
        <f>IFERROR(VLOOKUP(A1329,[2]wms_lc_f!$A$1:$B$156,2,FALSE),"")</f>
        <v/>
      </c>
    </row>
    <row r="1330" spans="1:8">
      <c r="A1330" s="71">
        <v>85363</v>
      </c>
      <c r="B1330" s="69" t="s">
        <v>2609</v>
      </c>
      <c r="C1330" s="70" t="s">
        <v>1453</v>
      </c>
      <c r="D1330" s="70" t="s">
        <v>2610</v>
      </c>
      <c r="E1330" s="72">
        <v>1</v>
      </c>
      <c r="F1330" s="70" t="s">
        <v>2612</v>
      </c>
      <c r="G1330" s="70" t="str">
        <f>IFERROR(VLOOKUP(A1330,[1]wms_iv_f!$A$1:$E$136,4,FALSE),"")</f>
        <v/>
      </c>
      <c r="H1330" s="95" t="str">
        <f>IFERROR(VLOOKUP(A1330,[2]wms_lc_f!$A$1:$B$156,2,FALSE),"")</f>
        <v/>
      </c>
    </row>
    <row r="1331" spans="1:8">
      <c r="A1331" s="71">
        <v>121231</v>
      </c>
      <c r="B1331" s="69" t="s">
        <v>2609</v>
      </c>
      <c r="C1331" s="70" t="s">
        <v>1452</v>
      </c>
      <c r="D1331" s="70" t="s">
        <v>2610</v>
      </c>
      <c r="E1331" s="72">
        <v>1</v>
      </c>
      <c r="F1331" s="70" t="s">
        <v>2612</v>
      </c>
      <c r="G1331" s="70" t="str">
        <f>IFERROR(VLOOKUP(A1331,[1]wms_iv_f!$A$1:$E$136,4,FALSE),"")</f>
        <v/>
      </c>
      <c r="H1331" s="95" t="str">
        <f>IFERROR(VLOOKUP(A1331,[2]wms_lc_f!$A$1:$B$156,2,FALSE),"")</f>
        <v/>
      </c>
    </row>
    <row r="1332" spans="1:8">
      <c r="A1332" s="71">
        <v>31491</v>
      </c>
      <c r="B1332" s="69" t="s">
        <v>2609</v>
      </c>
      <c r="C1332" s="70" t="s">
        <v>1451</v>
      </c>
      <c r="D1332" s="70" t="s">
        <v>2610</v>
      </c>
      <c r="E1332" s="72">
        <v>1</v>
      </c>
      <c r="F1332" s="70" t="s">
        <v>2612</v>
      </c>
      <c r="G1332" s="70" t="str">
        <f>IFERROR(VLOOKUP(A1332,[1]wms_iv_f!$A$1:$E$136,4,FALSE),"")</f>
        <v/>
      </c>
      <c r="H1332" s="95" t="str">
        <f>IFERROR(VLOOKUP(A1332,[2]wms_lc_f!$A$1:$B$156,2,FALSE),"")</f>
        <v/>
      </c>
    </row>
    <row r="1333" spans="1:8">
      <c r="A1333" s="71">
        <v>100928</v>
      </c>
      <c r="B1333" s="69" t="s">
        <v>2609</v>
      </c>
      <c r="C1333" s="70" t="s">
        <v>1683</v>
      </c>
      <c r="D1333" s="70" t="s">
        <v>2610</v>
      </c>
      <c r="E1333" s="72">
        <v>1</v>
      </c>
      <c r="F1333" s="70"/>
      <c r="G1333" s="70" t="str">
        <f>IFERROR(VLOOKUP(A1333,[1]wms_iv_f!$A$1:$E$136,4,FALSE),"")</f>
        <v/>
      </c>
      <c r="H1333" s="95" t="str">
        <f>IFERROR(VLOOKUP(A1333,[2]wms_lc_f!$A$1:$B$156,2,FALSE),"")</f>
        <v/>
      </c>
    </row>
    <row r="1334" spans="1:8">
      <c r="A1334" s="71">
        <v>78887</v>
      </c>
      <c r="B1334" s="69" t="s">
        <v>2609</v>
      </c>
      <c r="C1334" s="70" t="s">
        <v>1682</v>
      </c>
      <c r="D1334" s="70" t="s">
        <v>2610</v>
      </c>
      <c r="E1334" s="72">
        <v>1</v>
      </c>
      <c r="F1334" s="70"/>
      <c r="G1334" s="70" t="str">
        <f>IFERROR(VLOOKUP(A1334,[1]wms_iv_f!$A$1:$E$136,4,FALSE),"")</f>
        <v/>
      </c>
      <c r="H1334" s="95" t="str">
        <f>IFERROR(VLOOKUP(A1334,[2]wms_lc_f!$A$1:$B$156,2,FALSE),"")</f>
        <v/>
      </c>
    </row>
    <row r="1335" spans="1:8">
      <c r="A1335" s="71">
        <v>109983</v>
      </c>
      <c r="B1335" s="69" t="s">
        <v>2609</v>
      </c>
      <c r="C1335" s="70" t="s">
        <v>1681</v>
      </c>
      <c r="D1335" s="70" t="s">
        <v>2610</v>
      </c>
      <c r="E1335" s="72">
        <v>1</v>
      </c>
      <c r="F1335" s="70"/>
      <c r="G1335" s="70" t="str">
        <f>IFERROR(VLOOKUP(A1335,[1]wms_iv_f!$A$1:$E$136,4,FALSE),"")</f>
        <v/>
      </c>
      <c r="H1335" s="95" t="str">
        <f>IFERROR(VLOOKUP(A1335,[2]wms_lc_f!$A$1:$B$156,2,FALSE),"")</f>
        <v/>
      </c>
    </row>
    <row r="1336" spans="1:8">
      <c r="A1336" s="71">
        <v>58264</v>
      </c>
      <c r="B1336" s="69" t="s">
        <v>2609</v>
      </c>
      <c r="C1336" s="70" t="s">
        <v>1680</v>
      </c>
      <c r="D1336" s="70" t="s">
        <v>2610</v>
      </c>
      <c r="E1336" s="72">
        <v>1</v>
      </c>
      <c r="F1336" s="70"/>
      <c r="G1336" s="70" t="str">
        <f>IFERROR(VLOOKUP(A1336,[1]wms_iv_f!$A$1:$E$136,4,FALSE),"")</f>
        <v/>
      </c>
      <c r="H1336" s="95" t="str">
        <f>IFERROR(VLOOKUP(A1336,[2]wms_lc_f!$A$1:$B$156,2,FALSE),"")</f>
        <v/>
      </c>
    </row>
    <row r="1337" spans="1:8">
      <c r="A1337" s="71">
        <v>76808</v>
      </c>
      <c r="B1337" s="69" t="s">
        <v>2609</v>
      </c>
      <c r="C1337" s="70" t="s">
        <v>1679</v>
      </c>
      <c r="D1337" s="70" t="s">
        <v>2610</v>
      </c>
      <c r="E1337" s="72">
        <v>1</v>
      </c>
      <c r="F1337" s="70"/>
      <c r="G1337" s="70" t="str">
        <f>IFERROR(VLOOKUP(A1337,[1]wms_iv_f!$A$1:$E$136,4,FALSE),"")</f>
        <v/>
      </c>
      <c r="H1337" s="95" t="str">
        <f>IFERROR(VLOOKUP(A1337,[2]wms_lc_f!$A$1:$B$156,2,FALSE),"")</f>
        <v/>
      </c>
    </row>
    <row r="1338" spans="1:8">
      <c r="A1338" s="71">
        <v>12385</v>
      </c>
      <c r="B1338" s="69" t="s">
        <v>2609</v>
      </c>
      <c r="C1338" s="70" t="s">
        <v>1678</v>
      </c>
      <c r="D1338" s="70" t="s">
        <v>2610</v>
      </c>
      <c r="E1338" s="72">
        <v>1</v>
      </c>
      <c r="F1338" s="70"/>
      <c r="G1338" s="70" t="str">
        <f>IFERROR(VLOOKUP(A1338,[1]wms_iv_f!$A$1:$E$136,4,FALSE),"")</f>
        <v/>
      </c>
      <c r="H1338" s="95" t="str">
        <f>IFERROR(VLOOKUP(A1338,[2]wms_lc_f!$A$1:$B$156,2,FALSE),"")</f>
        <v/>
      </c>
    </row>
    <row r="1339" spans="1:8">
      <c r="A1339" s="71">
        <v>108318</v>
      </c>
      <c r="B1339" s="69" t="s">
        <v>2609</v>
      </c>
      <c r="C1339" s="70" t="s">
        <v>1794</v>
      </c>
      <c r="D1339" s="70" t="s">
        <v>2610</v>
      </c>
      <c r="E1339" s="72">
        <v>1</v>
      </c>
      <c r="F1339" s="70" t="s">
        <v>2612</v>
      </c>
      <c r="G1339" s="70" t="str">
        <f>IFERROR(VLOOKUP(A1339,[1]wms_iv_f!$A$1:$E$136,4,FALSE),"")</f>
        <v/>
      </c>
      <c r="H1339" s="95" t="str">
        <f>IFERROR(VLOOKUP(A1339,[2]wms_lc_f!$A$1:$B$156,2,FALSE),"")</f>
        <v/>
      </c>
    </row>
    <row r="1340" spans="1:8">
      <c r="A1340" s="71">
        <v>11147</v>
      </c>
      <c r="B1340" s="69" t="s">
        <v>2609</v>
      </c>
      <c r="C1340" s="70" t="s">
        <v>1793</v>
      </c>
      <c r="D1340" s="70" t="s">
        <v>2610</v>
      </c>
      <c r="E1340" s="72">
        <v>1</v>
      </c>
      <c r="F1340" s="70" t="s">
        <v>2612</v>
      </c>
      <c r="G1340" s="70" t="str">
        <f>IFERROR(VLOOKUP(A1340,[1]wms_iv_f!$A$1:$E$136,4,FALSE),"")</f>
        <v/>
      </c>
      <c r="H1340" s="95" t="str">
        <f>IFERROR(VLOOKUP(A1340,[2]wms_lc_f!$A$1:$B$156,2,FALSE),"")</f>
        <v/>
      </c>
    </row>
    <row r="1341" spans="1:8">
      <c r="A1341" s="71">
        <v>88442</v>
      </c>
      <c r="B1341" s="69" t="s">
        <v>2609</v>
      </c>
      <c r="C1341" s="70" t="s">
        <v>1792</v>
      </c>
      <c r="D1341" s="70" t="s">
        <v>2610</v>
      </c>
      <c r="E1341" s="72">
        <v>1</v>
      </c>
      <c r="F1341" s="70" t="s">
        <v>2612</v>
      </c>
      <c r="G1341" s="70" t="str">
        <f>IFERROR(VLOOKUP(A1341,[1]wms_iv_f!$A$1:$E$136,4,FALSE),"")</f>
        <v/>
      </c>
      <c r="H1341" s="95" t="str">
        <f>IFERROR(VLOOKUP(A1341,[2]wms_lc_f!$A$1:$B$156,2,FALSE),"")</f>
        <v/>
      </c>
    </row>
    <row r="1342" spans="1:8">
      <c r="A1342" s="71">
        <v>124756</v>
      </c>
      <c r="B1342" s="69" t="s">
        <v>2609</v>
      </c>
      <c r="C1342" s="70" t="s">
        <v>1791</v>
      </c>
      <c r="D1342" s="70" t="s">
        <v>2610</v>
      </c>
      <c r="E1342" s="72">
        <v>1</v>
      </c>
      <c r="F1342" s="70" t="s">
        <v>2612</v>
      </c>
      <c r="G1342" s="70" t="str">
        <f>IFERROR(VLOOKUP(A1342,[1]wms_iv_f!$A$1:$E$136,4,FALSE),"")</f>
        <v/>
      </c>
      <c r="H1342" s="95" t="str">
        <f>IFERROR(VLOOKUP(A1342,[2]wms_lc_f!$A$1:$B$156,2,FALSE),"")</f>
        <v/>
      </c>
    </row>
    <row r="1343" spans="1:8">
      <c r="A1343" s="71">
        <v>10227</v>
      </c>
      <c r="B1343" s="69" t="s">
        <v>2609</v>
      </c>
      <c r="C1343" s="70" t="s">
        <v>1790</v>
      </c>
      <c r="D1343" s="70" t="s">
        <v>2610</v>
      </c>
      <c r="E1343" s="72">
        <v>1</v>
      </c>
      <c r="F1343" s="70" t="s">
        <v>2612</v>
      </c>
      <c r="G1343" s="70" t="str">
        <f>IFERROR(VLOOKUP(A1343,[1]wms_iv_f!$A$1:$E$136,4,FALSE),"")</f>
        <v/>
      </c>
      <c r="H1343" s="95" t="str">
        <f>IFERROR(VLOOKUP(A1343,[2]wms_lc_f!$A$1:$B$156,2,FALSE),"")</f>
        <v/>
      </c>
    </row>
    <row r="1344" spans="1:8">
      <c r="A1344" s="71">
        <v>100528</v>
      </c>
      <c r="B1344" s="69" t="s">
        <v>2609</v>
      </c>
      <c r="C1344" s="70" t="s">
        <v>1789</v>
      </c>
      <c r="D1344" s="70" t="s">
        <v>2610</v>
      </c>
      <c r="E1344" s="72">
        <v>1</v>
      </c>
      <c r="F1344" s="70" t="s">
        <v>2612</v>
      </c>
      <c r="G1344" s="70" t="str">
        <f>IFERROR(VLOOKUP(A1344,[1]wms_iv_f!$A$1:$E$136,4,FALSE),"")</f>
        <v/>
      </c>
      <c r="H1344" s="95" t="str">
        <f>IFERROR(VLOOKUP(A1344,[2]wms_lc_f!$A$1:$B$156,2,FALSE),"")</f>
        <v/>
      </c>
    </row>
    <row r="1345" spans="1:8">
      <c r="A1345" s="71">
        <v>142331</v>
      </c>
      <c r="B1345" s="69" t="s">
        <v>2609</v>
      </c>
      <c r="C1345" s="70" t="s">
        <v>1905</v>
      </c>
      <c r="D1345" s="70" t="s">
        <v>2610</v>
      </c>
      <c r="E1345" s="72">
        <v>1</v>
      </c>
      <c r="F1345" s="70"/>
      <c r="G1345" s="70" t="str">
        <f>IFERROR(VLOOKUP(A1345,[1]wms_iv_f!$A$1:$E$136,4,FALSE),"")</f>
        <v/>
      </c>
      <c r="H1345" s="95" t="str">
        <f>IFERROR(VLOOKUP(A1345,[2]wms_lc_f!$A$1:$B$156,2,FALSE),"")</f>
        <v/>
      </c>
    </row>
    <row r="1346" spans="1:8">
      <c r="A1346" s="71">
        <v>8501</v>
      </c>
      <c r="B1346" s="69" t="s">
        <v>2609</v>
      </c>
      <c r="C1346" s="70" t="s">
        <v>1904</v>
      </c>
      <c r="D1346" s="70" t="s">
        <v>2610</v>
      </c>
      <c r="E1346" s="72">
        <v>1</v>
      </c>
      <c r="F1346" s="70"/>
      <c r="G1346" s="70" t="str">
        <f>IFERROR(VLOOKUP(A1346,[1]wms_iv_f!$A$1:$E$136,4,FALSE),"")</f>
        <v/>
      </c>
      <c r="H1346" s="95" t="str">
        <f>IFERROR(VLOOKUP(A1346,[2]wms_lc_f!$A$1:$B$156,2,FALSE),"")</f>
        <v/>
      </c>
    </row>
    <row r="1347" spans="1:8">
      <c r="A1347" s="71">
        <v>137725</v>
      </c>
      <c r="B1347" s="69" t="s">
        <v>2609</v>
      </c>
      <c r="C1347" s="70" t="s">
        <v>1903</v>
      </c>
      <c r="D1347" s="70" t="s">
        <v>2610</v>
      </c>
      <c r="E1347" s="72">
        <v>1</v>
      </c>
      <c r="F1347" s="70"/>
      <c r="G1347" s="70" t="str">
        <f>IFERROR(VLOOKUP(A1347,[1]wms_iv_f!$A$1:$E$136,4,FALSE),"")</f>
        <v/>
      </c>
      <c r="H1347" s="95" t="str">
        <f>IFERROR(VLOOKUP(A1347,[2]wms_lc_f!$A$1:$B$156,2,FALSE),"")</f>
        <v/>
      </c>
    </row>
    <row r="1348" spans="1:8">
      <c r="A1348" s="71">
        <v>141166</v>
      </c>
      <c r="B1348" s="69" t="s">
        <v>2609</v>
      </c>
      <c r="C1348" s="70" t="s">
        <v>1902</v>
      </c>
      <c r="D1348" s="70" t="s">
        <v>2610</v>
      </c>
      <c r="E1348" s="72">
        <v>1</v>
      </c>
      <c r="F1348" s="70"/>
      <c r="G1348" s="70" t="str">
        <f>IFERROR(VLOOKUP(A1348,[1]wms_iv_f!$A$1:$E$136,4,FALSE),"")</f>
        <v/>
      </c>
      <c r="H1348" s="95" t="str">
        <f>IFERROR(VLOOKUP(A1348,[2]wms_lc_f!$A$1:$B$156,2,FALSE),"")</f>
        <v/>
      </c>
    </row>
    <row r="1349" spans="1:8">
      <c r="A1349" s="71">
        <v>765</v>
      </c>
      <c r="B1349" s="69" t="s">
        <v>2609</v>
      </c>
      <c r="C1349" s="70" t="s">
        <v>1901</v>
      </c>
      <c r="D1349" s="70" t="s">
        <v>2610</v>
      </c>
      <c r="E1349" s="72">
        <v>1</v>
      </c>
      <c r="F1349" s="70"/>
      <c r="G1349" s="70" t="str">
        <f>IFERROR(VLOOKUP(A1349,[1]wms_iv_f!$A$1:$E$136,4,FALSE),"")</f>
        <v/>
      </c>
      <c r="H1349" s="95" t="str">
        <f>IFERROR(VLOOKUP(A1349,[2]wms_lc_f!$A$1:$B$156,2,FALSE),"")</f>
        <v/>
      </c>
    </row>
    <row r="1350" spans="1:8">
      <c r="A1350" s="71">
        <v>12595</v>
      </c>
      <c r="B1350" s="69" t="s">
        <v>2609</v>
      </c>
      <c r="C1350" s="70" t="s">
        <v>1900</v>
      </c>
      <c r="D1350" s="70" t="s">
        <v>2610</v>
      </c>
      <c r="E1350" s="72">
        <v>1</v>
      </c>
      <c r="F1350" s="70"/>
      <c r="G1350" s="70" t="str">
        <f>IFERROR(VLOOKUP(A1350,[1]wms_iv_f!$A$1:$E$136,4,FALSE),"")</f>
        <v/>
      </c>
      <c r="H1350" s="95" t="str">
        <f>IFERROR(VLOOKUP(A1350,[2]wms_lc_f!$A$1:$B$156,2,FALSE),"")</f>
        <v/>
      </c>
    </row>
    <row r="1351" spans="1:8">
      <c r="A1351" s="71">
        <v>39527</v>
      </c>
      <c r="B1351" s="69" t="s">
        <v>2609</v>
      </c>
      <c r="C1351" s="70" t="s">
        <v>1677</v>
      </c>
      <c r="D1351" s="70" t="s">
        <v>2610</v>
      </c>
      <c r="E1351" s="72">
        <v>1</v>
      </c>
      <c r="F1351" s="70"/>
      <c r="G1351" s="70" t="str">
        <f>IFERROR(VLOOKUP(A1351,[1]wms_iv_f!$A$1:$E$136,4,FALSE),"")</f>
        <v/>
      </c>
      <c r="H1351" s="95" t="str">
        <f>IFERROR(VLOOKUP(A1351,[2]wms_lc_f!$A$1:$B$156,2,FALSE),"")</f>
        <v/>
      </c>
    </row>
    <row r="1352" spans="1:8">
      <c r="A1352" s="71">
        <v>128656</v>
      </c>
      <c r="B1352" s="69" t="s">
        <v>2609</v>
      </c>
      <c r="C1352" s="70" t="s">
        <v>1676</v>
      </c>
      <c r="D1352" s="70" t="s">
        <v>2610</v>
      </c>
      <c r="E1352" s="72">
        <v>1</v>
      </c>
      <c r="F1352" s="70"/>
      <c r="G1352" s="70" t="str">
        <f>IFERROR(VLOOKUP(A1352,[1]wms_iv_f!$A$1:$E$136,4,FALSE),"")</f>
        <v/>
      </c>
      <c r="H1352" s="95" t="str">
        <f>IFERROR(VLOOKUP(A1352,[2]wms_lc_f!$A$1:$B$156,2,FALSE),"")</f>
        <v/>
      </c>
    </row>
    <row r="1353" spans="1:8">
      <c r="A1353" s="71">
        <v>18018</v>
      </c>
      <c r="B1353" s="69" t="s">
        <v>2609</v>
      </c>
      <c r="C1353" s="70" t="s">
        <v>1675</v>
      </c>
      <c r="D1353" s="70" t="s">
        <v>2610</v>
      </c>
      <c r="E1353" s="72">
        <v>1</v>
      </c>
      <c r="F1353" s="70"/>
      <c r="G1353" s="70" t="str">
        <f>IFERROR(VLOOKUP(A1353,[1]wms_iv_f!$A$1:$E$136,4,FALSE),"")</f>
        <v/>
      </c>
      <c r="H1353" s="95" t="str">
        <f>IFERROR(VLOOKUP(A1353,[2]wms_lc_f!$A$1:$B$156,2,FALSE),"")</f>
        <v/>
      </c>
    </row>
    <row r="1354" spans="1:8">
      <c r="A1354" s="71">
        <v>8447</v>
      </c>
      <c r="B1354" s="69" t="s">
        <v>2609</v>
      </c>
      <c r="C1354" s="70" t="s">
        <v>1674</v>
      </c>
      <c r="D1354" s="70" t="s">
        <v>2610</v>
      </c>
      <c r="E1354" s="72">
        <v>1</v>
      </c>
      <c r="F1354" s="70"/>
      <c r="G1354" s="70" t="str">
        <f>IFERROR(VLOOKUP(A1354,[1]wms_iv_f!$A$1:$E$136,4,FALSE),"")</f>
        <v/>
      </c>
      <c r="H1354" s="95" t="str">
        <f>IFERROR(VLOOKUP(A1354,[2]wms_lc_f!$A$1:$B$156,2,FALSE),"")</f>
        <v/>
      </c>
    </row>
    <row r="1355" spans="1:8">
      <c r="A1355" s="71">
        <v>112714</v>
      </c>
      <c r="B1355" s="69" t="s">
        <v>2609</v>
      </c>
      <c r="C1355" s="70" t="s">
        <v>1673</v>
      </c>
      <c r="D1355" s="70" t="s">
        <v>2610</v>
      </c>
      <c r="E1355" s="72">
        <v>1</v>
      </c>
      <c r="F1355" s="70"/>
      <c r="G1355" s="70" t="str">
        <f>IFERROR(VLOOKUP(A1355,[1]wms_iv_f!$A$1:$E$136,4,FALSE),"")</f>
        <v/>
      </c>
      <c r="H1355" s="95" t="str">
        <f>IFERROR(VLOOKUP(A1355,[2]wms_lc_f!$A$1:$B$156,2,FALSE),"")</f>
        <v/>
      </c>
    </row>
    <row r="1356" spans="1:8">
      <c r="A1356" s="71">
        <v>14204</v>
      </c>
      <c r="B1356" s="69" t="s">
        <v>2609</v>
      </c>
      <c r="C1356" s="70" t="s">
        <v>1672</v>
      </c>
      <c r="D1356" s="70" t="s">
        <v>2610</v>
      </c>
      <c r="E1356" s="72">
        <v>1</v>
      </c>
      <c r="F1356" s="70"/>
      <c r="G1356" s="70" t="str">
        <f>IFERROR(VLOOKUP(A1356,[1]wms_iv_f!$A$1:$E$136,4,FALSE),"")</f>
        <v/>
      </c>
      <c r="H1356" s="95" t="str">
        <f>IFERROR(VLOOKUP(A1356,[2]wms_lc_f!$A$1:$B$156,2,FALSE),"")</f>
        <v/>
      </c>
    </row>
    <row r="1357" spans="1:8">
      <c r="A1357" s="71">
        <v>348</v>
      </c>
      <c r="B1357" s="69" t="s">
        <v>2609</v>
      </c>
      <c r="C1357" s="70" t="s">
        <v>1788</v>
      </c>
      <c r="D1357" s="70" t="s">
        <v>2610</v>
      </c>
      <c r="E1357" s="72">
        <v>1</v>
      </c>
      <c r="F1357" s="70" t="s">
        <v>2612</v>
      </c>
      <c r="G1357" s="70" t="str">
        <f>IFERROR(VLOOKUP(A1357,[1]wms_iv_f!$A$1:$E$136,4,FALSE),"")</f>
        <v/>
      </c>
      <c r="H1357" s="95" t="str">
        <f>IFERROR(VLOOKUP(A1357,[2]wms_lc_f!$A$1:$B$156,2,FALSE),"")</f>
        <v/>
      </c>
    </row>
    <row r="1358" spans="1:8">
      <c r="A1358" s="71">
        <v>137402</v>
      </c>
      <c r="B1358" s="69" t="s">
        <v>2609</v>
      </c>
      <c r="C1358" s="70" t="s">
        <v>1787</v>
      </c>
      <c r="D1358" s="70" t="s">
        <v>2610</v>
      </c>
      <c r="E1358" s="72">
        <v>1</v>
      </c>
      <c r="F1358" s="70" t="s">
        <v>2612</v>
      </c>
      <c r="G1358" s="70" t="str">
        <f>IFERROR(VLOOKUP(A1358,[1]wms_iv_f!$A$1:$E$136,4,FALSE),"")</f>
        <v/>
      </c>
      <c r="H1358" s="95" t="str">
        <f>IFERROR(VLOOKUP(A1358,[2]wms_lc_f!$A$1:$B$156,2,FALSE),"")</f>
        <v/>
      </c>
    </row>
    <row r="1359" spans="1:8">
      <c r="A1359" s="71">
        <v>138525</v>
      </c>
      <c r="B1359" s="69" t="s">
        <v>2609</v>
      </c>
      <c r="C1359" s="70" t="s">
        <v>1786</v>
      </c>
      <c r="D1359" s="70" t="s">
        <v>2610</v>
      </c>
      <c r="E1359" s="72">
        <v>1</v>
      </c>
      <c r="F1359" s="70" t="s">
        <v>2612</v>
      </c>
      <c r="G1359" s="70" t="str">
        <f>IFERROR(VLOOKUP(A1359,[1]wms_iv_f!$A$1:$E$136,4,FALSE),"")</f>
        <v/>
      </c>
      <c r="H1359" s="95" t="str">
        <f>IFERROR(VLOOKUP(A1359,[2]wms_lc_f!$A$1:$B$156,2,FALSE),"")</f>
        <v/>
      </c>
    </row>
    <row r="1360" spans="1:8">
      <c r="A1360" s="71">
        <v>109264</v>
      </c>
      <c r="B1360" s="69" t="s">
        <v>2609</v>
      </c>
      <c r="C1360" s="70" t="s">
        <v>1785</v>
      </c>
      <c r="D1360" s="70" t="s">
        <v>2610</v>
      </c>
      <c r="E1360" s="72">
        <v>1</v>
      </c>
      <c r="F1360" s="70" t="s">
        <v>2612</v>
      </c>
      <c r="G1360" s="70" t="str">
        <f>IFERROR(VLOOKUP(A1360,[1]wms_iv_f!$A$1:$E$136,4,FALSE),"")</f>
        <v/>
      </c>
      <c r="H1360" s="95" t="str">
        <f>IFERROR(VLOOKUP(A1360,[2]wms_lc_f!$A$1:$B$156,2,FALSE),"")</f>
        <v/>
      </c>
    </row>
    <row r="1361" spans="1:8">
      <c r="A1361" s="71">
        <v>134739</v>
      </c>
      <c r="B1361" s="69" t="s">
        <v>2609</v>
      </c>
      <c r="C1361" s="70" t="s">
        <v>1784</v>
      </c>
      <c r="D1361" s="70" t="s">
        <v>2610</v>
      </c>
      <c r="E1361" s="72">
        <v>1</v>
      </c>
      <c r="F1361" s="70" t="s">
        <v>2612</v>
      </c>
      <c r="G1361" s="70" t="str">
        <f>IFERROR(VLOOKUP(A1361,[1]wms_iv_f!$A$1:$E$136,4,FALSE),"")</f>
        <v/>
      </c>
      <c r="H1361" s="95" t="str">
        <f>IFERROR(VLOOKUP(A1361,[2]wms_lc_f!$A$1:$B$156,2,FALSE),"")</f>
        <v/>
      </c>
    </row>
    <row r="1362" spans="1:8">
      <c r="A1362" s="71">
        <v>70439</v>
      </c>
      <c r="B1362" s="69" t="s">
        <v>2609</v>
      </c>
      <c r="C1362" s="70" t="s">
        <v>1783</v>
      </c>
      <c r="D1362" s="70" t="s">
        <v>2610</v>
      </c>
      <c r="E1362" s="72">
        <v>1</v>
      </c>
      <c r="F1362" s="70" t="s">
        <v>2612</v>
      </c>
      <c r="G1362" s="70" t="str">
        <f>IFERROR(VLOOKUP(A1362,[1]wms_iv_f!$A$1:$E$136,4,FALSE),"")</f>
        <v/>
      </c>
      <c r="H1362" s="95" t="str">
        <f>IFERROR(VLOOKUP(A1362,[2]wms_lc_f!$A$1:$B$156,2,FALSE),"")</f>
        <v/>
      </c>
    </row>
    <row r="1363" spans="1:8">
      <c r="A1363" s="71">
        <v>137613</v>
      </c>
      <c r="B1363" s="69" t="s">
        <v>2609</v>
      </c>
      <c r="C1363" s="70" t="s">
        <v>1899</v>
      </c>
      <c r="D1363" s="70" t="s">
        <v>2610</v>
      </c>
      <c r="E1363" s="72">
        <v>1</v>
      </c>
      <c r="F1363" s="70"/>
      <c r="G1363" s="70" t="str">
        <f>IFERROR(VLOOKUP(A1363,[1]wms_iv_f!$A$1:$E$136,4,FALSE),"")</f>
        <v/>
      </c>
      <c r="H1363" s="95" t="str">
        <f>IFERROR(VLOOKUP(A1363,[2]wms_lc_f!$A$1:$B$156,2,FALSE),"")</f>
        <v/>
      </c>
    </row>
    <row r="1364" spans="1:8">
      <c r="A1364" s="71">
        <v>90499</v>
      </c>
      <c r="B1364" s="69" t="s">
        <v>2609</v>
      </c>
      <c r="C1364" s="70" t="s">
        <v>1898</v>
      </c>
      <c r="D1364" s="70" t="s">
        <v>2610</v>
      </c>
      <c r="E1364" s="72">
        <v>1</v>
      </c>
      <c r="F1364" s="70"/>
      <c r="G1364" s="70" t="str">
        <f>IFERROR(VLOOKUP(A1364,[1]wms_iv_f!$A$1:$E$136,4,FALSE),"")</f>
        <v/>
      </c>
      <c r="H1364" s="95" t="str">
        <f>IFERROR(VLOOKUP(A1364,[2]wms_lc_f!$A$1:$B$156,2,FALSE),"")</f>
        <v/>
      </c>
    </row>
    <row r="1365" spans="1:8">
      <c r="A1365" s="71">
        <v>8831</v>
      </c>
      <c r="B1365" s="69" t="s">
        <v>2609</v>
      </c>
      <c r="C1365" s="70" t="s">
        <v>1897</v>
      </c>
      <c r="D1365" s="70" t="s">
        <v>2610</v>
      </c>
      <c r="E1365" s="72">
        <v>1</v>
      </c>
      <c r="F1365" s="70"/>
      <c r="G1365" s="70" t="str">
        <f>IFERROR(VLOOKUP(A1365,[1]wms_iv_f!$A$1:$E$136,4,FALSE),"")</f>
        <v/>
      </c>
      <c r="H1365" s="95" t="str">
        <f>IFERROR(VLOOKUP(A1365,[2]wms_lc_f!$A$1:$B$156,2,FALSE),"")</f>
        <v/>
      </c>
    </row>
    <row r="1366" spans="1:8">
      <c r="A1366" s="71">
        <v>32015</v>
      </c>
      <c r="B1366" s="69" t="s">
        <v>2609</v>
      </c>
      <c r="C1366" s="70" t="s">
        <v>1896</v>
      </c>
      <c r="D1366" s="70" t="s">
        <v>2610</v>
      </c>
      <c r="E1366" s="72">
        <v>1</v>
      </c>
      <c r="F1366" s="70"/>
      <c r="G1366" s="70" t="str">
        <f>IFERROR(VLOOKUP(A1366,[1]wms_iv_f!$A$1:$E$136,4,FALSE),"")</f>
        <v/>
      </c>
      <c r="H1366" s="95" t="str">
        <f>IFERROR(VLOOKUP(A1366,[2]wms_lc_f!$A$1:$B$156,2,FALSE),"")</f>
        <v/>
      </c>
    </row>
    <row r="1367" spans="1:8">
      <c r="A1367" s="71">
        <v>1012</v>
      </c>
      <c r="B1367" s="69" t="s">
        <v>2609</v>
      </c>
      <c r="C1367" s="70" t="s">
        <v>1895</v>
      </c>
      <c r="D1367" s="70" t="s">
        <v>2610</v>
      </c>
      <c r="E1367" s="72">
        <v>1</v>
      </c>
      <c r="F1367" s="70"/>
      <c r="G1367" s="70" t="str">
        <f>IFERROR(VLOOKUP(A1367,[1]wms_iv_f!$A$1:$E$136,4,FALSE),"")</f>
        <v/>
      </c>
      <c r="H1367" s="95" t="str">
        <f>IFERROR(VLOOKUP(A1367,[2]wms_lc_f!$A$1:$B$156,2,FALSE),"")</f>
        <v/>
      </c>
    </row>
    <row r="1368" spans="1:8">
      <c r="A1368" s="71">
        <v>39604</v>
      </c>
      <c r="B1368" s="69" t="s">
        <v>2609</v>
      </c>
      <c r="C1368" s="70" t="s">
        <v>1894</v>
      </c>
      <c r="D1368" s="70" t="s">
        <v>2610</v>
      </c>
      <c r="E1368" s="72">
        <v>1</v>
      </c>
      <c r="F1368" s="70"/>
      <c r="G1368" s="70" t="str">
        <f>IFERROR(VLOOKUP(A1368,[1]wms_iv_f!$A$1:$E$136,4,FALSE),"")</f>
        <v/>
      </c>
      <c r="H1368" s="95" t="str">
        <f>IFERROR(VLOOKUP(A1368,[2]wms_lc_f!$A$1:$B$156,2,FALSE),"")</f>
        <v/>
      </c>
    </row>
    <row r="1369" spans="1:8">
      <c r="A1369" s="71">
        <v>16975</v>
      </c>
      <c r="B1369" s="69" t="s">
        <v>2609</v>
      </c>
      <c r="C1369" s="70" t="s">
        <v>1671</v>
      </c>
      <c r="D1369" s="70" t="s">
        <v>2610</v>
      </c>
      <c r="E1369" s="72">
        <v>1</v>
      </c>
      <c r="F1369" s="70"/>
      <c r="G1369" s="70" t="str">
        <f>IFERROR(VLOOKUP(A1369,[1]wms_iv_f!$A$1:$E$136,4,FALSE),"")</f>
        <v/>
      </c>
      <c r="H1369" s="95" t="str">
        <f>IFERROR(VLOOKUP(A1369,[2]wms_lc_f!$A$1:$B$156,2,FALSE),"")</f>
        <v/>
      </c>
    </row>
    <row r="1370" spans="1:8">
      <c r="A1370" s="71">
        <v>21007</v>
      </c>
      <c r="B1370" s="69" t="s">
        <v>2609</v>
      </c>
      <c r="C1370" s="70" t="s">
        <v>1670</v>
      </c>
      <c r="D1370" s="70" t="s">
        <v>2610</v>
      </c>
      <c r="E1370" s="72">
        <v>1</v>
      </c>
      <c r="F1370" s="70"/>
      <c r="G1370" s="70" t="str">
        <f>IFERROR(VLOOKUP(A1370,[1]wms_iv_f!$A$1:$E$136,4,FALSE),"")</f>
        <v/>
      </c>
      <c r="H1370" s="95" t="str">
        <f>IFERROR(VLOOKUP(A1370,[2]wms_lc_f!$A$1:$B$156,2,FALSE),"")</f>
        <v/>
      </c>
    </row>
    <row r="1371" spans="1:8">
      <c r="A1371" s="71">
        <v>127136</v>
      </c>
      <c r="B1371" s="69" t="s">
        <v>2609</v>
      </c>
      <c r="C1371" s="70" t="s">
        <v>1669</v>
      </c>
      <c r="D1371" s="70" t="s">
        <v>2610</v>
      </c>
      <c r="E1371" s="72">
        <v>1</v>
      </c>
      <c r="F1371" s="70"/>
      <c r="G1371" s="70" t="str">
        <f>IFERROR(VLOOKUP(A1371,[1]wms_iv_f!$A$1:$E$136,4,FALSE),"")</f>
        <v/>
      </c>
      <c r="H1371" s="95" t="str">
        <f>IFERROR(VLOOKUP(A1371,[2]wms_lc_f!$A$1:$B$156,2,FALSE),"")</f>
        <v/>
      </c>
    </row>
    <row r="1372" spans="1:8">
      <c r="A1372" s="71">
        <v>82460</v>
      </c>
      <c r="B1372" s="69" t="s">
        <v>2609</v>
      </c>
      <c r="C1372" s="70" t="s">
        <v>1668</v>
      </c>
      <c r="D1372" s="70" t="s">
        <v>2610</v>
      </c>
      <c r="E1372" s="72">
        <v>1</v>
      </c>
      <c r="F1372" s="70"/>
      <c r="G1372" s="70" t="str">
        <f>IFERROR(VLOOKUP(A1372,[1]wms_iv_f!$A$1:$E$136,4,FALSE),"")</f>
        <v/>
      </c>
      <c r="H1372" s="95" t="str">
        <f>IFERROR(VLOOKUP(A1372,[2]wms_lc_f!$A$1:$B$156,2,FALSE),"")</f>
        <v/>
      </c>
    </row>
    <row r="1373" spans="1:8">
      <c r="A1373" s="71">
        <v>81032</v>
      </c>
      <c r="B1373" s="69" t="s">
        <v>2609</v>
      </c>
      <c r="C1373" s="70" t="s">
        <v>1667</v>
      </c>
      <c r="D1373" s="70" t="s">
        <v>2610</v>
      </c>
      <c r="E1373" s="72">
        <v>1</v>
      </c>
      <c r="F1373" s="70"/>
      <c r="G1373" s="70" t="str">
        <f>IFERROR(VLOOKUP(A1373,[1]wms_iv_f!$A$1:$E$136,4,FALSE),"")</f>
        <v/>
      </c>
      <c r="H1373" s="95" t="str">
        <f>IFERROR(VLOOKUP(A1373,[2]wms_lc_f!$A$1:$B$156,2,FALSE),"")</f>
        <v/>
      </c>
    </row>
    <row r="1374" spans="1:8">
      <c r="A1374" s="71">
        <v>136237</v>
      </c>
      <c r="B1374" s="69" t="s">
        <v>2609</v>
      </c>
      <c r="C1374" s="70" t="s">
        <v>1666</v>
      </c>
      <c r="D1374" s="70" t="s">
        <v>2610</v>
      </c>
      <c r="E1374" s="72">
        <v>1</v>
      </c>
      <c r="F1374" s="70"/>
      <c r="G1374" s="70" t="str">
        <f>IFERROR(VLOOKUP(A1374,[1]wms_iv_f!$A$1:$E$136,4,FALSE),"")</f>
        <v/>
      </c>
      <c r="H1374" s="95" t="str">
        <f>IFERROR(VLOOKUP(A1374,[2]wms_lc_f!$A$1:$B$156,2,FALSE),"")</f>
        <v/>
      </c>
    </row>
    <row r="1375" spans="1:8">
      <c r="A1375" s="71">
        <v>89401</v>
      </c>
      <c r="B1375" s="69" t="s">
        <v>2609</v>
      </c>
      <c r="C1375" s="70" t="s">
        <v>1782</v>
      </c>
      <c r="D1375" s="70" t="s">
        <v>2610</v>
      </c>
      <c r="E1375" s="72">
        <v>1</v>
      </c>
      <c r="F1375" s="70" t="s">
        <v>2612</v>
      </c>
      <c r="G1375" s="70" t="str">
        <f>IFERROR(VLOOKUP(A1375,[1]wms_iv_f!$A$1:$E$136,4,FALSE),"")</f>
        <v/>
      </c>
      <c r="H1375" s="95" t="str">
        <f>IFERROR(VLOOKUP(A1375,[2]wms_lc_f!$A$1:$B$156,2,FALSE),"")</f>
        <v/>
      </c>
    </row>
    <row r="1376" spans="1:8">
      <c r="A1376" s="71">
        <v>1635</v>
      </c>
      <c r="B1376" s="69" t="s">
        <v>2609</v>
      </c>
      <c r="C1376" s="70" t="s">
        <v>1781</v>
      </c>
      <c r="D1376" s="70" t="s">
        <v>2610</v>
      </c>
      <c r="E1376" s="72">
        <v>1</v>
      </c>
      <c r="F1376" s="70" t="s">
        <v>2612</v>
      </c>
      <c r="G1376" s="70" t="str">
        <f>IFERROR(VLOOKUP(A1376,[1]wms_iv_f!$A$1:$E$136,4,FALSE),"")</f>
        <v/>
      </c>
      <c r="H1376" s="95" t="str">
        <f>IFERROR(VLOOKUP(A1376,[2]wms_lc_f!$A$1:$B$156,2,FALSE),"")</f>
        <v/>
      </c>
    </row>
    <row r="1377" spans="1:8">
      <c r="A1377" s="71">
        <v>137910</v>
      </c>
      <c r="B1377" s="69" t="s">
        <v>2609</v>
      </c>
      <c r="C1377" s="70" t="s">
        <v>1780</v>
      </c>
      <c r="D1377" s="70" t="s">
        <v>2610</v>
      </c>
      <c r="E1377" s="72">
        <v>1</v>
      </c>
      <c r="F1377" s="70" t="s">
        <v>2612</v>
      </c>
      <c r="G1377" s="70" t="str">
        <f>IFERROR(VLOOKUP(A1377,[1]wms_iv_f!$A$1:$E$136,4,FALSE),"")</f>
        <v/>
      </c>
      <c r="H1377" s="95" t="str">
        <f>IFERROR(VLOOKUP(A1377,[2]wms_lc_f!$A$1:$B$156,2,FALSE),"")</f>
        <v/>
      </c>
    </row>
    <row r="1378" spans="1:8">
      <c r="A1378" s="71">
        <v>118496</v>
      </c>
      <c r="B1378" s="69" t="s">
        <v>2609</v>
      </c>
      <c r="C1378" s="70" t="s">
        <v>1779</v>
      </c>
      <c r="D1378" s="70" t="s">
        <v>2610</v>
      </c>
      <c r="E1378" s="72">
        <v>1</v>
      </c>
      <c r="F1378" s="70" t="s">
        <v>2612</v>
      </c>
      <c r="G1378" s="70" t="str">
        <f>IFERROR(VLOOKUP(A1378,[1]wms_iv_f!$A$1:$E$136,4,FALSE),"")</f>
        <v/>
      </c>
      <c r="H1378" s="95" t="str">
        <f>IFERROR(VLOOKUP(A1378,[2]wms_lc_f!$A$1:$B$156,2,FALSE),"")</f>
        <v/>
      </c>
    </row>
    <row r="1379" spans="1:8">
      <c r="A1379" s="71">
        <v>59114</v>
      </c>
      <c r="B1379" s="69" t="s">
        <v>2609</v>
      </c>
      <c r="C1379" s="70" t="s">
        <v>1778</v>
      </c>
      <c r="D1379" s="70" t="s">
        <v>2610</v>
      </c>
      <c r="E1379" s="72">
        <v>1</v>
      </c>
      <c r="F1379" s="70" t="s">
        <v>2612</v>
      </c>
      <c r="G1379" s="70" t="str">
        <f>IFERROR(VLOOKUP(A1379,[1]wms_iv_f!$A$1:$E$136,4,FALSE),"")</f>
        <v/>
      </c>
      <c r="H1379" s="95" t="str">
        <f>IFERROR(VLOOKUP(A1379,[2]wms_lc_f!$A$1:$B$156,2,FALSE),"")</f>
        <v>12-112-E6</v>
      </c>
    </row>
    <row r="1380" spans="1:8">
      <c r="A1380" s="71">
        <v>1440</v>
      </c>
      <c r="B1380" s="69" t="s">
        <v>2609</v>
      </c>
      <c r="C1380" s="70" t="s">
        <v>1777</v>
      </c>
      <c r="D1380" s="70" t="s">
        <v>2610</v>
      </c>
      <c r="E1380" s="72">
        <v>1</v>
      </c>
      <c r="F1380" s="70" t="s">
        <v>2612</v>
      </c>
      <c r="G1380" s="70" t="str">
        <f>IFERROR(VLOOKUP(A1380,[1]wms_iv_f!$A$1:$E$136,4,FALSE),"")</f>
        <v/>
      </c>
      <c r="H1380" s="95" t="str">
        <f>IFERROR(VLOOKUP(A1380,[2]wms_lc_f!$A$1:$B$156,2,FALSE),"")</f>
        <v/>
      </c>
    </row>
    <row r="1381" spans="1:8">
      <c r="A1381" s="71">
        <v>143801</v>
      </c>
      <c r="B1381" s="69" t="s">
        <v>2609</v>
      </c>
      <c r="C1381" s="70" t="s">
        <v>1893</v>
      </c>
      <c r="D1381" s="70" t="s">
        <v>2610</v>
      </c>
      <c r="E1381" s="72">
        <v>1</v>
      </c>
      <c r="F1381" s="70"/>
      <c r="G1381" s="70" t="str">
        <f>IFERROR(VLOOKUP(A1381,[1]wms_iv_f!$A$1:$E$136,4,FALSE),"")</f>
        <v/>
      </c>
      <c r="H1381" s="95" t="str">
        <f>IFERROR(VLOOKUP(A1381,[2]wms_lc_f!$A$1:$B$156,2,FALSE),"")</f>
        <v/>
      </c>
    </row>
    <row r="1382" spans="1:8">
      <c r="A1382" s="71">
        <v>9993</v>
      </c>
      <c r="B1382" s="69" t="s">
        <v>2609</v>
      </c>
      <c r="C1382" s="70" t="s">
        <v>1892</v>
      </c>
      <c r="D1382" s="70" t="s">
        <v>2610</v>
      </c>
      <c r="E1382" s="72">
        <v>1</v>
      </c>
      <c r="F1382" s="70"/>
      <c r="G1382" s="70" t="str">
        <f>IFERROR(VLOOKUP(A1382,[1]wms_iv_f!$A$1:$E$136,4,FALSE),"")</f>
        <v/>
      </c>
      <c r="H1382" s="95" t="str">
        <f>IFERROR(VLOOKUP(A1382,[2]wms_lc_f!$A$1:$B$156,2,FALSE),"")</f>
        <v/>
      </c>
    </row>
    <row r="1383" spans="1:8">
      <c r="A1383" s="71">
        <v>111446</v>
      </c>
      <c r="B1383" s="69" t="s">
        <v>2609</v>
      </c>
      <c r="C1383" s="70" t="s">
        <v>1891</v>
      </c>
      <c r="D1383" s="70" t="s">
        <v>2610</v>
      </c>
      <c r="E1383" s="72">
        <v>1</v>
      </c>
      <c r="F1383" s="70"/>
      <c r="G1383" s="70" t="str">
        <f>IFERROR(VLOOKUP(A1383,[1]wms_iv_f!$A$1:$E$136,4,FALSE),"")</f>
        <v/>
      </c>
      <c r="H1383" s="95" t="str">
        <f>IFERROR(VLOOKUP(A1383,[2]wms_lc_f!$A$1:$B$156,2,FALSE),"")</f>
        <v/>
      </c>
    </row>
    <row r="1384" spans="1:8">
      <c r="A1384" s="71">
        <v>1539</v>
      </c>
      <c r="B1384" s="69" t="s">
        <v>2609</v>
      </c>
      <c r="C1384" s="70" t="s">
        <v>1890</v>
      </c>
      <c r="D1384" s="70" t="s">
        <v>2610</v>
      </c>
      <c r="E1384" s="72">
        <v>1</v>
      </c>
      <c r="F1384" s="70"/>
      <c r="G1384" s="70" t="str">
        <f>IFERROR(VLOOKUP(A1384,[1]wms_iv_f!$A$1:$E$136,4,FALSE),"")</f>
        <v/>
      </c>
      <c r="H1384" s="95" t="str">
        <f>IFERROR(VLOOKUP(A1384,[2]wms_lc_f!$A$1:$B$156,2,FALSE),"")</f>
        <v/>
      </c>
    </row>
    <row r="1385" spans="1:8">
      <c r="A1385" s="71">
        <v>156029</v>
      </c>
      <c r="B1385" s="69" t="s">
        <v>2609</v>
      </c>
      <c r="C1385" s="70" t="s">
        <v>1889</v>
      </c>
      <c r="D1385" s="70" t="s">
        <v>2610</v>
      </c>
      <c r="E1385" s="72">
        <v>1</v>
      </c>
      <c r="F1385" s="70"/>
      <c r="G1385" s="70" t="str">
        <f>IFERROR(VLOOKUP(A1385,[1]wms_iv_f!$A$1:$E$136,4,FALSE),"")</f>
        <v/>
      </c>
      <c r="H1385" s="95" t="str">
        <f>IFERROR(VLOOKUP(A1385,[2]wms_lc_f!$A$1:$B$156,2,FALSE),"")</f>
        <v/>
      </c>
    </row>
    <row r="1386" spans="1:8">
      <c r="A1386" s="71">
        <v>137556</v>
      </c>
      <c r="B1386" s="69" t="s">
        <v>2609</v>
      </c>
      <c r="C1386" s="70" t="s">
        <v>1888</v>
      </c>
      <c r="D1386" s="70" t="s">
        <v>2610</v>
      </c>
      <c r="E1386" s="72">
        <v>1</v>
      </c>
      <c r="F1386" s="70"/>
      <c r="G1386" s="70" t="str">
        <f>IFERROR(VLOOKUP(A1386,[1]wms_iv_f!$A$1:$E$136,4,FALSE),"")</f>
        <v/>
      </c>
      <c r="H1386" s="95" t="str">
        <f>IFERROR(VLOOKUP(A1386,[2]wms_lc_f!$A$1:$B$156,2,FALSE),"")</f>
        <v/>
      </c>
    </row>
    <row r="1387" spans="1:8">
      <c r="A1387" s="71">
        <v>139049</v>
      </c>
      <c r="B1387" s="69" t="s">
        <v>2609</v>
      </c>
      <c r="C1387" s="70" t="s">
        <v>1665</v>
      </c>
      <c r="D1387" s="70" t="s">
        <v>2610</v>
      </c>
      <c r="E1387" s="72">
        <v>1</v>
      </c>
      <c r="F1387" s="70"/>
      <c r="G1387" s="70" t="str">
        <f>IFERROR(VLOOKUP(A1387,[1]wms_iv_f!$A$1:$E$136,4,FALSE),"")</f>
        <v/>
      </c>
      <c r="H1387" s="95" t="str">
        <f>IFERROR(VLOOKUP(A1387,[2]wms_lc_f!$A$1:$B$156,2,FALSE),"")</f>
        <v/>
      </c>
    </row>
    <row r="1388" spans="1:8">
      <c r="A1388" s="73">
        <v>31251</v>
      </c>
      <c r="B1388" s="69" t="s">
        <v>2609</v>
      </c>
      <c r="C1388" s="70" t="s">
        <v>1664</v>
      </c>
      <c r="D1388" s="70" t="s">
        <v>2610</v>
      </c>
      <c r="E1388" s="72">
        <v>1</v>
      </c>
      <c r="F1388" s="70"/>
      <c r="G1388" s="70" t="str">
        <f>IFERROR(VLOOKUP(A1388,[1]wms_iv_f!$A$1:$E$136,4,FALSE),"")</f>
        <v/>
      </c>
      <c r="H1388" s="95" t="str">
        <f>IFERROR(VLOOKUP(A1388,[2]wms_lc_f!$A$1:$B$156,2,FALSE),"")</f>
        <v/>
      </c>
    </row>
    <row r="1389" spans="1:8">
      <c r="A1389" s="69">
        <v>116018</v>
      </c>
      <c r="B1389" s="69" t="s">
        <v>2609</v>
      </c>
      <c r="C1389" s="70" t="s">
        <v>1663</v>
      </c>
      <c r="D1389" s="70" t="s">
        <v>2610</v>
      </c>
      <c r="E1389" s="72">
        <v>1</v>
      </c>
      <c r="F1389" s="70"/>
      <c r="G1389" s="70" t="str">
        <f>IFERROR(VLOOKUP(A1389,[1]wms_iv_f!$A$1:$E$136,4,FALSE),"")</f>
        <v/>
      </c>
      <c r="H1389" s="95" t="str">
        <f>IFERROR(VLOOKUP(A1389,[2]wms_lc_f!$A$1:$B$156,2,FALSE),"")</f>
        <v/>
      </c>
    </row>
    <row r="1390" spans="1:8">
      <c r="A1390" s="82">
        <v>104533</v>
      </c>
      <c r="B1390" s="69" t="s">
        <v>2609</v>
      </c>
      <c r="C1390" s="70" t="s">
        <v>1662</v>
      </c>
      <c r="D1390" s="70" t="s">
        <v>2610</v>
      </c>
      <c r="E1390" s="72">
        <v>1</v>
      </c>
      <c r="F1390" s="70"/>
      <c r="G1390" s="70" t="str">
        <f>IFERROR(VLOOKUP(A1390,[1]wms_iv_f!$A$1:$E$136,4,FALSE),"")</f>
        <v/>
      </c>
      <c r="H1390" s="95" t="str">
        <f>IFERROR(VLOOKUP(A1390,[2]wms_lc_f!$A$1:$B$156,2,FALSE),"")</f>
        <v/>
      </c>
    </row>
    <row r="1391" spans="1:8">
      <c r="A1391" s="71">
        <v>66700</v>
      </c>
      <c r="B1391" s="69" t="s">
        <v>2609</v>
      </c>
      <c r="C1391" s="70" t="s">
        <v>1661</v>
      </c>
      <c r="D1391" s="70" t="s">
        <v>2610</v>
      </c>
      <c r="E1391" s="72">
        <v>1</v>
      </c>
      <c r="F1391" s="70"/>
      <c r="G1391" s="70" t="str">
        <f>IFERROR(VLOOKUP(A1391,[1]wms_iv_f!$A$1:$E$136,4,FALSE),"")</f>
        <v/>
      </c>
      <c r="H1391" s="95" t="str">
        <f>IFERROR(VLOOKUP(A1391,[2]wms_lc_f!$A$1:$B$156,2,FALSE),"")</f>
        <v/>
      </c>
    </row>
    <row r="1392" spans="1:8">
      <c r="A1392" s="71">
        <v>137612</v>
      </c>
      <c r="B1392" s="69" t="s">
        <v>2609</v>
      </c>
      <c r="C1392" s="70" t="s">
        <v>1660</v>
      </c>
      <c r="D1392" s="70" t="s">
        <v>2610</v>
      </c>
      <c r="E1392" s="72">
        <v>1</v>
      </c>
      <c r="F1392" s="70"/>
      <c r="G1392" s="70" t="str">
        <f>IFERROR(VLOOKUP(A1392,[1]wms_iv_f!$A$1:$E$136,4,FALSE),"")</f>
        <v/>
      </c>
      <c r="H1392" s="95" t="str">
        <f>IFERROR(VLOOKUP(A1392,[2]wms_lc_f!$A$1:$B$156,2,FALSE),"")</f>
        <v/>
      </c>
    </row>
    <row r="1393" spans="1:8">
      <c r="A1393" s="71">
        <v>100120</v>
      </c>
      <c r="B1393" s="69" t="s">
        <v>2609</v>
      </c>
      <c r="C1393" s="70" t="s">
        <v>1776</v>
      </c>
      <c r="D1393" s="70" t="s">
        <v>2610</v>
      </c>
      <c r="E1393" s="72">
        <v>1</v>
      </c>
      <c r="F1393" s="70"/>
      <c r="G1393" s="70" t="str">
        <f>IFERROR(VLOOKUP(A1393,[1]wms_iv_f!$A$1:$E$136,4,FALSE),"")</f>
        <v/>
      </c>
      <c r="H1393" s="95" t="str">
        <f>IFERROR(VLOOKUP(A1393,[2]wms_lc_f!$A$1:$B$156,2,FALSE),"")</f>
        <v/>
      </c>
    </row>
    <row r="1394" spans="1:8">
      <c r="A1394" s="71">
        <v>139158</v>
      </c>
      <c r="B1394" s="69" t="s">
        <v>2609</v>
      </c>
      <c r="C1394" s="70" t="s">
        <v>1775</v>
      </c>
      <c r="D1394" s="70" t="s">
        <v>2610</v>
      </c>
      <c r="E1394" s="72">
        <v>1</v>
      </c>
      <c r="F1394" s="70"/>
      <c r="G1394" s="70" t="str">
        <f>IFERROR(VLOOKUP(A1394,[1]wms_iv_f!$A$1:$E$136,4,FALSE),"")</f>
        <v/>
      </c>
      <c r="H1394" s="95" t="str">
        <f>IFERROR(VLOOKUP(A1394,[2]wms_lc_f!$A$1:$B$156,2,FALSE),"")</f>
        <v/>
      </c>
    </row>
    <row r="1395" spans="1:8">
      <c r="A1395" s="71">
        <v>115659</v>
      </c>
      <c r="B1395" s="69" t="s">
        <v>2609</v>
      </c>
      <c r="C1395" s="70" t="s">
        <v>1774</v>
      </c>
      <c r="D1395" s="70" t="s">
        <v>2610</v>
      </c>
      <c r="E1395" s="72">
        <v>1</v>
      </c>
      <c r="F1395" s="70"/>
      <c r="G1395" s="70" t="str">
        <f>IFERROR(VLOOKUP(A1395,[1]wms_iv_f!$A$1:$E$136,4,FALSE),"")</f>
        <v/>
      </c>
      <c r="H1395" s="95" t="str">
        <f>IFERROR(VLOOKUP(A1395,[2]wms_lc_f!$A$1:$B$156,2,FALSE),"")</f>
        <v/>
      </c>
    </row>
    <row r="1396" spans="1:8">
      <c r="A1396" s="71">
        <v>84018</v>
      </c>
      <c r="B1396" s="69" t="s">
        <v>2609</v>
      </c>
      <c r="C1396" s="70" t="s">
        <v>1773</v>
      </c>
      <c r="D1396" s="70" t="s">
        <v>2610</v>
      </c>
      <c r="E1396" s="72">
        <v>1</v>
      </c>
      <c r="F1396" s="70"/>
      <c r="G1396" s="70" t="str">
        <f>IFERROR(VLOOKUP(A1396,[1]wms_iv_f!$A$1:$E$136,4,FALSE),"")</f>
        <v/>
      </c>
      <c r="H1396" s="95" t="str">
        <f>IFERROR(VLOOKUP(A1396,[2]wms_lc_f!$A$1:$B$156,2,FALSE),"")</f>
        <v/>
      </c>
    </row>
    <row r="1397" spans="1:8">
      <c r="A1397" s="71">
        <v>100654</v>
      </c>
      <c r="B1397" s="69" t="s">
        <v>2609</v>
      </c>
      <c r="C1397" s="70" t="s">
        <v>1772</v>
      </c>
      <c r="D1397" s="70" t="s">
        <v>2610</v>
      </c>
      <c r="E1397" s="72">
        <v>1</v>
      </c>
      <c r="F1397" s="70"/>
      <c r="G1397" s="70" t="str">
        <f>IFERROR(VLOOKUP(A1397,[1]wms_iv_f!$A$1:$E$136,4,FALSE),"")</f>
        <v/>
      </c>
      <c r="H1397" s="95" t="str">
        <f>IFERROR(VLOOKUP(A1397,[2]wms_lc_f!$A$1:$B$156,2,FALSE),"")</f>
        <v/>
      </c>
    </row>
    <row r="1398" spans="1:8">
      <c r="A1398" s="71">
        <v>138819</v>
      </c>
      <c r="B1398" s="69" t="s">
        <v>2609</v>
      </c>
      <c r="C1398" s="70" t="s">
        <v>1771</v>
      </c>
      <c r="D1398" s="70" t="s">
        <v>2610</v>
      </c>
      <c r="E1398" s="72">
        <v>1</v>
      </c>
      <c r="F1398" s="70"/>
      <c r="G1398" s="70" t="str">
        <f>IFERROR(VLOOKUP(A1398,[1]wms_iv_f!$A$1:$E$136,4,FALSE),"")</f>
        <v/>
      </c>
      <c r="H1398" s="95" t="str">
        <f>IFERROR(VLOOKUP(A1398,[2]wms_lc_f!$A$1:$B$156,2,FALSE),"")</f>
        <v/>
      </c>
    </row>
    <row r="1399" spans="1:8">
      <c r="A1399" s="71">
        <v>82772</v>
      </c>
      <c r="B1399" s="69" t="s">
        <v>2609</v>
      </c>
      <c r="C1399" s="70" t="s">
        <v>1887</v>
      </c>
      <c r="D1399" s="70" t="s">
        <v>2610</v>
      </c>
      <c r="E1399" s="72">
        <v>1</v>
      </c>
      <c r="F1399" s="70"/>
      <c r="G1399" s="70" t="str">
        <f>IFERROR(VLOOKUP(A1399,[1]wms_iv_f!$A$1:$E$136,4,FALSE),"")</f>
        <v/>
      </c>
      <c r="H1399" s="95" t="str">
        <f>IFERROR(VLOOKUP(A1399,[2]wms_lc_f!$A$1:$B$156,2,FALSE),"")</f>
        <v/>
      </c>
    </row>
    <row r="1400" spans="1:8">
      <c r="A1400" s="71">
        <v>138410</v>
      </c>
      <c r="B1400" s="69" t="s">
        <v>2609</v>
      </c>
      <c r="C1400" s="74" t="s">
        <v>1886</v>
      </c>
      <c r="D1400" s="74" t="s">
        <v>2610</v>
      </c>
      <c r="E1400" s="72">
        <v>1</v>
      </c>
      <c r="F1400" s="70"/>
      <c r="G1400" s="70" t="str">
        <f>IFERROR(VLOOKUP(A1400,[1]wms_iv_f!$A$1:$E$136,4,FALSE),"")</f>
        <v/>
      </c>
      <c r="H1400" s="95" t="str">
        <f>IFERROR(VLOOKUP(A1400,[2]wms_lc_f!$A$1:$B$156,2,FALSE),"")</f>
        <v/>
      </c>
    </row>
    <row r="1401" spans="1:8">
      <c r="A1401" s="71">
        <v>133856</v>
      </c>
      <c r="B1401" s="69" t="s">
        <v>2609</v>
      </c>
      <c r="C1401" s="70" t="s">
        <v>1885</v>
      </c>
      <c r="D1401" s="70" t="s">
        <v>2610</v>
      </c>
      <c r="E1401" s="72">
        <v>1</v>
      </c>
      <c r="F1401" s="70"/>
      <c r="G1401" s="70" t="str">
        <f>IFERROR(VLOOKUP(A1401,[1]wms_iv_f!$A$1:$E$136,4,FALSE),"")</f>
        <v/>
      </c>
      <c r="H1401" s="95" t="str">
        <f>IFERROR(VLOOKUP(A1401,[2]wms_lc_f!$A$1:$B$156,2,FALSE),"")</f>
        <v/>
      </c>
    </row>
    <row r="1402" spans="1:8">
      <c r="A1402" s="71">
        <v>101422</v>
      </c>
      <c r="B1402" s="69" t="s">
        <v>2609</v>
      </c>
      <c r="C1402" s="70" t="s">
        <v>1884</v>
      </c>
      <c r="D1402" s="70" t="s">
        <v>2610</v>
      </c>
      <c r="E1402" s="72">
        <v>1</v>
      </c>
      <c r="F1402" s="70"/>
      <c r="G1402" s="70" t="str">
        <f>IFERROR(VLOOKUP(A1402,[1]wms_iv_f!$A$1:$E$136,4,FALSE),"")</f>
        <v/>
      </c>
      <c r="H1402" s="95" t="str">
        <f>IFERROR(VLOOKUP(A1402,[2]wms_lc_f!$A$1:$B$156,2,FALSE),"")</f>
        <v/>
      </c>
    </row>
    <row r="1403" spans="1:8">
      <c r="A1403" s="71">
        <v>134060</v>
      </c>
      <c r="B1403" s="69" t="s">
        <v>2609</v>
      </c>
      <c r="C1403" s="70" t="s">
        <v>1883</v>
      </c>
      <c r="D1403" s="70" t="s">
        <v>2610</v>
      </c>
      <c r="E1403" s="72">
        <v>1</v>
      </c>
      <c r="F1403" s="70"/>
      <c r="G1403" s="70" t="str">
        <f>IFERROR(VLOOKUP(A1403,[1]wms_iv_f!$A$1:$E$136,4,FALSE),"")</f>
        <v/>
      </c>
      <c r="H1403" s="95" t="str">
        <f>IFERROR(VLOOKUP(A1403,[2]wms_lc_f!$A$1:$B$156,2,FALSE),"")</f>
        <v/>
      </c>
    </row>
    <row r="1404" spans="1:8">
      <c r="A1404" s="71">
        <v>114262</v>
      </c>
      <c r="B1404" s="69" t="s">
        <v>2609</v>
      </c>
      <c r="C1404" s="70" t="s">
        <v>1882</v>
      </c>
      <c r="D1404" s="70" t="s">
        <v>2610</v>
      </c>
      <c r="E1404" s="72">
        <v>1</v>
      </c>
      <c r="F1404" s="70"/>
      <c r="G1404" s="70" t="str">
        <f>IFERROR(VLOOKUP(A1404,[1]wms_iv_f!$A$1:$E$136,4,FALSE),"")</f>
        <v/>
      </c>
      <c r="H1404" s="95" t="str">
        <f>IFERROR(VLOOKUP(A1404,[2]wms_lc_f!$A$1:$B$156,2,FALSE),"")</f>
        <v/>
      </c>
    </row>
    <row r="1405" spans="1:8">
      <c r="A1405" s="71">
        <v>156912</v>
      </c>
      <c r="B1405" s="69" t="s">
        <v>2609</v>
      </c>
      <c r="C1405" s="70" t="s">
        <v>1659</v>
      </c>
      <c r="D1405" s="70" t="s">
        <v>2610</v>
      </c>
      <c r="E1405" s="72">
        <v>1</v>
      </c>
      <c r="F1405" s="70"/>
      <c r="G1405" s="70" t="str">
        <f>IFERROR(VLOOKUP(A1405,[1]wms_iv_f!$A$1:$E$136,4,FALSE),"")</f>
        <v/>
      </c>
      <c r="H1405" s="95" t="str">
        <f>IFERROR(VLOOKUP(A1405,[2]wms_lc_f!$A$1:$B$156,2,FALSE),"")</f>
        <v/>
      </c>
    </row>
    <row r="1406" spans="1:8">
      <c r="A1406" s="71">
        <v>91365</v>
      </c>
      <c r="B1406" s="69" t="s">
        <v>2609</v>
      </c>
      <c r="C1406" s="70" t="s">
        <v>1658</v>
      </c>
      <c r="D1406" s="70" t="s">
        <v>2610</v>
      </c>
      <c r="E1406" s="72">
        <v>1</v>
      </c>
      <c r="F1406" s="70"/>
      <c r="G1406" s="70" t="str">
        <f>IFERROR(VLOOKUP(A1406,[1]wms_iv_f!$A$1:$E$136,4,FALSE),"")</f>
        <v/>
      </c>
      <c r="H1406" s="95" t="str">
        <f>IFERROR(VLOOKUP(A1406,[2]wms_lc_f!$A$1:$B$156,2,FALSE),"")</f>
        <v/>
      </c>
    </row>
    <row r="1407" spans="1:8">
      <c r="A1407" s="71">
        <v>134062</v>
      </c>
      <c r="B1407" s="69" t="s">
        <v>2609</v>
      </c>
      <c r="C1407" s="70" t="s">
        <v>1657</v>
      </c>
      <c r="D1407" s="70" t="s">
        <v>2610</v>
      </c>
      <c r="E1407" s="72">
        <v>1</v>
      </c>
      <c r="F1407" s="70"/>
      <c r="G1407" s="70" t="str">
        <f>IFERROR(VLOOKUP(A1407,[1]wms_iv_f!$A$1:$E$136,4,FALSE),"")</f>
        <v/>
      </c>
      <c r="H1407" s="95" t="str">
        <f>IFERROR(VLOOKUP(A1407,[2]wms_lc_f!$A$1:$B$156,2,FALSE),"")</f>
        <v/>
      </c>
    </row>
    <row r="1408" spans="1:8">
      <c r="A1408" s="71">
        <v>134069</v>
      </c>
      <c r="B1408" s="69" t="s">
        <v>2609</v>
      </c>
      <c r="C1408" s="70" t="s">
        <v>1656</v>
      </c>
      <c r="D1408" s="70" t="s">
        <v>2610</v>
      </c>
      <c r="E1408" s="72">
        <v>1</v>
      </c>
      <c r="F1408" s="70"/>
      <c r="G1408" s="70" t="str">
        <f>IFERROR(VLOOKUP(A1408,[1]wms_iv_f!$A$1:$E$136,4,FALSE),"")</f>
        <v/>
      </c>
      <c r="H1408" s="95" t="str">
        <f>IFERROR(VLOOKUP(A1408,[2]wms_lc_f!$A$1:$B$156,2,FALSE),"")</f>
        <v/>
      </c>
    </row>
    <row r="1409" spans="1:8">
      <c r="A1409" s="71">
        <v>134061</v>
      </c>
      <c r="B1409" s="69" t="s">
        <v>2609</v>
      </c>
      <c r="C1409" s="70" t="s">
        <v>1655</v>
      </c>
      <c r="D1409" s="70" t="s">
        <v>2610</v>
      </c>
      <c r="E1409" s="72">
        <v>1</v>
      </c>
      <c r="F1409" s="70"/>
      <c r="G1409" s="70" t="str">
        <f>IFERROR(VLOOKUP(A1409,[1]wms_iv_f!$A$1:$E$136,4,FALSE),"")</f>
        <v/>
      </c>
      <c r="H1409" s="95" t="str">
        <f>IFERROR(VLOOKUP(A1409,[2]wms_lc_f!$A$1:$B$156,2,FALSE),"")</f>
        <v/>
      </c>
    </row>
    <row r="1410" spans="1:8">
      <c r="A1410" s="71">
        <v>17406</v>
      </c>
      <c r="B1410" s="69" t="s">
        <v>2609</v>
      </c>
      <c r="C1410" s="70" t="s">
        <v>1654</v>
      </c>
      <c r="D1410" s="70" t="s">
        <v>2610</v>
      </c>
      <c r="E1410" s="72">
        <v>1</v>
      </c>
      <c r="F1410" s="70"/>
      <c r="G1410" s="70" t="str">
        <f>IFERROR(VLOOKUP(A1410,[1]wms_iv_f!$A$1:$E$136,4,FALSE),"")</f>
        <v/>
      </c>
      <c r="H1410" s="95" t="str">
        <f>IFERROR(VLOOKUP(A1410,[2]wms_lc_f!$A$1:$B$156,2,FALSE),"")</f>
        <v/>
      </c>
    </row>
    <row r="1411" spans="1:8">
      <c r="A1411" s="71">
        <v>113302</v>
      </c>
      <c r="B1411" s="69" t="s">
        <v>2609</v>
      </c>
      <c r="C1411" s="70" t="s">
        <v>1770</v>
      </c>
      <c r="D1411" s="70" t="s">
        <v>2610</v>
      </c>
      <c r="E1411" s="72">
        <v>1</v>
      </c>
      <c r="F1411" s="70"/>
      <c r="G1411" s="70" t="str">
        <f>IFERROR(VLOOKUP(A1411,[1]wms_iv_f!$A$1:$E$136,4,FALSE),"")</f>
        <v/>
      </c>
      <c r="H1411" s="95" t="str">
        <f>IFERROR(VLOOKUP(A1411,[2]wms_lc_f!$A$1:$B$156,2,FALSE),"")</f>
        <v/>
      </c>
    </row>
    <row r="1412" spans="1:8">
      <c r="A1412" s="71">
        <v>35140</v>
      </c>
      <c r="B1412" s="69" t="s">
        <v>2609</v>
      </c>
      <c r="C1412" s="70" t="s">
        <v>1769</v>
      </c>
      <c r="D1412" s="70" t="s">
        <v>2610</v>
      </c>
      <c r="E1412" s="72">
        <v>1</v>
      </c>
      <c r="F1412" s="70"/>
      <c r="G1412" s="70" t="str">
        <f>IFERROR(VLOOKUP(A1412,[1]wms_iv_f!$A$1:$E$136,4,FALSE),"")</f>
        <v/>
      </c>
      <c r="H1412" s="95" t="str">
        <f>IFERROR(VLOOKUP(A1412,[2]wms_lc_f!$A$1:$B$156,2,FALSE),"")</f>
        <v/>
      </c>
    </row>
    <row r="1413" spans="1:8">
      <c r="A1413" s="71">
        <v>7231</v>
      </c>
      <c r="B1413" s="69" t="s">
        <v>2609</v>
      </c>
      <c r="C1413" s="70" t="s">
        <v>1768</v>
      </c>
      <c r="D1413" s="70" t="s">
        <v>2610</v>
      </c>
      <c r="E1413" s="72">
        <v>1</v>
      </c>
      <c r="F1413" s="70"/>
      <c r="G1413" s="70" t="str">
        <f>IFERROR(VLOOKUP(A1413,[1]wms_iv_f!$A$1:$E$136,4,FALSE),"")</f>
        <v/>
      </c>
      <c r="H1413" s="95" t="str">
        <f>IFERROR(VLOOKUP(A1413,[2]wms_lc_f!$A$1:$B$156,2,FALSE),"")</f>
        <v>12-112-D3</v>
      </c>
    </row>
    <row r="1414" spans="1:8">
      <c r="A1414" s="71">
        <v>137661</v>
      </c>
      <c r="B1414" s="69" t="s">
        <v>2609</v>
      </c>
      <c r="C1414" s="70" t="s">
        <v>1767</v>
      </c>
      <c r="D1414" s="70" t="s">
        <v>2610</v>
      </c>
      <c r="E1414" s="72">
        <v>1</v>
      </c>
      <c r="F1414" s="70"/>
      <c r="G1414" s="70" t="str">
        <f>IFERROR(VLOOKUP(A1414,[1]wms_iv_f!$A$1:$E$136,4,FALSE),"")</f>
        <v/>
      </c>
      <c r="H1414" s="95" t="str">
        <f>IFERROR(VLOOKUP(A1414,[2]wms_lc_f!$A$1:$B$156,2,FALSE),"")</f>
        <v/>
      </c>
    </row>
    <row r="1415" spans="1:8">
      <c r="A1415" s="71">
        <v>136467</v>
      </c>
      <c r="B1415" s="69" t="s">
        <v>2609</v>
      </c>
      <c r="C1415" s="70" t="s">
        <v>1766</v>
      </c>
      <c r="D1415" s="70" t="s">
        <v>2610</v>
      </c>
      <c r="E1415" s="72">
        <v>1</v>
      </c>
      <c r="F1415" s="70"/>
      <c r="G1415" s="70" t="str">
        <f>IFERROR(VLOOKUP(A1415,[1]wms_iv_f!$A$1:$E$136,4,FALSE),"")</f>
        <v/>
      </c>
      <c r="H1415" s="95" t="str">
        <f>IFERROR(VLOOKUP(A1415,[2]wms_lc_f!$A$1:$B$156,2,FALSE),"")</f>
        <v/>
      </c>
    </row>
    <row r="1416" spans="1:8">
      <c r="A1416" s="71">
        <v>321</v>
      </c>
      <c r="B1416" s="69" t="s">
        <v>2609</v>
      </c>
      <c r="C1416" s="70" t="s">
        <v>1765</v>
      </c>
      <c r="D1416" s="70" t="s">
        <v>2610</v>
      </c>
      <c r="E1416" s="72">
        <v>1</v>
      </c>
      <c r="F1416" s="70"/>
      <c r="G1416" s="70" t="str">
        <f>IFERROR(VLOOKUP(A1416,[1]wms_iv_f!$A$1:$E$136,4,FALSE),"")</f>
        <v/>
      </c>
      <c r="H1416" s="95" t="str">
        <f>IFERROR(VLOOKUP(A1416,[2]wms_lc_f!$A$1:$B$156,2,FALSE),"")</f>
        <v/>
      </c>
    </row>
    <row r="1417" spans="1:8">
      <c r="A1417" s="71">
        <v>91285</v>
      </c>
      <c r="B1417" s="69" t="s">
        <v>2609</v>
      </c>
      <c r="C1417" s="70" t="s">
        <v>1881</v>
      </c>
      <c r="D1417" s="70" t="s">
        <v>2610</v>
      </c>
      <c r="E1417" s="72">
        <v>1</v>
      </c>
      <c r="F1417" s="70"/>
      <c r="G1417" s="70" t="str">
        <f>IFERROR(VLOOKUP(A1417,[1]wms_iv_f!$A$1:$E$136,4,FALSE),"")</f>
        <v/>
      </c>
      <c r="H1417" s="95" t="str">
        <f>IFERROR(VLOOKUP(A1417,[2]wms_lc_f!$A$1:$B$156,2,FALSE),"")</f>
        <v/>
      </c>
    </row>
    <row r="1418" spans="1:8">
      <c r="A1418" s="71">
        <v>79021</v>
      </c>
      <c r="B1418" s="69" t="s">
        <v>2609</v>
      </c>
      <c r="C1418" s="70" t="s">
        <v>1880</v>
      </c>
      <c r="D1418" s="70" t="s">
        <v>2610</v>
      </c>
      <c r="E1418" s="72">
        <v>1</v>
      </c>
      <c r="F1418" s="70"/>
      <c r="G1418" s="70" t="str">
        <f>IFERROR(VLOOKUP(A1418,[1]wms_iv_f!$A$1:$E$136,4,FALSE),"")</f>
        <v/>
      </c>
      <c r="H1418" s="95" t="str">
        <f>IFERROR(VLOOKUP(A1418,[2]wms_lc_f!$A$1:$B$156,2,FALSE),"")</f>
        <v/>
      </c>
    </row>
    <row r="1419" spans="1:8">
      <c r="A1419" s="71">
        <v>160067</v>
      </c>
      <c r="B1419" s="69" t="s">
        <v>2609</v>
      </c>
      <c r="C1419" s="70" t="s">
        <v>1879</v>
      </c>
      <c r="D1419" s="70" t="s">
        <v>2610</v>
      </c>
      <c r="E1419" s="72">
        <v>1</v>
      </c>
      <c r="F1419" s="70"/>
      <c r="G1419" s="70"/>
      <c r="H1419" s="95" t="str">
        <f>IFERROR(VLOOKUP(A1419,[2]wms_lc_f!$A$1:$B$156,2,FALSE),"")</f>
        <v/>
      </c>
    </row>
    <row r="1420" spans="1:8">
      <c r="A1420" s="71">
        <v>91359</v>
      </c>
      <c r="B1420" s="69" t="s">
        <v>2609</v>
      </c>
      <c r="C1420" s="70" t="s">
        <v>1878</v>
      </c>
      <c r="D1420" s="70" t="s">
        <v>2610</v>
      </c>
      <c r="E1420" s="72">
        <v>1</v>
      </c>
      <c r="F1420" s="70"/>
      <c r="G1420" s="70" t="str">
        <f>IFERROR(VLOOKUP(A1420,[1]wms_iv_f!$A$1:$E$136,4,FALSE),"")</f>
        <v/>
      </c>
      <c r="H1420" s="95" t="str">
        <f>IFERROR(VLOOKUP(A1420,[2]wms_lc_f!$A$1:$B$156,2,FALSE),"")</f>
        <v/>
      </c>
    </row>
    <row r="1421" spans="1:8">
      <c r="A1421" s="71">
        <v>156809</v>
      </c>
      <c r="B1421" s="69" t="s">
        <v>2609</v>
      </c>
      <c r="C1421" s="70" t="s">
        <v>1877</v>
      </c>
      <c r="D1421" s="70" t="s">
        <v>2610</v>
      </c>
      <c r="E1421" s="72">
        <v>1</v>
      </c>
      <c r="F1421" s="70"/>
      <c r="G1421" s="70" t="str">
        <f>IFERROR(VLOOKUP(A1421,[1]wms_iv_f!$A$1:$E$136,4,FALSE),"")</f>
        <v/>
      </c>
      <c r="H1421" s="95" t="str">
        <f>IFERROR(VLOOKUP(A1421,[2]wms_lc_f!$A$1:$B$156,2,FALSE),"")</f>
        <v/>
      </c>
    </row>
    <row r="1422" spans="1:8">
      <c r="A1422" s="71">
        <v>17407</v>
      </c>
      <c r="B1422" s="69" t="s">
        <v>2609</v>
      </c>
      <c r="C1422" s="70" t="s">
        <v>1876</v>
      </c>
      <c r="D1422" s="70" t="s">
        <v>2610</v>
      </c>
      <c r="E1422" s="72">
        <v>1</v>
      </c>
      <c r="F1422" s="70"/>
      <c r="G1422" s="70" t="str">
        <f>IFERROR(VLOOKUP(A1422,[1]wms_iv_f!$A$1:$E$136,4,FALSE),"")</f>
        <v/>
      </c>
      <c r="H1422" s="95" t="str">
        <f>IFERROR(VLOOKUP(A1422,[2]wms_lc_f!$A$1:$B$156,2,FALSE),"")</f>
        <v/>
      </c>
    </row>
    <row r="1423" spans="1:8">
      <c r="A1423" s="71">
        <v>156331</v>
      </c>
      <c r="B1423" s="69" t="s">
        <v>2609</v>
      </c>
      <c r="C1423" s="70" t="s">
        <v>1653</v>
      </c>
      <c r="D1423" s="70" t="s">
        <v>2610</v>
      </c>
      <c r="E1423" s="72">
        <v>1</v>
      </c>
      <c r="F1423" s="70"/>
      <c r="G1423" s="70" t="str">
        <f>IFERROR(VLOOKUP(A1423,[1]wms_iv_f!$A$1:$E$136,4,FALSE),"")</f>
        <v/>
      </c>
      <c r="H1423" s="95" t="str">
        <f>IFERROR(VLOOKUP(A1423,[2]wms_lc_f!$A$1:$B$156,2,FALSE),"")</f>
        <v/>
      </c>
    </row>
    <row r="1424" spans="1:8">
      <c r="A1424" s="71">
        <v>112471</v>
      </c>
      <c r="B1424" s="69" t="s">
        <v>2609</v>
      </c>
      <c r="C1424" s="70" t="s">
        <v>1652</v>
      </c>
      <c r="D1424" s="70" t="s">
        <v>2610</v>
      </c>
      <c r="E1424" s="72">
        <v>1</v>
      </c>
      <c r="F1424" s="70"/>
      <c r="G1424" s="70" t="str">
        <f>IFERROR(VLOOKUP(A1424,[1]wms_iv_f!$A$1:$E$136,4,FALSE),"")</f>
        <v/>
      </c>
      <c r="H1424" s="95" t="str">
        <f>IFERROR(VLOOKUP(A1424,[2]wms_lc_f!$A$1:$B$156,2,FALSE),"")</f>
        <v/>
      </c>
    </row>
    <row r="1425" spans="1:8">
      <c r="A1425" s="71">
        <v>17408</v>
      </c>
      <c r="B1425" s="69" t="s">
        <v>2609</v>
      </c>
      <c r="C1425" s="70" t="s">
        <v>1651</v>
      </c>
      <c r="D1425" s="70" t="s">
        <v>2610</v>
      </c>
      <c r="E1425" s="72">
        <v>1</v>
      </c>
      <c r="F1425" s="70"/>
      <c r="G1425" s="70" t="str">
        <f>IFERROR(VLOOKUP(A1425,[1]wms_iv_f!$A$1:$E$136,4,FALSE),"")</f>
        <v/>
      </c>
      <c r="H1425" s="95" t="str">
        <f>IFERROR(VLOOKUP(A1425,[2]wms_lc_f!$A$1:$B$156,2,FALSE),"")</f>
        <v/>
      </c>
    </row>
    <row r="1426" spans="1:8">
      <c r="A1426" s="71">
        <v>63853</v>
      </c>
      <c r="B1426" s="69" t="s">
        <v>2609</v>
      </c>
      <c r="C1426" s="70" t="s">
        <v>1650</v>
      </c>
      <c r="D1426" s="70" t="s">
        <v>2610</v>
      </c>
      <c r="E1426" s="72">
        <v>1</v>
      </c>
      <c r="F1426" s="70"/>
      <c r="G1426" s="70" t="str">
        <f>IFERROR(VLOOKUP(A1426,[1]wms_iv_f!$A$1:$E$136,4,FALSE),"")</f>
        <v/>
      </c>
      <c r="H1426" s="95" t="str">
        <f>IFERROR(VLOOKUP(A1426,[2]wms_lc_f!$A$1:$B$156,2,FALSE),"")</f>
        <v/>
      </c>
    </row>
    <row r="1427" spans="1:8">
      <c r="A1427" s="71">
        <v>138364</v>
      </c>
      <c r="B1427" s="69" t="s">
        <v>2609</v>
      </c>
      <c r="C1427" s="70" t="s">
        <v>1649</v>
      </c>
      <c r="D1427" s="70" t="s">
        <v>2610</v>
      </c>
      <c r="E1427" s="72">
        <v>1</v>
      </c>
      <c r="F1427" s="70"/>
      <c r="G1427" s="70" t="str">
        <f>IFERROR(VLOOKUP(A1427,[1]wms_iv_f!$A$1:$E$136,4,FALSE),"")</f>
        <v/>
      </c>
      <c r="H1427" s="95" t="str">
        <f>IFERROR(VLOOKUP(A1427,[2]wms_lc_f!$A$1:$B$156,2,FALSE),"")</f>
        <v/>
      </c>
    </row>
    <row r="1428" spans="1:8">
      <c r="A1428" s="71">
        <v>92938</v>
      </c>
      <c r="B1428" s="69" t="s">
        <v>2609</v>
      </c>
      <c r="C1428" s="70" t="s">
        <v>1648</v>
      </c>
      <c r="D1428" s="70" t="s">
        <v>2610</v>
      </c>
      <c r="E1428" s="72">
        <v>1</v>
      </c>
      <c r="F1428" s="70"/>
      <c r="G1428" s="70" t="str">
        <f>IFERROR(VLOOKUP(A1428,[1]wms_iv_f!$A$1:$E$136,4,FALSE),"")</f>
        <v/>
      </c>
      <c r="H1428" s="95" t="str">
        <f>IFERROR(VLOOKUP(A1428,[2]wms_lc_f!$A$1:$B$156,2,FALSE),"")</f>
        <v/>
      </c>
    </row>
    <row r="1429" spans="1:8">
      <c r="A1429" s="71">
        <v>13541</v>
      </c>
      <c r="B1429" s="69" t="s">
        <v>2609</v>
      </c>
      <c r="C1429" s="70" t="s">
        <v>1764</v>
      </c>
      <c r="D1429" s="70" t="s">
        <v>2610</v>
      </c>
      <c r="E1429" s="72">
        <v>1</v>
      </c>
      <c r="F1429" s="70"/>
      <c r="G1429" s="70" t="str">
        <f>IFERROR(VLOOKUP(A1429,[1]wms_iv_f!$A$1:$E$136,4,FALSE),"")</f>
        <v/>
      </c>
      <c r="H1429" s="95" t="str">
        <f>IFERROR(VLOOKUP(A1429,[2]wms_lc_f!$A$1:$B$156,2,FALSE),"")</f>
        <v/>
      </c>
    </row>
    <row r="1430" spans="1:8">
      <c r="A1430" s="71">
        <v>1725</v>
      </c>
      <c r="B1430" s="69" t="s">
        <v>2609</v>
      </c>
      <c r="C1430" s="70" t="s">
        <v>1763</v>
      </c>
      <c r="D1430" s="70" t="s">
        <v>2610</v>
      </c>
      <c r="E1430" s="72">
        <v>1</v>
      </c>
      <c r="F1430" s="70"/>
      <c r="G1430" s="70" t="str">
        <f>IFERROR(VLOOKUP(A1430,[1]wms_iv_f!$A$1:$E$136,4,FALSE),"")</f>
        <v/>
      </c>
      <c r="H1430" s="95" t="str">
        <f>IFERROR(VLOOKUP(A1430,[2]wms_lc_f!$A$1:$B$156,2,FALSE),"")</f>
        <v/>
      </c>
    </row>
    <row r="1431" spans="1:8">
      <c r="A1431" s="71">
        <v>66739</v>
      </c>
      <c r="B1431" s="69" t="s">
        <v>2609</v>
      </c>
      <c r="C1431" s="70" t="s">
        <v>1762</v>
      </c>
      <c r="D1431" s="70" t="s">
        <v>2610</v>
      </c>
      <c r="E1431" s="72">
        <v>1</v>
      </c>
      <c r="F1431" s="70"/>
      <c r="G1431" s="70" t="str">
        <f>IFERROR(VLOOKUP(A1431,[1]wms_iv_f!$A$1:$E$136,4,FALSE),"")</f>
        <v/>
      </c>
      <c r="H1431" s="95" t="str">
        <f>IFERROR(VLOOKUP(A1431,[2]wms_lc_f!$A$1:$B$156,2,FALSE),"")</f>
        <v/>
      </c>
    </row>
    <row r="1432" spans="1:8">
      <c r="A1432" s="71">
        <v>134213</v>
      </c>
      <c r="B1432" s="69" t="s">
        <v>2609</v>
      </c>
      <c r="C1432" s="70" t="s">
        <v>1761</v>
      </c>
      <c r="D1432" s="70" t="s">
        <v>2610</v>
      </c>
      <c r="E1432" s="72">
        <v>1</v>
      </c>
      <c r="F1432" s="70"/>
      <c r="G1432" s="70" t="str">
        <f>IFERROR(VLOOKUP(A1432,[1]wms_iv_f!$A$1:$E$136,4,FALSE),"")</f>
        <v/>
      </c>
      <c r="H1432" s="95" t="str">
        <f>IFERROR(VLOOKUP(A1432,[2]wms_lc_f!$A$1:$B$156,2,FALSE),"")</f>
        <v/>
      </c>
    </row>
    <row r="1433" spans="1:8">
      <c r="A1433" s="71">
        <v>1962</v>
      </c>
      <c r="B1433" s="69" t="s">
        <v>2609</v>
      </c>
      <c r="C1433" s="70" t="s">
        <v>1760</v>
      </c>
      <c r="D1433" s="70" t="s">
        <v>2610</v>
      </c>
      <c r="E1433" s="72">
        <v>1</v>
      </c>
      <c r="F1433" s="70"/>
      <c r="G1433" s="70" t="str">
        <f>IFERROR(VLOOKUP(A1433,[1]wms_iv_f!$A$1:$E$136,4,FALSE),"")</f>
        <v/>
      </c>
      <c r="H1433" s="95" t="str">
        <f>IFERROR(VLOOKUP(A1433,[2]wms_lc_f!$A$1:$B$156,2,FALSE),"")</f>
        <v/>
      </c>
    </row>
    <row r="1434" spans="1:8">
      <c r="A1434" s="71">
        <v>157613</v>
      </c>
      <c r="B1434" s="69" t="s">
        <v>2609</v>
      </c>
      <c r="C1434" s="70" t="s">
        <v>1759</v>
      </c>
      <c r="D1434" s="70" t="s">
        <v>2610</v>
      </c>
      <c r="E1434" s="72">
        <v>1</v>
      </c>
      <c r="F1434" s="70"/>
      <c r="G1434" s="70" t="str">
        <f>IFERROR(VLOOKUP(A1434,[1]wms_iv_f!$A$1:$E$136,4,FALSE),"")</f>
        <v/>
      </c>
      <c r="H1434" s="95" t="str">
        <f>IFERROR(VLOOKUP(A1434,[2]wms_lc_f!$A$1:$B$156,2,FALSE),"")</f>
        <v/>
      </c>
    </row>
    <row r="1435" spans="1:8">
      <c r="A1435" s="71">
        <v>114380</v>
      </c>
      <c r="B1435" s="69" t="s">
        <v>2609</v>
      </c>
      <c r="C1435" s="70" t="s">
        <v>1875</v>
      </c>
      <c r="D1435" s="70" t="s">
        <v>2610</v>
      </c>
      <c r="E1435" s="72">
        <v>1</v>
      </c>
      <c r="F1435" s="70"/>
      <c r="G1435" s="70" t="str">
        <f>IFERROR(VLOOKUP(A1435,[1]wms_iv_f!$A$1:$E$136,4,FALSE),"")</f>
        <v/>
      </c>
      <c r="H1435" s="95" t="str">
        <f>IFERROR(VLOOKUP(A1435,[2]wms_lc_f!$A$1:$B$156,2,FALSE),"")</f>
        <v/>
      </c>
    </row>
    <row r="1436" spans="1:8">
      <c r="A1436" s="71">
        <v>786</v>
      </c>
      <c r="B1436" s="69" t="s">
        <v>2609</v>
      </c>
      <c r="C1436" s="70" t="s">
        <v>1874</v>
      </c>
      <c r="D1436" s="70" t="s">
        <v>2610</v>
      </c>
      <c r="E1436" s="72">
        <v>1</v>
      </c>
      <c r="F1436" s="70"/>
      <c r="G1436" s="70" t="str">
        <f>IFERROR(VLOOKUP(A1436,[1]wms_iv_f!$A$1:$E$136,4,FALSE),"")</f>
        <v/>
      </c>
      <c r="H1436" s="95" t="str">
        <f>IFERROR(VLOOKUP(A1436,[2]wms_lc_f!$A$1:$B$156,2,FALSE),"")</f>
        <v/>
      </c>
    </row>
    <row r="1437" spans="1:8">
      <c r="A1437" s="71">
        <v>336</v>
      </c>
      <c r="B1437" s="69" t="s">
        <v>2609</v>
      </c>
      <c r="C1437" s="70" t="s">
        <v>1873</v>
      </c>
      <c r="D1437" s="70" t="s">
        <v>2610</v>
      </c>
      <c r="E1437" s="72">
        <v>1</v>
      </c>
      <c r="F1437" s="70"/>
      <c r="G1437" s="70" t="str">
        <f>IFERROR(VLOOKUP(A1437,[1]wms_iv_f!$A$1:$E$136,4,FALSE),"")</f>
        <v/>
      </c>
      <c r="H1437" s="95" t="str">
        <f>IFERROR(VLOOKUP(A1437,[2]wms_lc_f!$A$1:$B$156,2,FALSE),"")</f>
        <v/>
      </c>
    </row>
    <row r="1438" spans="1:8">
      <c r="A1438" s="71">
        <v>96856</v>
      </c>
      <c r="B1438" s="69" t="s">
        <v>2609</v>
      </c>
      <c r="C1438" s="70" t="s">
        <v>1872</v>
      </c>
      <c r="D1438" s="70" t="s">
        <v>2610</v>
      </c>
      <c r="E1438" s="72">
        <v>1</v>
      </c>
      <c r="F1438" s="70"/>
      <c r="G1438" s="70" t="str">
        <f>IFERROR(VLOOKUP(A1438,[1]wms_iv_f!$A$1:$E$136,4,FALSE),"")</f>
        <v/>
      </c>
      <c r="H1438" s="95" t="str">
        <f>IFERROR(VLOOKUP(A1438,[2]wms_lc_f!$A$1:$B$156,2,FALSE),"")</f>
        <v/>
      </c>
    </row>
    <row r="1439" spans="1:8">
      <c r="A1439" s="71">
        <v>133851</v>
      </c>
      <c r="B1439" s="69" t="s">
        <v>2609</v>
      </c>
      <c r="C1439" s="70" t="s">
        <v>1871</v>
      </c>
      <c r="D1439" s="70" t="s">
        <v>2610</v>
      </c>
      <c r="E1439" s="72">
        <v>1</v>
      </c>
      <c r="F1439" s="70"/>
      <c r="G1439" s="70" t="str">
        <f>IFERROR(VLOOKUP(A1439,[1]wms_iv_f!$A$1:$E$136,4,FALSE),"")</f>
        <v/>
      </c>
      <c r="H1439" s="95" t="str">
        <f>IFERROR(VLOOKUP(A1439,[2]wms_lc_f!$A$1:$B$156,2,FALSE),"")</f>
        <v/>
      </c>
    </row>
    <row r="1440" spans="1:8">
      <c r="A1440" s="71">
        <v>133847</v>
      </c>
      <c r="B1440" s="69" t="s">
        <v>2609</v>
      </c>
      <c r="C1440" s="70" t="s">
        <v>1870</v>
      </c>
      <c r="D1440" s="70" t="s">
        <v>2610</v>
      </c>
      <c r="E1440" s="72">
        <v>1</v>
      </c>
      <c r="F1440" s="70"/>
      <c r="G1440" s="70" t="str">
        <f>IFERROR(VLOOKUP(A1440,[1]wms_iv_f!$A$1:$E$136,4,FALSE),"")</f>
        <v/>
      </c>
      <c r="H1440" s="95" t="str">
        <f>IFERROR(VLOOKUP(A1440,[2]wms_lc_f!$A$1:$B$156,2,FALSE),"")</f>
        <v/>
      </c>
    </row>
    <row r="1441" spans="1:8">
      <c r="A1441" s="71">
        <v>124931</v>
      </c>
      <c r="B1441" s="69" t="s">
        <v>2609</v>
      </c>
      <c r="C1441" s="70" t="s">
        <v>1608</v>
      </c>
      <c r="D1441" s="70" t="s">
        <v>2610</v>
      </c>
      <c r="E1441" s="72">
        <v>1</v>
      </c>
      <c r="F1441" s="70"/>
      <c r="G1441" s="70" t="str">
        <f>IFERROR(VLOOKUP(A1441,[1]wms_iv_f!$A$1:$E$136,4,FALSE),"")</f>
        <v/>
      </c>
      <c r="H1441" s="95" t="str">
        <f>IFERROR(VLOOKUP(A1441,[2]wms_lc_f!$A$1:$B$156,2,FALSE),"")</f>
        <v/>
      </c>
    </row>
    <row r="1442" spans="1:8">
      <c r="A1442" s="71">
        <v>93438</v>
      </c>
      <c r="B1442" s="69" t="s">
        <v>2609</v>
      </c>
      <c r="C1442" s="70" t="s">
        <v>1607</v>
      </c>
      <c r="D1442" s="70" t="s">
        <v>2610</v>
      </c>
      <c r="E1442" s="72">
        <v>1</v>
      </c>
      <c r="F1442" s="70"/>
      <c r="G1442" s="70" t="str">
        <f>IFERROR(VLOOKUP(A1442,[1]wms_iv_f!$A$1:$E$136,4,FALSE),"")</f>
        <v/>
      </c>
      <c r="H1442" s="95" t="str">
        <f>IFERROR(VLOOKUP(A1442,[2]wms_lc_f!$A$1:$B$156,2,FALSE),"")</f>
        <v/>
      </c>
    </row>
    <row r="1443" spans="1:8">
      <c r="A1443" s="71">
        <v>128189</v>
      </c>
      <c r="B1443" s="69" t="s">
        <v>2609</v>
      </c>
      <c r="C1443" s="70" t="s">
        <v>1606</v>
      </c>
      <c r="D1443" s="70" t="s">
        <v>2610</v>
      </c>
      <c r="E1443" s="72">
        <v>1</v>
      </c>
      <c r="F1443" s="70"/>
      <c r="G1443" s="70" t="str">
        <f>IFERROR(VLOOKUP(A1443,[1]wms_iv_f!$A$1:$E$136,4,FALSE),"")</f>
        <v/>
      </c>
      <c r="H1443" s="95" t="str">
        <f>IFERROR(VLOOKUP(A1443,[2]wms_lc_f!$A$1:$B$156,2,FALSE),"")</f>
        <v/>
      </c>
    </row>
    <row r="1444" spans="1:8">
      <c r="A1444" s="71">
        <v>113519</v>
      </c>
      <c r="B1444" s="69" t="s">
        <v>2609</v>
      </c>
      <c r="C1444" s="70" t="s">
        <v>1605</v>
      </c>
      <c r="D1444" s="70" t="s">
        <v>2610</v>
      </c>
      <c r="E1444" s="72">
        <v>1</v>
      </c>
      <c r="F1444" s="70"/>
      <c r="G1444" s="70" t="str">
        <f>IFERROR(VLOOKUP(A1444,[1]wms_iv_f!$A$1:$E$136,4,FALSE),"")</f>
        <v/>
      </c>
      <c r="H1444" s="95" t="str">
        <f>IFERROR(VLOOKUP(A1444,[2]wms_lc_f!$A$1:$B$156,2,FALSE),"")</f>
        <v/>
      </c>
    </row>
    <row r="1445" spans="1:8">
      <c r="A1445" s="71">
        <v>114045</v>
      </c>
      <c r="B1445" s="69" t="s">
        <v>2609</v>
      </c>
      <c r="C1445" s="70" t="s">
        <v>1604</v>
      </c>
      <c r="D1445" s="70" t="s">
        <v>2610</v>
      </c>
      <c r="E1445" s="72">
        <v>1</v>
      </c>
      <c r="F1445" s="70"/>
      <c r="G1445" s="70" t="str">
        <f>IFERROR(VLOOKUP(A1445,[1]wms_iv_f!$A$1:$E$136,4,FALSE),"")</f>
        <v/>
      </c>
      <c r="H1445" s="95" t="str">
        <f>IFERROR(VLOOKUP(A1445,[2]wms_lc_f!$A$1:$B$156,2,FALSE),"")</f>
        <v/>
      </c>
    </row>
    <row r="1446" spans="1:8">
      <c r="A1446" s="71">
        <v>3156</v>
      </c>
      <c r="B1446" s="69" t="s">
        <v>2609</v>
      </c>
      <c r="C1446" s="70" t="s">
        <v>1603</v>
      </c>
      <c r="D1446" s="70" t="s">
        <v>2610</v>
      </c>
      <c r="E1446" s="72">
        <v>1</v>
      </c>
      <c r="F1446" s="70"/>
      <c r="G1446" s="70" t="str">
        <f>IFERROR(VLOOKUP(A1446,[1]wms_iv_f!$A$1:$E$136,4,FALSE),"")</f>
        <v/>
      </c>
      <c r="H1446" s="95" t="str">
        <f>IFERROR(VLOOKUP(A1446,[2]wms_lc_f!$A$1:$B$156,2,FALSE),"")</f>
        <v/>
      </c>
    </row>
    <row r="1447" spans="1:8">
      <c r="A1447" s="71">
        <v>104816</v>
      </c>
      <c r="B1447" s="69" t="s">
        <v>2609</v>
      </c>
      <c r="C1447" s="70" t="s">
        <v>1502</v>
      </c>
      <c r="D1447" s="70" t="s">
        <v>2610</v>
      </c>
      <c r="E1447" s="72">
        <v>1</v>
      </c>
      <c r="F1447" s="70" t="s">
        <v>2612</v>
      </c>
      <c r="G1447" s="70" t="str">
        <f>IFERROR(VLOOKUP(A1447,[1]wms_iv_f!$A$1:$E$136,4,FALSE),"")</f>
        <v/>
      </c>
      <c r="H1447" s="95" t="str">
        <f>IFERROR(VLOOKUP(A1447,[2]wms_lc_f!$A$1:$B$156,2,FALSE),"")</f>
        <v/>
      </c>
    </row>
    <row r="1448" spans="1:8">
      <c r="A1448" s="71">
        <v>125688</v>
      </c>
      <c r="B1448" s="69" t="s">
        <v>2609</v>
      </c>
      <c r="C1448" s="70" t="s">
        <v>1501</v>
      </c>
      <c r="D1448" s="70" t="s">
        <v>2610</v>
      </c>
      <c r="E1448" s="72">
        <v>1</v>
      </c>
      <c r="F1448" s="70" t="s">
        <v>2612</v>
      </c>
      <c r="G1448" s="70" t="str">
        <f>IFERROR(VLOOKUP(A1448,[1]wms_iv_f!$A$1:$E$136,4,FALSE),"")</f>
        <v/>
      </c>
      <c r="H1448" s="95" t="str">
        <f>IFERROR(VLOOKUP(A1448,[2]wms_lc_f!$A$1:$B$156,2,FALSE),"")</f>
        <v/>
      </c>
    </row>
    <row r="1449" spans="1:8">
      <c r="A1449" s="71">
        <v>108143</v>
      </c>
      <c r="B1449" s="69" t="s">
        <v>2609</v>
      </c>
      <c r="C1449" s="70" t="s">
        <v>1500</v>
      </c>
      <c r="D1449" s="70" t="s">
        <v>2610</v>
      </c>
      <c r="E1449" s="72">
        <v>1</v>
      </c>
      <c r="F1449" s="70" t="s">
        <v>2612</v>
      </c>
      <c r="G1449" s="70" t="str">
        <f>IFERROR(VLOOKUP(A1449,[1]wms_iv_f!$A$1:$E$136,4,FALSE),"")</f>
        <v/>
      </c>
      <c r="H1449" s="95" t="str">
        <f>IFERROR(VLOOKUP(A1449,[2]wms_lc_f!$A$1:$B$156,2,FALSE),"")</f>
        <v/>
      </c>
    </row>
    <row r="1450" spans="1:8">
      <c r="A1450" s="71">
        <v>627</v>
      </c>
      <c r="B1450" s="69" t="s">
        <v>2609</v>
      </c>
      <c r="C1450" s="70" t="s">
        <v>1499</v>
      </c>
      <c r="D1450" s="70" t="s">
        <v>2610</v>
      </c>
      <c r="E1450" s="72">
        <v>1</v>
      </c>
      <c r="F1450" s="70" t="s">
        <v>2612</v>
      </c>
      <c r="G1450" s="70" t="str">
        <f>IFERROR(VLOOKUP(A1450,[1]wms_iv_f!$A$1:$E$136,4,FALSE),"")</f>
        <v/>
      </c>
      <c r="H1450" s="95" t="str">
        <f>IFERROR(VLOOKUP(A1450,[2]wms_lc_f!$A$1:$B$156,2,FALSE),"")</f>
        <v/>
      </c>
    </row>
    <row r="1451" spans="1:8">
      <c r="A1451" s="71">
        <v>131686</v>
      </c>
      <c r="B1451" s="69" t="s">
        <v>2609</v>
      </c>
      <c r="C1451" s="76" t="s">
        <v>1498</v>
      </c>
      <c r="D1451" s="76" t="s">
        <v>2610</v>
      </c>
      <c r="E1451" s="72">
        <v>1</v>
      </c>
      <c r="F1451" s="70" t="s">
        <v>2612</v>
      </c>
      <c r="G1451" s="70" t="str">
        <f>IFERROR(VLOOKUP(A1451,[1]wms_iv_f!$A$1:$E$136,4,FALSE),"")</f>
        <v/>
      </c>
      <c r="H1451" s="95" t="str">
        <f>IFERROR(VLOOKUP(A1451,[2]wms_lc_f!$A$1:$B$156,2,FALSE),"")</f>
        <v/>
      </c>
    </row>
    <row r="1452" spans="1:8">
      <c r="A1452" s="71">
        <v>110118</v>
      </c>
      <c r="B1452" s="69" t="s">
        <v>2609</v>
      </c>
      <c r="C1452" s="70" t="s">
        <v>1497</v>
      </c>
      <c r="D1452" s="70" t="s">
        <v>2610</v>
      </c>
      <c r="E1452" s="72">
        <v>1</v>
      </c>
      <c r="F1452" s="70" t="s">
        <v>2612</v>
      </c>
      <c r="G1452" s="70" t="str">
        <f>IFERROR(VLOOKUP(A1452,[1]wms_iv_f!$A$1:$E$136,4,FALSE),"")</f>
        <v/>
      </c>
      <c r="H1452" s="95" t="str">
        <f>IFERROR(VLOOKUP(A1452,[2]wms_lc_f!$A$1:$B$156,2,FALSE),"")</f>
        <v/>
      </c>
    </row>
    <row r="1453" spans="1:8">
      <c r="A1453" s="71">
        <v>155881</v>
      </c>
      <c r="B1453" s="69" t="s">
        <v>2609</v>
      </c>
      <c r="C1453" s="70" t="s">
        <v>1395</v>
      </c>
      <c r="D1453" s="70" t="s">
        <v>2610</v>
      </c>
      <c r="E1453" s="72">
        <v>1</v>
      </c>
      <c r="F1453" s="70"/>
      <c r="G1453" s="70" t="str">
        <f>IFERROR(VLOOKUP(A1453,[1]wms_iv_f!$A$1:$E$136,4,FALSE),"")</f>
        <v/>
      </c>
      <c r="H1453" s="95" t="str">
        <f>IFERROR(VLOOKUP(A1453,[2]wms_lc_f!$A$1:$B$156,2,FALSE),"")</f>
        <v/>
      </c>
    </row>
    <row r="1454" spans="1:8">
      <c r="A1454" s="71">
        <v>100832</v>
      </c>
      <c r="B1454" s="69" t="s">
        <v>2609</v>
      </c>
      <c r="C1454" s="70" t="s">
        <v>1394</v>
      </c>
      <c r="D1454" s="70" t="s">
        <v>2610</v>
      </c>
      <c r="E1454" s="72">
        <v>1</v>
      </c>
      <c r="F1454" s="70"/>
      <c r="G1454" s="70" t="str">
        <f>IFERROR(VLOOKUP(A1454,[1]wms_iv_f!$A$1:$E$136,4,FALSE),"")</f>
        <v/>
      </c>
      <c r="H1454" s="95" t="str">
        <f>IFERROR(VLOOKUP(A1454,[2]wms_lc_f!$A$1:$B$156,2,FALSE),"")</f>
        <v/>
      </c>
    </row>
    <row r="1455" spans="1:8">
      <c r="A1455" s="71">
        <v>142830</v>
      </c>
      <c r="B1455" s="69" t="s">
        <v>2609</v>
      </c>
      <c r="C1455" s="70" t="s">
        <v>1393</v>
      </c>
      <c r="D1455" s="70" t="s">
        <v>2610</v>
      </c>
      <c r="E1455" s="72">
        <v>1</v>
      </c>
      <c r="F1455" s="70"/>
      <c r="G1455" s="70" t="str">
        <f>IFERROR(VLOOKUP(A1455,[1]wms_iv_f!$A$1:$E$136,4,FALSE),"")</f>
        <v/>
      </c>
      <c r="H1455" s="95" t="str">
        <f>IFERROR(VLOOKUP(A1455,[2]wms_lc_f!$A$1:$B$156,2,FALSE),"")</f>
        <v/>
      </c>
    </row>
    <row r="1456" spans="1:8">
      <c r="A1456" s="71">
        <v>155945</v>
      </c>
      <c r="B1456" s="69" t="s">
        <v>2609</v>
      </c>
      <c r="C1456" s="70" t="s">
        <v>1392</v>
      </c>
      <c r="D1456" s="70" t="s">
        <v>2610</v>
      </c>
      <c r="E1456" s="72">
        <v>1</v>
      </c>
      <c r="F1456" s="70"/>
      <c r="G1456" s="70" t="str">
        <f>IFERROR(VLOOKUP(A1456,[1]wms_iv_f!$A$1:$E$136,4,FALSE),"")</f>
        <v/>
      </c>
      <c r="H1456" s="95" t="str">
        <f>IFERROR(VLOOKUP(A1456,[2]wms_lc_f!$A$1:$B$156,2,FALSE),"")</f>
        <v/>
      </c>
    </row>
    <row r="1457" spans="1:8">
      <c r="A1457" s="71">
        <v>142587</v>
      </c>
      <c r="B1457" s="69" t="s">
        <v>2609</v>
      </c>
      <c r="C1457" s="70" t="s">
        <v>1391</v>
      </c>
      <c r="D1457" s="70" t="s">
        <v>2610</v>
      </c>
      <c r="E1457" s="72">
        <v>1</v>
      </c>
      <c r="F1457" s="70"/>
      <c r="G1457" s="70" t="str">
        <f>IFERROR(VLOOKUP(A1457,[1]wms_iv_f!$A$1:$E$136,4,FALSE),"")</f>
        <v/>
      </c>
      <c r="H1457" s="95" t="str">
        <f>IFERROR(VLOOKUP(A1457,[2]wms_lc_f!$A$1:$B$156,2,FALSE),"")</f>
        <v/>
      </c>
    </row>
    <row r="1458" spans="1:8">
      <c r="A1458" s="71">
        <v>61373</v>
      </c>
      <c r="B1458" s="69" t="s">
        <v>2609</v>
      </c>
      <c r="C1458" s="70" t="s">
        <v>1390</v>
      </c>
      <c r="D1458" s="70" t="s">
        <v>2610</v>
      </c>
      <c r="E1458" s="72">
        <v>1</v>
      </c>
      <c r="F1458" s="70"/>
      <c r="G1458" s="70" t="str">
        <f>IFERROR(VLOOKUP(A1458,[1]wms_iv_f!$A$1:$E$136,4,FALSE),"")</f>
        <v/>
      </c>
      <c r="H1458" s="95" t="str">
        <f>IFERROR(VLOOKUP(A1458,[2]wms_lc_f!$A$1:$B$156,2,FALSE),"")</f>
        <v/>
      </c>
    </row>
    <row r="1459" spans="1:8">
      <c r="A1459" s="71">
        <v>138744</v>
      </c>
      <c r="B1459" s="69" t="s">
        <v>2609</v>
      </c>
      <c r="C1459" s="70" t="s">
        <v>1602</v>
      </c>
      <c r="D1459" s="70" t="s">
        <v>2610</v>
      </c>
      <c r="E1459" s="72">
        <v>1</v>
      </c>
      <c r="F1459" s="70"/>
      <c r="G1459" s="70" t="str">
        <f>IFERROR(VLOOKUP(A1459,[1]wms_iv_f!$A$1:$E$136,4,FALSE),"")</f>
        <v/>
      </c>
      <c r="H1459" s="95" t="str">
        <f>IFERROR(VLOOKUP(A1459,[2]wms_lc_f!$A$1:$B$156,2,FALSE),"")</f>
        <v/>
      </c>
    </row>
    <row r="1460" spans="1:8">
      <c r="A1460" s="71">
        <v>108748</v>
      </c>
      <c r="B1460" s="69" t="s">
        <v>2609</v>
      </c>
      <c r="C1460" s="70" t="s">
        <v>1601</v>
      </c>
      <c r="D1460" s="70" t="s">
        <v>2610</v>
      </c>
      <c r="E1460" s="72">
        <v>1</v>
      </c>
      <c r="F1460" s="70"/>
      <c r="G1460" s="70" t="str">
        <f>IFERROR(VLOOKUP(A1460,[1]wms_iv_f!$A$1:$E$136,4,FALSE),"")</f>
        <v/>
      </c>
      <c r="H1460" s="95" t="str">
        <f>IFERROR(VLOOKUP(A1460,[2]wms_lc_f!$A$1:$B$156,2,FALSE),"")</f>
        <v/>
      </c>
    </row>
    <row r="1461" spans="1:8">
      <c r="A1461" s="71">
        <v>156246</v>
      </c>
      <c r="B1461" s="69" t="s">
        <v>2609</v>
      </c>
      <c r="C1461" s="70" t="s">
        <v>1600</v>
      </c>
      <c r="D1461" s="70" t="s">
        <v>2610</v>
      </c>
      <c r="E1461" s="72">
        <v>1</v>
      </c>
      <c r="F1461" s="70"/>
      <c r="G1461" s="70" t="str">
        <f>IFERROR(VLOOKUP(A1461,[1]wms_iv_f!$A$1:$E$136,4,FALSE),"")</f>
        <v/>
      </c>
      <c r="H1461" s="95" t="str">
        <f>IFERROR(VLOOKUP(A1461,[2]wms_lc_f!$A$1:$B$156,2,FALSE),"")</f>
        <v/>
      </c>
    </row>
    <row r="1462" spans="1:8">
      <c r="A1462" s="71">
        <v>134386</v>
      </c>
      <c r="B1462" s="69" t="s">
        <v>2609</v>
      </c>
      <c r="C1462" s="70" t="s">
        <v>1599</v>
      </c>
      <c r="D1462" s="70" t="s">
        <v>2610</v>
      </c>
      <c r="E1462" s="72">
        <v>1</v>
      </c>
      <c r="F1462" s="70"/>
      <c r="G1462" s="70" t="str">
        <f>IFERROR(VLOOKUP(A1462,[1]wms_iv_f!$A$1:$E$136,4,FALSE),"")</f>
        <v/>
      </c>
      <c r="H1462" s="95" t="str">
        <f>IFERROR(VLOOKUP(A1462,[2]wms_lc_f!$A$1:$B$156,2,FALSE),"")</f>
        <v/>
      </c>
    </row>
    <row r="1463" spans="1:8">
      <c r="A1463" s="71">
        <v>37804</v>
      </c>
      <c r="B1463" s="69" t="s">
        <v>2609</v>
      </c>
      <c r="C1463" s="70" t="s">
        <v>1598</v>
      </c>
      <c r="D1463" s="70" t="s">
        <v>2610</v>
      </c>
      <c r="E1463" s="72">
        <v>1</v>
      </c>
      <c r="F1463" s="70"/>
      <c r="G1463" s="70" t="str">
        <f>IFERROR(VLOOKUP(A1463,[1]wms_iv_f!$A$1:$E$136,4,FALSE),"")</f>
        <v/>
      </c>
      <c r="H1463" s="95" t="str">
        <f>IFERROR(VLOOKUP(A1463,[2]wms_lc_f!$A$1:$B$156,2,FALSE),"")</f>
        <v/>
      </c>
    </row>
    <row r="1464" spans="1:8">
      <c r="A1464" s="71">
        <v>2515</v>
      </c>
      <c r="B1464" s="69" t="s">
        <v>2609</v>
      </c>
      <c r="C1464" s="70" t="s">
        <v>1597</v>
      </c>
      <c r="D1464" s="70" t="s">
        <v>2610</v>
      </c>
      <c r="E1464" s="72">
        <v>1</v>
      </c>
      <c r="F1464" s="70"/>
      <c r="G1464" s="70" t="str">
        <f>IFERROR(VLOOKUP(A1464,[1]wms_iv_f!$A$1:$E$136,4,FALSE),"")</f>
        <v/>
      </c>
      <c r="H1464" s="95" t="str">
        <f>IFERROR(VLOOKUP(A1464,[2]wms_lc_f!$A$1:$B$156,2,FALSE),"")</f>
        <v/>
      </c>
    </row>
    <row r="1465" spans="1:8">
      <c r="A1465" s="71">
        <v>132336</v>
      </c>
      <c r="B1465" s="69" t="s">
        <v>2609</v>
      </c>
      <c r="C1465" s="70" t="s">
        <v>1496</v>
      </c>
      <c r="D1465" s="70" t="s">
        <v>2610</v>
      </c>
      <c r="E1465" s="72">
        <v>1</v>
      </c>
      <c r="F1465" s="70" t="s">
        <v>2612</v>
      </c>
      <c r="G1465" s="70" t="str">
        <f>IFERROR(VLOOKUP(A1465,[1]wms_iv_f!$A$1:$E$136,4,FALSE),"")</f>
        <v/>
      </c>
      <c r="H1465" s="95" t="str">
        <f>IFERROR(VLOOKUP(A1465,[2]wms_lc_f!$A$1:$B$156,2,FALSE),"")</f>
        <v/>
      </c>
    </row>
    <row r="1466" spans="1:8">
      <c r="A1466" s="71">
        <v>134900</v>
      </c>
      <c r="B1466" s="69" t="s">
        <v>2609</v>
      </c>
      <c r="C1466" s="70" t="s">
        <v>1495</v>
      </c>
      <c r="D1466" s="70" t="s">
        <v>2610</v>
      </c>
      <c r="E1466" s="72">
        <v>1</v>
      </c>
      <c r="F1466" s="70" t="s">
        <v>2612</v>
      </c>
      <c r="G1466" s="70" t="str">
        <f>IFERROR(VLOOKUP(A1466,[1]wms_iv_f!$A$1:$E$136,4,FALSE),"")</f>
        <v/>
      </c>
      <c r="H1466" s="95" t="str">
        <f>IFERROR(VLOOKUP(A1466,[2]wms_lc_f!$A$1:$B$156,2,FALSE),"")</f>
        <v/>
      </c>
    </row>
    <row r="1467" spans="1:8">
      <c r="A1467" s="71">
        <v>83397</v>
      </c>
      <c r="B1467" s="69" t="s">
        <v>2609</v>
      </c>
      <c r="C1467" s="70" t="s">
        <v>1494</v>
      </c>
      <c r="D1467" s="70" t="s">
        <v>2610</v>
      </c>
      <c r="E1467" s="72">
        <v>1</v>
      </c>
      <c r="F1467" s="70" t="s">
        <v>2612</v>
      </c>
      <c r="G1467" s="70" t="str">
        <f>IFERROR(VLOOKUP(A1467,[1]wms_iv_f!$A$1:$E$136,4,FALSE),"")</f>
        <v/>
      </c>
      <c r="H1467" s="95" t="str">
        <f>IFERROR(VLOOKUP(A1467,[2]wms_lc_f!$A$1:$B$156,2,FALSE),"")</f>
        <v/>
      </c>
    </row>
    <row r="1468" spans="1:8">
      <c r="A1468" s="71">
        <v>1831</v>
      </c>
      <c r="B1468" s="69" t="s">
        <v>2609</v>
      </c>
      <c r="C1468" s="70" t="s">
        <v>1493</v>
      </c>
      <c r="D1468" s="70" t="s">
        <v>2610</v>
      </c>
      <c r="E1468" s="72">
        <v>1</v>
      </c>
      <c r="F1468" s="70" t="s">
        <v>2612</v>
      </c>
      <c r="G1468" s="70" t="str">
        <f>IFERROR(VLOOKUP(A1468,[1]wms_iv_f!$A$1:$E$136,4,FALSE),"")</f>
        <v/>
      </c>
      <c r="H1468" s="95" t="str">
        <f>IFERROR(VLOOKUP(A1468,[2]wms_lc_f!$A$1:$B$156,2,FALSE),"")</f>
        <v/>
      </c>
    </row>
    <row r="1469" spans="1:8">
      <c r="A1469" s="71">
        <v>137969</v>
      </c>
      <c r="B1469" s="69" t="s">
        <v>2609</v>
      </c>
      <c r="C1469" s="70" t="s">
        <v>1492</v>
      </c>
      <c r="D1469" s="70" t="s">
        <v>2610</v>
      </c>
      <c r="E1469" s="72">
        <v>1</v>
      </c>
      <c r="F1469" s="70" t="s">
        <v>2612</v>
      </c>
      <c r="G1469" s="70" t="str">
        <f>IFERROR(VLOOKUP(A1469,[1]wms_iv_f!$A$1:$E$136,4,FALSE),"")</f>
        <v/>
      </c>
      <c r="H1469" s="95" t="str">
        <f>IFERROR(VLOOKUP(A1469,[2]wms_lc_f!$A$1:$B$156,2,FALSE),"")</f>
        <v/>
      </c>
    </row>
    <row r="1470" spans="1:8">
      <c r="A1470" s="71">
        <v>137475</v>
      </c>
      <c r="B1470" s="69" t="s">
        <v>2609</v>
      </c>
      <c r="C1470" s="70" t="s">
        <v>1491</v>
      </c>
      <c r="D1470" s="70" t="s">
        <v>2610</v>
      </c>
      <c r="E1470" s="72">
        <v>1</v>
      </c>
      <c r="F1470" s="70" t="s">
        <v>2612</v>
      </c>
      <c r="G1470" s="70" t="str">
        <f>IFERROR(VLOOKUP(A1470,[1]wms_iv_f!$A$1:$E$136,4,FALSE),"")</f>
        <v/>
      </c>
      <c r="H1470" s="95" t="str">
        <f>IFERROR(VLOOKUP(A1470,[2]wms_lc_f!$A$1:$B$156,2,FALSE),"")</f>
        <v/>
      </c>
    </row>
    <row r="1471" spans="1:8">
      <c r="A1471" s="71">
        <v>759</v>
      </c>
      <c r="B1471" s="69" t="s">
        <v>2609</v>
      </c>
      <c r="C1471" s="70" t="s">
        <v>1389</v>
      </c>
      <c r="D1471" s="70" t="s">
        <v>2610</v>
      </c>
      <c r="E1471" s="72">
        <v>1</v>
      </c>
      <c r="F1471" s="70"/>
      <c r="G1471" s="70" t="str">
        <f>IFERROR(VLOOKUP(A1471,[1]wms_iv_f!$A$1:$E$136,4,FALSE),"")</f>
        <v/>
      </c>
      <c r="H1471" s="95" t="str">
        <f>IFERROR(VLOOKUP(A1471,[2]wms_lc_f!$A$1:$B$156,2,FALSE),"")</f>
        <v/>
      </c>
    </row>
    <row r="1472" spans="1:8">
      <c r="A1472" s="71">
        <v>108604</v>
      </c>
      <c r="B1472" s="69" t="s">
        <v>2609</v>
      </c>
      <c r="C1472" s="70" t="s">
        <v>1388</v>
      </c>
      <c r="D1472" s="70" t="s">
        <v>2610</v>
      </c>
      <c r="E1472" s="72">
        <v>1</v>
      </c>
      <c r="F1472" s="70"/>
      <c r="G1472" s="70" t="str">
        <f>IFERROR(VLOOKUP(A1472,[1]wms_iv_f!$A$1:$E$136,4,FALSE),"")</f>
        <v/>
      </c>
      <c r="H1472" s="95" t="str">
        <f>IFERROR(VLOOKUP(A1472,[2]wms_lc_f!$A$1:$B$156,2,FALSE),"")</f>
        <v/>
      </c>
    </row>
    <row r="1473" spans="1:8">
      <c r="A1473" s="71">
        <v>129779</v>
      </c>
      <c r="B1473" s="69" t="s">
        <v>2609</v>
      </c>
      <c r="C1473" s="70" t="s">
        <v>1387</v>
      </c>
      <c r="D1473" s="70" t="s">
        <v>2610</v>
      </c>
      <c r="E1473" s="72">
        <v>1</v>
      </c>
      <c r="F1473" s="70"/>
      <c r="G1473" s="70" t="str">
        <f>IFERROR(VLOOKUP(A1473,[1]wms_iv_f!$A$1:$E$136,4,FALSE),"")</f>
        <v/>
      </c>
      <c r="H1473" s="95" t="str">
        <f>IFERROR(VLOOKUP(A1473,[2]wms_lc_f!$A$1:$B$156,2,FALSE),"")</f>
        <v/>
      </c>
    </row>
    <row r="1474" spans="1:8">
      <c r="A1474" s="71">
        <v>131930</v>
      </c>
      <c r="B1474" s="69" t="s">
        <v>2609</v>
      </c>
      <c r="C1474" s="70" t="s">
        <v>1386</v>
      </c>
      <c r="D1474" s="70" t="s">
        <v>2610</v>
      </c>
      <c r="E1474" s="72">
        <v>1</v>
      </c>
      <c r="F1474" s="70"/>
      <c r="G1474" s="70" t="str">
        <f>IFERROR(VLOOKUP(A1474,[1]wms_iv_f!$A$1:$E$136,4,FALSE),"")</f>
        <v/>
      </c>
      <c r="H1474" s="95" t="str">
        <f>IFERROR(VLOOKUP(A1474,[2]wms_lc_f!$A$1:$B$156,2,FALSE),"")</f>
        <v/>
      </c>
    </row>
    <row r="1475" spans="1:8">
      <c r="A1475" s="71">
        <v>2516</v>
      </c>
      <c r="B1475" s="69" t="s">
        <v>2609</v>
      </c>
      <c r="C1475" s="70" t="s">
        <v>1385</v>
      </c>
      <c r="D1475" s="70" t="s">
        <v>2610</v>
      </c>
      <c r="E1475" s="72">
        <v>1</v>
      </c>
      <c r="F1475" s="70"/>
      <c r="G1475" s="70" t="str">
        <f>IFERROR(VLOOKUP(A1475,[1]wms_iv_f!$A$1:$E$136,4,FALSE),"")</f>
        <v/>
      </c>
      <c r="H1475" s="95" t="str">
        <f>IFERROR(VLOOKUP(A1475,[2]wms_lc_f!$A$1:$B$156,2,FALSE),"")</f>
        <v/>
      </c>
    </row>
    <row r="1476" spans="1:8">
      <c r="A1476" s="71">
        <v>156080</v>
      </c>
      <c r="B1476" s="69" t="s">
        <v>2609</v>
      </c>
      <c r="C1476" s="70" t="s">
        <v>1384</v>
      </c>
      <c r="D1476" s="70" t="s">
        <v>2610</v>
      </c>
      <c r="E1476" s="72">
        <v>1</v>
      </c>
      <c r="F1476" s="70"/>
      <c r="G1476" s="70" t="str">
        <f>IFERROR(VLOOKUP(A1476,[1]wms_iv_f!$A$1:$E$136,4,FALSE),"")</f>
        <v/>
      </c>
      <c r="H1476" s="95" t="str">
        <f>IFERROR(VLOOKUP(A1476,[2]wms_lc_f!$A$1:$B$156,2,FALSE),"")</f>
        <v/>
      </c>
    </row>
    <row r="1477" spans="1:8">
      <c r="A1477" s="71">
        <v>128270</v>
      </c>
      <c r="B1477" s="69" t="s">
        <v>2609</v>
      </c>
      <c r="C1477" s="70" t="s">
        <v>1596</v>
      </c>
      <c r="D1477" s="70" t="s">
        <v>2610</v>
      </c>
      <c r="E1477" s="72">
        <v>1</v>
      </c>
      <c r="F1477" s="70"/>
      <c r="G1477" s="70" t="str">
        <f>IFERROR(VLOOKUP(A1477,[1]wms_iv_f!$A$1:$E$136,4,FALSE),"")</f>
        <v/>
      </c>
      <c r="H1477" s="95" t="str">
        <f>IFERROR(VLOOKUP(A1477,[2]wms_lc_f!$A$1:$B$156,2,FALSE),"")</f>
        <v/>
      </c>
    </row>
    <row r="1478" spans="1:8">
      <c r="A1478" s="71">
        <v>126523</v>
      </c>
      <c r="B1478" s="69" t="s">
        <v>2609</v>
      </c>
      <c r="C1478" s="70" t="s">
        <v>1595</v>
      </c>
      <c r="D1478" s="70" t="s">
        <v>2610</v>
      </c>
      <c r="E1478" s="72">
        <v>1</v>
      </c>
      <c r="F1478" s="70"/>
      <c r="G1478" s="70" t="str">
        <f>IFERROR(VLOOKUP(A1478,[1]wms_iv_f!$A$1:$E$136,4,FALSE),"")</f>
        <v/>
      </c>
      <c r="H1478" s="95" t="str">
        <f>IFERROR(VLOOKUP(A1478,[2]wms_lc_f!$A$1:$B$156,2,FALSE),"")</f>
        <v/>
      </c>
    </row>
    <row r="1479" spans="1:8">
      <c r="A1479" s="71">
        <v>129778</v>
      </c>
      <c r="B1479" s="69" t="s">
        <v>2609</v>
      </c>
      <c r="C1479" s="70" t="s">
        <v>1594</v>
      </c>
      <c r="D1479" s="70" t="s">
        <v>2610</v>
      </c>
      <c r="E1479" s="72">
        <v>1</v>
      </c>
      <c r="F1479" s="70"/>
      <c r="G1479" s="70" t="str">
        <f>IFERROR(VLOOKUP(A1479,[1]wms_iv_f!$A$1:$E$136,4,FALSE),"")</f>
        <v/>
      </c>
      <c r="H1479" s="95" t="str">
        <f>IFERROR(VLOOKUP(A1479,[2]wms_lc_f!$A$1:$B$156,2,FALSE),"")</f>
        <v/>
      </c>
    </row>
    <row r="1480" spans="1:8">
      <c r="A1480" s="71">
        <v>156128</v>
      </c>
      <c r="B1480" s="69" t="s">
        <v>2609</v>
      </c>
      <c r="C1480" s="70" t="s">
        <v>1593</v>
      </c>
      <c r="D1480" s="70" t="s">
        <v>2610</v>
      </c>
      <c r="E1480" s="72">
        <v>1</v>
      </c>
      <c r="F1480" s="70"/>
      <c r="G1480" s="70" t="str">
        <f>IFERROR(VLOOKUP(A1480,[1]wms_iv_f!$A$1:$E$136,4,FALSE),"")</f>
        <v/>
      </c>
      <c r="H1480" s="95" t="str">
        <f>IFERROR(VLOOKUP(A1480,[2]wms_lc_f!$A$1:$B$156,2,FALSE),"")</f>
        <v/>
      </c>
    </row>
    <row r="1481" spans="1:8">
      <c r="A1481" s="71">
        <v>129780</v>
      </c>
      <c r="B1481" s="69" t="s">
        <v>2609</v>
      </c>
      <c r="C1481" s="70" t="s">
        <v>1592</v>
      </c>
      <c r="D1481" s="70" t="s">
        <v>2610</v>
      </c>
      <c r="E1481" s="72">
        <v>1</v>
      </c>
      <c r="F1481" s="70"/>
      <c r="G1481" s="70" t="str">
        <f>IFERROR(VLOOKUP(A1481,[1]wms_iv_f!$A$1:$E$136,4,FALSE),"")</f>
        <v/>
      </c>
      <c r="H1481" s="95" t="str">
        <f>IFERROR(VLOOKUP(A1481,[2]wms_lc_f!$A$1:$B$156,2,FALSE),"")</f>
        <v/>
      </c>
    </row>
    <row r="1482" spans="1:8">
      <c r="A1482" s="71">
        <v>130184</v>
      </c>
      <c r="B1482" s="69" t="s">
        <v>2609</v>
      </c>
      <c r="C1482" s="70" t="s">
        <v>1591</v>
      </c>
      <c r="D1482" s="70" t="s">
        <v>2610</v>
      </c>
      <c r="E1482" s="72">
        <v>1</v>
      </c>
      <c r="F1482" s="70"/>
      <c r="G1482" s="70" t="str">
        <f>IFERROR(VLOOKUP(A1482,[1]wms_iv_f!$A$1:$E$136,4,FALSE),"")</f>
        <v/>
      </c>
      <c r="H1482" s="95" t="str">
        <f>IFERROR(VLOOKUP(A1482,[2]wms_lc_f!$A$1:$B$156,2,FALSE),"")</f>
        <v/>
      </c>
    </row>
    <row r="1483" spans="1:8">
      <c r="A1483" s="71">
        <v>157031</v>
      </c>
      <c r="B1483" s="69" t="s">
        <v>2609</v>
      </c>
      <c r="C1483" s="70" t="s">
        <v>1490</v>
      </c>
      <c r="D1483" s="70" t="s">
        <v>2610</v>
      </c>
      <c r="E1483" s="72">
        <v>1</v>
      </c>
      <c r="F1483" s="70" t="s">
        <v>2612</v>
      </c>
      <c r="G1483" s="70" t="str">
        <f>IFERROR(VLOOKUP(A1483,[1]wms_iv_f!$A$1:$E$136,4,FALSE),"")</f>
        <v/>
      </c>
      <c r="H1483" s="95" t="str">
        <f>IFERROR(VLOOKUP(A1483,[2]wms_lc_f!$A$1:$B$156,2,FALSE),"")</f>
        <v/>
      </c>
    </row>
    <row r="1484" spans="1:8">
      <c r="A1484" s="71">
        <v>140227</v>
      </c>
      <c r="B1484" s="69" t="s">
        <v>2609</v>
      </c>
      <c r="C1484" s="70" t="s">
        <v>1489</v>
      </c>
      <c r="D1484" s="70" t="s">
        <v>2610</v>
      </c>
      <c r="E1484" s="72">
        <v>1</v>
      </c>
      <c r="F1484" s="70" t="s">
        <v>2612</v>
      </c>
      <c r="G1484" s="70" t="str">
        <f>IFERROR(VLOOKUP(A1484,[1]wms_iv_f!$A$1:$E$136,4,FALSE),"")</f>
        <v/>
      </c>
      <c r="H1484" s="95" t="str">
        <f>IFERROR(VLOOKUP(A1484,[2]wms_lc_f!$A$1:$B$156,2,FALSE),"")</f>
        <v/>
      </c>
    </row>
    <row r="1485" spans="1:8">
      <c r="A1485" s="71">
        <v>134289</v>
      </c>
      <c r="B1485" s="69" t="s">
        <v>2609</v>
      </c>
      <c r="C1485" s="70" t="s">
        <v>1488</v>
      </c>
      <c r="D1485" s="70" t="s">
        <v>2610</v>
      </c>
      <c r="E1485" s="72">
        <v>1</v>
      </c>
      <c r="F1485" s="70" t="s">
        <v>2612</v>
      </c>
      <c r="G1485" s="70" t="str">
        <f>IFERROR(VLOOKUP(A1485,[1]wms_iv_f!$A$1:$E$136,4,FALSE),"")</f>
        <v/>
      </c>
      <c r="H1485" s="95" t="str">
        <f>IFERROR(VLOOKUP(A1485,[2]wms_lc_f!$A$1:$B$156,2,FALSE),"")</f>
        <v/>
      </c>
    </row>
    <row r="1486" spans="1:8">
      <c r="A1486" s="71">
        <v>39737</v>
      </c>
      <c r="B1486" s="69" t="s">
        <v>2609</v>
      </c>
      <c r="C1486" s="70" t="s">
        <v>1487</v>
      </c>
      <c r="D1486" s="70" t="s">
        <v>2610</v>
      </c>
      <c r="E1486" s="72">
        <v>1</v>
      </c>
      <c r="F1486" s="70" t="s">
        <v>2612</v>
      </c>
      <c r="G1486" s="70" t="str">
        <f>IFERROR(VLOOKUP(A1486,[1]wms_iv_f!$A$1:$E$136,4,FALSE),"")</f>
        <v/>
      </c>
      <c r="H1486" s="95" t="str">
        <f>IFERROR(VLOOKUP(A1486,[2]wms_lc_f!$A$1:$B$156,2,FALSE),"")</f>
        <v/>
      </c>
    </row>
    <row r="1487" spans="1:8">
      <c r="A1487" s="71">
        <v>99988</v>
      </c>
      <c r="B1487" s="69" t="s">
        <v>2609</v>
      </c>
      <c r="C1487" s="70" t="s">
        <v>1486</v>
      </c>
      <c r="D1487" s="70" t="s">
        <v>2610</v>
      </c>
      <c r="E1487" s="72">
        <v>1</v>
      </c>
      <c r="F1487" s="70" t="s">
        <v>2612</v>
      </c>
      <c r="G1487" s="70" t="str">
        <f>IFERROR(VLOOKUP(A1487,[1]wms_iv_f!$A$1:$E$136,4,FALSE),"")</f>
        <v/>
      </c>
      <c r="H1487" s="95" t="str">
        <f>IFERROR(VLOOKUP(A1487,[2]wms_lc_f!$A$1:$B$156,2,FALSE),"")</f>
        <v/>
      </c>
    </row>
    <row r="1488" spans="1:8">
      <c r="A1488" s="71">
        <v>138812</v>
      </c>
      <c r="B1488" s="69" t="s">
        <v>2609</v>
      </c>
      <c r="C1488" s="70" t="s">
        <v>1485</v>
      </c>
      <c r="D1488" s="70" t="s">
        <v>2610</v>
      </c>
      <c r="E1488" s="72">
        <v>1</v>
      </c>
      <c r="F1488" s="70" t="s">
        <v>2612</v>
      </c>
      <c r="G1488" s="70" t="str">
        <f>IFERROR(VLOOKUP(A1488,[1]wms_iv_f!$A$1:$E$136,4,FALSE),"")</f>
        <v/>
      </c>
      <c r="H1488" s="95" t="str">
        <f>IFERROR(VLOOKUP(A1488,[2]wms_lc_f!$A$1:$B$156,2,FALSE),"")</f>
        <v/>
      </c>
    </row>
    <row r="1489" spans="1:8">
      <c r="A1489" s="71">
        <v>126214</v>
      </c>
      <c r="B1489" s="69" t="s">
        <v>2609</v>
      </c>
      <c r="C1489" s="70" t="s">
        <v>1383</v>
      </c>
      <c r="D1489" s="70" t="s">
        <v>2610</v>
      </c>
      <c r="E1489" s="72">
        <v>1</v>
      </c>
      <c r="F1489" s="70"/>
      <c r="G1489" s="70" t="str">
        <f>IFERROR(VLOOKUP(A1489,[1]wms_iv_f!$A$1:$E$136,4,FALSE),"")</f>
        <v/>
      </c>
      <c r="H1489" s="95" t="str">
        <f>IFERROR(VLOOKUP(A1489,[2]wms_lc_f!$A$1:$B$156,2,FALSE),"")</f>
        <v/>
      </c>
    </row>
    <row r="1490" spans="1:8">
      <c r="A1490" s="71">
        <v>1494</v>
      </c>
      <c r="B1490" s="69" t="s">
        <v>2609</v>
      </c>
      <c r="C1490" s="70" t="s">
        <v>1382</v>
      </c>
      <c r="D1490" s="70" t="s">
        <v>2610</v>
      </c>
      <c r="E1490" s="72">
        <v>1</v>
      </c>
      <c r="F1490" s="70"/>
      <c r="G1490" s="70" t="str">
        <f>IFERROR(VLOOKUP(A1490,[1]wms_iv_f!$A$1:$E$136,4,FALSE),"")</f>
        <v/>
      </c>
      <c r="H1490" s="95" t="str">
        <f>IFERROR(VLOOKUP(A1490,[2]wms_lc_f!$A$1:$B$156,2,FALSE),"")</f>
        <v/>
      </c>
    </row>
    <row r="1491" spans="1:8">
      <c r="A1491" s="71">
        <v>141171</v>
      </c>
      <c r="B1491" s="69" t="s">
        <v>2609</v>
      </c>
      <c r="C1491" s="70" t="s">
        <v>1381</v>
      </c>
      <c r="D1491" s="70" t="s">
        <v>2610</v>
      </c>
      <c r="E1491" s="72">
        <v>1</v>
      </c>
      <c r="F1491" s="70"/>
      <c r="G1491" s="70" t="str">
        <f>IFERROR(VLOOKUP(A1491,[1]wms_iv_f!$A$1:$E$136,4,FALSE),"")</f>
        <v/>
      </c>
      <c r="H1491" s="95" t="str">
        <f>IFERROR(VLOOKUP(A1491,[2]wms_lc_f!$A$1:$B$156,2,FALSE),"")</f>
        <v/>
      </c>
    </row>
    <row r="1492" spans="1:8">
      <c r="A1492" s="71">
        <v>155727</v>
      </c>
      <c r="B1492" s="69" t="s">
        <v>2609</v>
      </c>
      <c r="C1492" s="70" t="s">
        <v>1380</v>
      </c>
      <c r="D1492" s="70" t="s">
        <v>2610</v>
      </c>
      <c r="E1492" s="72">
        <v>1</v>
      </c>
      <c r="F1492" s="70"/>
      <c r="G1492" s="70" t="str">
        <f>IFERROR(VLOOKUP(A1492,[1]wms_iv_f!$A$1:$E$136,4,FALSE),"")</f>
        <v/>
      </c>
      <c r="H1492" s="95" t="str">
        <f>IFERROR(VLOOKUP(A1492,[2]wms_lc_f!$A$1:$B$156,2,FALSE),"")</f>
        <v/>
      </c>
    </row>
    <row r="1493" spans="1:8">
      <c r="A1493" s="71">
        <v>155724</v>
      </c>
      <c r="B1493" s="69" t="s">
        <v>2609</v>
      </c>
      <c r="C1493" s="70" t="s">
        <v>1379</v>
      </c>
      <c r="D1493" s="70" t="s">
        <v>2610</v>
      </c>
      <c r="E1493" s="72">
        <v>1</v>
      </c>
      <c r="F1493" s="70"/>
      <c r="G1493" s="70" t="str">
        <f>IFERROR(VLOOKUP(A1493,[1]wms_iv_f!$A$1:$E$136,4,FALSE),"")</f>
        <v/>
      </c>
      <c r="H1493" s="95" t="str">
        <f>IFERROR(VLOOKUP(A1493,[2]wms_lc_f!$A$1:$B$156,2,FALSE),"")</f>
        <v/>
      </c>
    </row>
    <row r="1494" spans="1:8">
      <c r="A1494" s="71">
        <v>7800</v>
      </c>
      <c r="B1494" s="69" t="s">
        <v>2609</v>
      </c>
      <c r="C1494" s="70" t="s">
        <v>1378</v>
      </c>
      <c r="D1494" s="70" t="s">
        <v>2610</v>
      </c>
      <c r="E1494" s="72">
        <v>1</v>
      </c>
      <c r="F1494" s="70"/>
      <c r="G1494" s="70" t="str">
        <f>IFERROR(VLOOKUP(A1494,[1]wms_iv_f!$A$1:$E$136,4,FALSE),"")</f>
        <v/>
      </c>
      <c r="H1494" s="95" t="str">
        <f>IFERROR(VLOOKUP(A1494,[2]wms_lc_f!$A$1:$B$156,2,FALSE),"")</f>
        <v/>
      </c>
    </row>
    <row r="1495" spans="1:8">
      <c r="A1495" s="71">
        <v>138853</v>
      </c>
      <c r="B1495" s="69" t="s">
        <v>2609</v>
      </c>
      <c r="C1495" s="70" t="s">
        <v>1590</v>
      </c>
      <c r="D1495" s="70" t="s">
        <v>2610</v>
      </c>
      <c r="E1495" s="72">
        <v>1</v>
      </c>
      <c r="F1495" s="70"/>
      <c r="G1495" s="70" t="str">
        <f>IFERROR(VLOOKUP(A1495,[1]wms_iv_f!$A$1:$E$136,4,FALSE),"")</f>
        <v/>
      </c>
      <c r="H1495" s="95" t="str">
        <f>IFERROR(VLOOKUP(A1495,[2]wms_lc_f!$A$1:$B$156,2,FALSE),"")</f>
        <v/>
      </c>
    </row>
    <row r="1496" spans="1:8">
      <c r="A1496" s="71">
        <v>35372</v>
      </c>
      <c r="B1496" s="69" t="s">
        <v>2609</v>
      </c>
      <c r="C1496" s="70" t="s">
        <v>1589</v>
      </c>
      <c r="D1496" s="70" t="s">
        <v>2610</v>
      </c>
      <c r="E1496" s="72">
        <v>1</v>
      </c>
      <c r="F1496" s="70"/>
      <c r="G1496" s="70" t="str">
        <f>IFERROR(VLOOKUP(A1496,[1]wms_iv_f!$A$1:$E$136,4,FALSE),"")</f>
        <v/>
      </c>
      <c r="H1496" s="95" t="str">
        <f>IFERROR(VLOOKUP(A1496,[2]wms_lc_f!$A$1:$B$156,2,FALSE),"")</f>
        <v/>
      </c>
    </row>
    <row r="1497" spans="1:8">
      <c r="A1497" s="71">
        <v>35123</v>
      </c>
      <c r="B1497" s="69" t="s">
        <v>2609</v>
      </c>
      <c r="C1497" s="70" t="s">
        <v>1588</v>
      </c>
      <c r="D1497" s="70" t="s">
        <v>2610</v>
      </c>
      <c r="E1497" s="72">
        <v>1</v>
      </c>
      <c r="F1497" s="70"/>
      <c r="G1497" s="70" t="str">
        <f>IFERROR(VLOOKUP(A1497,[1]wms_iv_f!$A$1:$E$136,4,FALSE),"")</f>
        <v/>
      </c>
      <c r="H1497" s="95" t="str">
        <f>IFERROR(VLOOKUP(A1497,[2]wms_lc_f!$A$1:$B$156,2,FALSE),"")</f>
        <v/>
      </c>
    </row>
    <row r="1498" spans="1:8">
      <c r="A1498" s="71">
        <v>141170</v>
      </c>
      <c r="B1498" s="69" t="s">
        <v>2609</v>
      </c>
      <c r="C1498" s="70" t="s">
        <v>1587</v>
      </c>
      <c r="D1498" s="70" t="s">
        <v>2610</v>
      </c>
      <c r="E1498" s="72">
        <v>1</v>
      </c>
      <c r="F1498" s="70"/>
      <c r="G1498" s="70" t="str">
        <f>IFERROR(VLOOKUP(A1498,[1]wms_iv_f!$A$1:$E$136,4,FALSE),"")</f>
        <v/>
      </c>
      <c r="H1498" s="95" t="str">
        <f>IFERROR(VLOOKUP(A1498,[2]wms_lc_f!$A$1:$B$156,2,FALSE),"")</f>
        <v/>
      </c>
    </row>
    <row r="1499" spans="1:8">
      <c r="A1499" s="71">
        <v>58563</v>
      </c>
      <c r="B1499" s="69" t="s">
        <v>2609</v>
      </c>
      <c r="C1499" s="70" t="s">
        <v>1586</v>
      </c>
      <c r="D1499" s="70" t="s">
        <v>2610</v>
      </c>
      <c r="E1499" s="72">
        <v>1</v>
      </c>
      <c r="F1499" s="70"/>
      <c r="G1499" s="70" t="str">
        <f>IFERROR(VLOOKUP(A1499,[1]wms_iv_f!$A$1:$E$136,4,FALSE),"")</f>
        <v/>
      </c>
      <c r="H1499" s="95" t="str">
        <f>IFERROR(VLOOKUP(A1499,[2]wms_lc_f!$A$1:$B$156,2,FALSE),"")</f>
        <v/>
      </c>
    </row>
    <row r="1500" spans="1:8">
      <c r="A1500" s="71">
        <v>141169</v>
      </c>
      <c r="B1500" s="69" t="s">
        <v>2609</v>
      </c>
      <c r="C1500" s="70" t="s">
        <v>1585</v>
      </c>
      <c r="D1500" s="70" t="s">
        <v>2610</v>
      </c>
      <c r="E1500" s="72">
        <v>1</v>
      </c>
      <c r="F1500" s="70"/>
      <c r="G1500" s="70" t="str">
        <f>IFERROR(VLOOKUP(A1500,[1]wms_iv_f!$A$1:$E$136,4,FALSE),"")</f>
        <v/>
      </c>
      <c r="H1500" s="95" t="str">
        <f>IFERROR(VLOOKUP(A1500,[2]wms_lc_f!$A$1:$B$156,2,FALSE),"")</f>
        <v/>
      </c>
    </row>
    <row r="1501" spans="1:8">
      <c r="A1501" s="71">
        <v>116633</v>
      </c>
      <c r="B1501" s="69" t="s">
        <v>2609</v>
      </c>
      <c r="C1501" s="70" t="s">
        <v>1484</v>
      </c>
      <c r="D1501" s="70" t="s">
        <v>2610</v>
      </c>
      <c r="E1501" s="72">
        <v>1</v>
      </c>
      <c r="F1501" s="70"/>
      <c r="G1501" s="70" t="str">
        <f>IFERROR(VLOOKUP(A1501,[1]wms_iv_f!$A$1:$E$136,4,FALSE),"")</f>
        <v/>
      </c>
      <c r="H1501" s="95" t="str">
        <f>IFERROR(VLOOKUP(A1501,[2]wms_lc_f!$A$1:$B$156,2,FALSE),"")</f>
        <v/>
      </c>
    </row>
    <row r="1502" spans="1:8">
      <c r="A1502" s="71">
        <v>31518</v>
      </c>
      <c r="B1502" s="69" t="s">
        <v>2609</v>
      </c>
      <c r="C1502" s="70" t="s">
        <v>1483</v>
      </c>
      <c r="D1502" s="70" t="s">
        <v>2610</v>
      </c>
      <c r="E1502" s="72">
        <v>1</v>
      </c>
      <c r="F1502" s="70"/>
      <c r="G1502" s="70" t="str">
        <f>IFERROR(VLOOKUP(A1502,[1]wms_iv_f!$A$1:$E$136,4,FALSE),"")</f>
        <v/>
      </c>
      <c r="H1502" s="95" t="str">
        <f>IFERROR(VLOOKUP(A1502,[2]wms_lc_f!$A$1:$B$156,2,FALSE),"")</f>
        <v/>
      </c>
    </row>
    <row r="1503" spans="1:8">
      <c r="A1503" s="71">
        <v>77272</v>
      </c>
      <c r="B1503" s="69" t="s">
        <v>2609</v>
      </c>
      <c r="C1503" s="70" t="s">
        <v>1482</v>
      </c>
      <c r="D1503" s="70" t="s">
        <v>2610</v>
      </c>
      <c r="E1503" s="72">
        <v>1</v>
      </c>
      <c r="F1503" s="70"/>
      <c r="G1503" s="70" t="str">
        <f>IFERROR(VLOOKUP(A1503,[1]wms_iv_f!$A$1:$E$136,4,FALSE),"")</f>
        <v/>
      </c>
      <c r="H1503" s="95" t="str">
        <f>IFERROR(VLOOKUP(A1503,[2]wms_lc_f!$A$1:$B$156,2,FALSE),"")</f>
        <v>12-118-D1</v>
      </c>
    </row>
    <row r="1504" spans="1:8">
      <c r="A1504" s="71">
        <v>129777</v>
      </c>
      <c r="B1504" s="69" t="s">
        <v>2609</v>
      </c>
      <c r="C1504" s="70" t="s">
        <v>1481</v>
      </c>
      <c r="D1504" s="70" t="s">
        <v>2610</v>
      </c>
      <c r="E1504" s="72">
        <v>1</v>
      </c>
      <c r="F1504" s="70"/>
      <c r="G1504" s="70" t="str">
        <f>IFERROR(VLOOKUP(A1504,[1]wms_iv_f!$A$1:$E$136,4,FALSE),"")</f>
        <v/>
      </c>
      <c r="H1504" s="95" t="str">
        <f>IFERROR(VLOOKUP(A1504,[2]wms_lc_f!$A$1:$B$156,2,FALSE),"")</f>
        <v/>
      </c>
    </row>
    <row r="1505" spans="1:8">
      <c r="A1505" s="71">
        <v>93376</v>
      </c>
      <c r="B1505" s="69" t="s">
        <v>2609</v>
      </c>
      <c r="C1505" s="70" t="s">
        <v>1480</v>
      </c>
      <c r="D1505" s="70" t="s">
        <v>2610</v>
      </c>
      <c r="E1505" s="72">
        <v>1</v>
      </c>
      <c r="F1505" s="70"/>
      <c r="G1505" s="70" t="str">
        <f>IFERROR(VLOOKUP(A1505,[1]wms_iv_f!$A$1:$E$136,4,FALSE),"")</f>
        <v/>
      </c>
      <c r="H1505" s="95" t="str">
        <f>IFERROR(VLOOKUP(A1505,[2]wms_lc_f!$A$1:$B$156,2,FALSE),"")</f>
        <v/>
      </c>
    </row>
    <row r="1506" spans="1:8">
      <c r="A1506" s="71">
        <v>110053</v>
      </c>
      <c r="B1506" s="69" t="s">
        <v>2609</v>
      </c>
      <c r="C1506" s="70" t="s">
        <v>1479</v>
      </c>
      <c r="D1506" s="70" t="s">
        <v>2610</v>
      </c>
      <c r="E1506" s="72">
        <v>1</v>
      </c>
      <c r="F1506" s="70"/>
      <c r="G1506" s="70" t="str">
        <f>IFERROR(VLOOKUP(A1506,[1]wms_iv_f!$A$1:$E$136,4,FALSE),"")</f>
        <v/>
      </c>
      <c r="H1506" s="95" t="str">
        <f>IFERROR(VLOOKUP(A1506,[2]wms_lc_f!$A$1:$B$156,2,FALSE),"")</f>
        <v/>
      </c>
    </row>
    <row r="1507" spans="1:8">
      <c r="A1507" s="71">
        <v>17128</v>
      </c>
      <c r="B1507" s="69" t="s">
        <v>2609</v>
      </c>
      <c r="C1507" s="70" t="s">
        <v>1377</v>
      </c>
      <c r="D1507" s="70" t="s">
        <v>2610</v>
      </c>
      <c r="E1507" s="72">
        <v>1</v>
      </c>
      <c r="F1507" s="70"/>
      <c r="G1507" s="70" t="str">
        <f>IFERROR(VLOOKUP(A1507,[1]wms_iv_f!$A$1:$E$136,4,FALSE),"")</f>
        <v/>
      </c>
      <c r="H1507" s="95" t="str">
        <f>IFERROR(VLOOKUP(A1507,[2]wms_lc_f!$A$1:$B$156,2,FALSE),"")</f>
        <v/>
      </c>
    </row>
    <row r="1508" spans="1:8">
      <c r="A1508" s="71">
        <v>131791</v>
      </c>
      <c r="B1508" s="69" t="s">
        <v>2609</v>
      </c>
      <c r="C1508" s="70" t="s">
        <v>1376</v>
      </c>
      <c r="D1508" s="70" t="s">
        <v>2610</v>
      </c>
      <c r="E1508" s="72">
        <v>1</v>
      </c>
      <c r="F1508" s="70"/>
      <c r="G1508" s="70" t="str">
        <f>IFERROR(VLOOKUP(A1508,[1]wms_iv_f!$A$1:$E$136,4,FALSE),"")</f>
        <v/>
      </c>
      <c r="H1508" s="95" t="str">
        <f>IFERROR(VLOOKUP(A1508,[2]wms_lc_f!$A$1:$B$156,2,FALSE),"")</f>
        <v/>
      </c>
    </row>
    <row r="1509" spans="1:8">
      <c r="A1509" s="71">
        <v>67409</v>
      </c>
      <c r="B1509" s="69" t="s">
        <v>2609</v>
      </c>
      <c r="C1509" s="70" t="s">
        <v>1375</v>
      </c>
      <c r="D1509" s="70" t="s">
        <v>2610</v>
      </c>
      <c r="E1509" s="72">
        <v>1</v>
      </c>
      <c r="F1509" s="70"/>
      <c r="G1509" s="70" t="str">
        <f>IFERROR(VLOOKUP(A1509,[1]wms_iv_f!$A$1:$E$136,4,FALSE),"")</f>
        <v/>
      </c>
      <c r="H1509" s="95" t="str">
        <f>IFERROR(VLOOKUP(A1509,[2]wms_lc_f!$A$1:$B$156,2,FALSE),"")</f>
        <v/>
      </c>
    </row>
    <row r="1510" spans="1:8">
      <c r="A1510" s="71">
        <v>67410</v>
      </c>
      <c r="B1510" s="69" t="s">
        <v>2609</v>
      </c>
      <c r="C1510" s="70" t="s">
        <v>1374</v>
      </c>
      <c r="D1510" s="70" t="s">
        <v>2610</v>
      </c>
      <c r="E1510" s="72">
        <v>1</v>
      </c>
      <c r="F1510" s="70"/>
      <c r="G1510" s="70" t="str">
        <f>IFERROR(VLOOKUP(A1510,[1]wms_iv_f!$A$1:$E$136,4,FALSE),"")</f>
        <v/>
      </c>
      <c r="H1510" s="95" t="str">
        <f>IFERROR(VLOOKUP(A1510,[2]wms_lc_f!$A$1:$B$156,2,FALSE),"")</f>
        <v/>
      </c>
    </row>
    <row r="1511" spans="1:8">
      <c r="A1511" s="71">
        <v>123389</v>
      </c>
      <c r="B1511" s="69" t="s">
        <v>2609</v>
      </c>
      <c r="C1511" s="70" t="s">
        <v>1373</v>
      </c>
      <c r="D1511" s="70" t="s">
        <v>2610</v>
      </c>
      <c r="E1511" s="72">
        <v>1</v>
      </c>
      <c r="F1511" s="70"/>
      <c r="G1511" s="70" t="str">
        <f>IFERROR(VLOOKUP(A1511,[1]wms_iv_f!$A$1:$E$136,4,FALSE),"")</f>
        <v/>
      </c>
      <c r="H1511" s="95" t="str">
        <f>IFERROR(VLOOKUP(A1511,[2]wms_lc_f!$A$1:$B$156,2,FALSE),"")</f>
        <v/>
      </c>
    </row>
    <row r="1512" spans="1:8">
      <c r="A1512" s="71">
        <v>32440</v>
      </c>
      <c r="B1512" s="69" t="s">
        <v>2609</v>
      </c>
      <c r="C1512" s="70" t="s">
        <v>1372</v>
      </c>
      <c r="D1512" s="70" t="s">
        <v>2610</v>
      </c>
      <c r="E1512" s="72">
        <v>1</v>
      </c>
      <c r="F1512" s="70"/>
      <c r="G1512" s="70" t="str">
        <f>IFERROR(VLOOKUP(A1512,[1]wms_iv_f!$A$1:$E$136,4,FALSE),"")</f>
        <v/>
      </c>
      <c r="H1512" s="95" t="str">
        <f>IFERROR(VLOOKUP(A1512,[2]wms_lc_f!$A$1:$B$156,2,FALSE),"")</f>
        <v/>
      </c>
    </row>
    <row r="1513" spans="1:8">
      <c r="A1513" s="71">
        <v>138953</v>
      </c>
      <c r="B1513" s="69" t="s">
        <v>2609</v>
      </c>
      <c r="C1513" s="70" t="s">
        <v>1584</v>
      </c>
      <c r="D1513" s="70" t="s">
        <v>2610</v>
      </c>
      <c r="E1513" s="72">
        <v>1</v>
      </c>
      <c r="F1513" s="70"/>
      <c r="G1513" s="70" t="str">
        <f>IFERROR(VLOOKUP(A1513,[1]wms_iv_f!$A$1:$E$136,4,FALSE),"")</f>
        <v/>
      </c>
      <c r="H1513" s="95" t="str">
        <f>IFERROR(VLOOKUP(A1513,[2]wms_lc_f!$A$1:$B$156,2,FALSE),"")</f>
        <v/>
      </c>
    </row>
    <row r="1514" spans="1:8">
      <c r="A1514" s="71">
        <v>108436</v>
      </c>
      <c r="B1514" s="69" t="s">
        <v>2609</v>
      </c>
      <c r="C1514" s="70" t="s">
        <v>1583</v>
      </c>
      <c r="D1514" s="70" t="s">
        <v>2610</v>
      </c>
      <c r="E1514" s="72">
        <v>1</v>
      </c>
      <c r="F1514" s="70"/>
      <c r="G1514" s="70" t="str">
        <f>IFERROR(VLOOKUP(A1514,[1]wms_iv_f!$A$1:$E$136,4,FALSE),"")</f>
        <v/>
      </c>
      <c r="H1514" s="95" t="str">
        <f>IFERROR(VLOOKUP(A1514,[2]wms_lc_f!$A$1:$B$156,2,FALSE),"")</f>
        <v/>
      </c>
    </row>
    <row r="1515" spans="1:8">
      <c r="A1515" s="71">
        <v>108191</v>
      </c>
      <c r="B1515" s="69" t="s">
        <v>2609</v>
      </c>
      <c r="C1515" s="70" t="s">
        <v>1582</v>
      </c>
      <c r="D1515" s="70" t="s">
        <v>2610</v>
      </c>
      <c r="E1515" s="72">
        <v>1</v>
      </c>
      <c r="F1515" s="70"/>
      <c r="G1515" s="70" t="str">
        <f>IFERROR(VLOOKUP(A1515,[1]wms_iv_f!$A$1:$E$136,4,FALSE),"")</f>
        <v/>
      </c>
      <c r="H1515" s="95" t="str">
        <f>IFERROR(VLOOKUP(A1515,[2]wms_lc_f!$A$1:$B$156,2,FALSE),"")</f>
        <v/>
      </c>
    </row>
    <row r="1516" spans="1:8">
      <c r="A1516" s="71">
        <v>138810</v>
      </c>
      <c r="B1516" s="69" t="s">
        <v>2609</v>
      </c>
      <c r="C1516" s="70" t="s">
        <v>1581</v>
      </c>
      <c r="D1516" s="70" t="s">
        <v>2610</v>
      </c>
      <c r="E1516" s="72">
        <v>1</v>
      </c>
      <c r="F1516" s="70"/>
      <c r="G1516" s="70" t="str">
        <f>IFERROR(VLOOKUP(A1516,[1]wms_iv_f!$A$1:$E$136,4,FALSE),"")</f>
        <v/>
      </c>
      <c r="H1516" s="95" t="str">
        <f>IFERROR(VLOOKUP(A1516,[2]wms_lc_f!$A$1:$B$156,2,FALSE),"")</f>
        <v/>
      </c>
    </row>
    <row r="1517" spans="1:8">
      <c r="A1517" s="71">
        <v>105914</v>
      </c>
      <c r="B1517" s="69" t="s">
        <v>2609</v>
      </c>
      <c r="C1517" s="70" t="s">
        <v>1580</v>
      </c>
      <c r="D1517" s="70" t="s">
        <v>2610</v>
      </c>
      <c r="E1517" s="72">
        <v>1</v>
      </c>
      <c r="F1517" s="70"/>
      <c r="G1517" s="70" t="str">
        <f>IFERROR(VLOOKUP(A1517,[1]wms_iv_f!$A$1:$E$136,4,FALSE),"")</f>
        <v/>
      </c>
      <c r="H1517" s="95" t="str">
        <f>IFERROR(VLOOKUP(A1517,[2]wms_lc_f!$A$1:$B$156,2,FALSE),"")</f>
        <v/>
      </c>
    </row>
    <row r="1518" spans="1:8">
      <c r="A1518" s="71">
        <v>1112</v>
      </c>
      <c r="B1518" s="69" t="s">
        <v>2609</v>
      </c>
      <c r="C1518" s="70" t="s">
        <v>1579</v>
      </c>
      <c r="D1518" s="70" t="s">
        <v>2610</v>
      </c>
      <c r="E1518" s="72">
        <v>1</v>
      </c>
      <c r="F1518" s="70"/>
      <c r="G1518" s="70" t="str">
        <f>IFERROR(VLOOKUP(A1518,[1]wms_iv_f!$A$1:$E$136,4,FALSE),"")</f>
        <v/>
      </c>
      <c r="H1518" s="95" t="str">
        <f>IFERROR(VLOOKUP(A1518,[2]wms_lc_f!$A$1:$B$156,2,FALSE),"")</f>
        <v/>
      </c>
    </row>
    <row r="1519" spans="1:8">
      <c r="A1519" s="71">
        <v>142657</v>
      </c>
      <c r="B1519" s="69" t="s">
        <v>2609</v>
      </c>
      <c r="C1519" s="70" t="s">
        <v>1478</v>
      </c>
      <c r="D1519" s="70" t="s">
        <v>2610</v>
      </c>
      <c r="E1519" s="72">
        <v>1</v>
      </c>
      <c r="F1519" s="70"/>
      <c r="G1519" s="70" t="str">
        <f>IFERROR(VLOOKUP(A1519,[1]wms_iv_f!$A$1:$E$136,4,FALSE),"")</f>
        <v/>
      </c>
      <c r="H1519" s="95" t="str">
        <f>IFERROR(VLOOKUP(A1519,[2]wms_lc_f!$A$1:$B$156,2,FALSE),"")</f>
        <v/>
      </c>
    </row>
    <row r="1520" spans="1:8">
      <c r="A1520" s="71">
        <v>132828</v>
      </c>
      <c r="B1520" s="69" t="s">
        <v>2609</v>
      </c>
      <c r="C1520" s="70" t="s">
        <v>1477</v>
      </c>
      <c r="D1520" s="70" t="s">
        <v>2610</v>
      </c>
      <c r="E1520" s="72">
        <v>1</v>
      </c>
      <c r="F1520" s="70"/>
      <c r="G1520" s="70" t="str">
        <f>IFERROR(VLOOKUP(A1520,[1]wms_iv_f!$A$1:$E$136,4,FALSE),"")</f>
        <v/>
      </c>
      <c r="H1520" s="95" t="str">
        <f>IFERROR(VLOOKUP(A1520,[2]wms_lc_f!$A$1:$B$156,2,FALSE),"")</f>
        <v/>
      </c>
    </row>
    <row r="1521" spans="1:8">
      <c r="A1521" s="71">
        <v>118326</v>
      </c>
      <c r="B1521" s="69" t="s">
        <v>2609</v>
      </c>
      <c r="C1521" s="70" t="s">
        <v>1476</v>
      </c>
      <c r="D1521" s="70" t="s">
        <v>2610</v>
      </c>
      <c r="E1521" s="72">
        <v>1</v>
      </c>
      <c r="F1521" s="70"/>
      <c r="G1521" s="70" t="str">
        <f>IFERROR(VLOOKUP(A1521,[1]wms_iv_f!$A$1:$E$136,4,FALSE),"")</f>
        <v/>
      </c>
      <c r="H1521" s="95" t="str">
        <f>IFERROR(VLOOKUP(A1521,[2]wms_lc_f!$A$1:$B$156,2,FALSE),"")</f>
        <v/>
      </c>
    </row>
    <row r="1522" spans="1:8">
      <c r="A1522" s="71">
        <v>132825</v>
      </c>
      <c r="B1522" s="69" t="s">
        <v>2609</v>
      </c>
      <c r="C1522" s="70" t="s">
        <v>1475</v>
      </c>
      <c r="D1522" s="70" t="s">
        <v>2610</v>
      </c>
      <c r="E1522" s="72">
        <v>1</v>
      </c>
      <c r="F1522" s="70"/>
      <c r="G1522" s="70" t="str">
        <f>IFERROR(VLOOKUP(A1522,[1]wms_iv_f!$A$1:$E$136,4,FALSE),"")</f>
        <v/>
      </c>
      <c r="H1522" s="95" t="str">
        <f>IFERROR(VLOOKUP(A1522,[2]wms_lc_f!$A$1:$B$156,2,FALSE),"")</f>
        <v/>
      </c>
    </row>
    <row r="1523" spans="1:8">
      <c r="A1523" s="71">
        <v>100660</v>
      </c>
      <c r="B1523" s="69" t="s">
        <v>2609</v>
      </c>
      <c r="C1523" s="70" t="s">
        <v>1474</v>
      </c>
      <c r="D1523" s="70" t="s">
        <v>2610</v>
      </c>
      <c r="E1523" s="72">
        <v>1</v>
      </c>
      <c r="F1523" s="70"/>
      <c r="G1523" s="70" t="str">
        <f>IFERROR(VLOOKUP(A1523,[1]wms_iv_f!$A$1:$E$136,4,FALSE),"")</f>
        <v/>
      </c>
      <c r="H1523" s="95" t="str">
        <f>IFERROR(VLOOKUP(A1523,[2]wms_lc_f!$A$1:$B$156,2,FALSE),"")</f>
        <v/>
      </c>
    </row>
    <row r="1524" spans="1:8">
      <c r="A1524" s="71">
        <v>132829</v>
      </c>
      <c r="B1524" s="69" t="s">
        <v>2609</v>
      </c>
      <c r="C1524" s="70" t="s">
        <v>1473</v>
      </c>
      <c r="D1524" s="70" t="s">
        <v>2610</v>
      </c>
      <c r="E1524" s="72">
        <v>1</v>
      </c>
      <c r="F1524" s="70"/>
      <c r="G1524" s="70" t="str">
        <f>IFERROR(VLOOKUP(A1524,[1]wms_iv_f!$A$1:$E$136,4,FALSE),"")</f>
        <v/>
      </c>
      <c r="H1524" s="95" t="str">
        <f>IFERROR(VLOOKUP(A1524,[2]wms_lc_f!$A$1:$B$156,2,FALSE),"")</f>
        <v/>
      </c>
    </row>
    <row r="1525" spans="1:8">
      <c r="A1525" s="71">
        <v>96718</v>
      </c>
      <c r="B1525" s="69" t="s">
        <v>2609</v>
      </c>
      <c r="C1525" s="70" t="s">
        <v>1371</v>
      </c>
      <c r="D1525" s="70" t="s">
        <v>2610</v>
      </c>
      <c r="E1525" s="72">
        <v>1</v>
      </c>
      <c r="F1525" s="70"/>
      <c r="G1525" s="70" t="str">
        <f>IFERROR(VLOOKUP(A1525,[1]wms_iv_f!$A$1:$E$136,4,FALSE),"")</f>
        <v/>
      </c>
      <c r="H1525" s="95" t="str">
        <f>IFERROR(VLOOKUP(A1525,[2]wms_lc_f!$A$1:$B$156,2,FALSE),"")</f>
        <v/>
      </c>
    </row>
    <row r="1526" spans="1:8">
      <c r="A1526" s="71">
        <v>112804</v>
      </c>
      <c r="B1526" s="69" t="s">
        <v>2609</v>
      </c>
      <c r="C1526" s="70" t="s">
        <v>1370</v>
      </c>
      <c r="D1526" s="70" t="s">
        <v>2610</v>
      </c>
      <c r="E1526" s="72">
        <v>1</v>
      </c>
      <c r="F1526" s="70"/>
      <c r="G1526" s="70" t="str">
        <f>IFERROR(VLOOKUP(A1526,[1]wms_iv_f!$A$1:$E$136,4,FALSE),"")</f>
        <v/>
      </c>
      <c r="H1526" s="95" t="str">
        <f>IFERROR(VLOOKUP(A1526,[2]wms_lc_f!$A$1:$B$156,2,FALSE),"")</f>
        <v/>
      </c>
    </row>
    <row r="1527" spans="1:8">
      <c r="A1527" s="71">
        <v>143546</v>
      </c>
      <c r="B1527" s="69" t="s">
        <v>2609</v>
      </c>
      <c r="C1527" s="70" t="s">
        <v>1369</v>
      </c>
      <c r="D1527" s="70" t="s">
        <v>2610</v>
      </c>
      <c r="E1527" s="72">
        <v>1</v>
      </c>
      <c r="F1527" s="70"/>
      <c r="G1527" s="70" t="str">
        <f>IFERROR(VLOOKUP(A1527,[1]wms_iv_f!$A$1:$E$136,4,FALSE),"")</f>
        <v/>
      </c>
      <c r="H1527" s="95" t="str">
        <f>IFERROR(VLOOKUP(A1527,[2]wms_lc_f!$A$1:$B$156,2,FALSE),"")</f>
        <v/>
      </c>
    </row>
    <row r="1528" spans="1:8">
      <c r="A1528" s="73">
        <v>89242</v>
      </c>
      <c r="B1528" s="69" t="s">
        <v>2609</v>
      </c>
      <c r="C1528" s="74" t="s">
        <v>1368</v>
      </c>
      <c r="D1528" s="74" t="s">
        <v>2610</v>
      </c>
      <c r="E1528" s="79">
        <v>1</v>
      </c>
      <c r="F1528" s="74"/>
      <c r="G1528" s="70" t="str">
        <f>IFERROR(VLOOKUP(A1528,[1]wms_iv_f!$A$1:$E$136,4,FALSE),"")</f>
        <v/>
      </c>
      <c r="H1528" s="95" t="str">
        <f>IFERROR(VLOOKUP(A1528,[2]wms_lc_f!$A$1:$B$156,2,FALSE),"")</f>
        <v/>
      </c>
    </row>
    <row r="1529" spans="1:8">
      <c r="A1529" s="69">
        <v>5589</v>
      </c>
      <c r="B1529" s="69" t="s">
        <v>2609</v>
      </c>
      <c r="C1529" s="70" t="s">
        <v>1367</v>
      </c>
      <c r="D1529" s="70" t="s">
        <v>2610</v>
      </c>
      <c r="E1529" s="72">
        <v>1</v>
      </c>
      <c r="F1529" s="70"/>
      <c r="G1529" s="70" t="str">
        <f>IFERROR(VLOOKUP(A1529,[1]wms_iv_f!$A$1:$E$136,4,FALSE),"")</f>
        <v/>
      </c>
      <c r="H1529" s="95" t="str">
        <f>IFERROR(VLOOKUP(A1529,[2]wms_lc_f!$A$1:$B$156,2,FALSE),"")</f>
        <v/>
      </c>
    </row>
    <row r="1530" spans="1:8">
      <c r="A1530" s="69">
        <v>94128</v>
      </c>
      <c r="B1530" s="69" t="s">
        <v>2609</v>
      </c>
      <c r="C1530" s="70" t="s">
        <v>1366</v>
      </c>
      <c r="D1530" s="70" t="s">
        <v>2610</v>
      </c>
      <c r="E1530" s="72">
        <v>1</v>
      </c>
      <c r="F1530" s="70"/>
      <c r="G1530" s="70" t="str">
        <f>IFERROR(VLOOKUP(A1530,[1]wms_iv_f!$A$1:$E$136,4,FALSE),"")</f>
        <v/>
      </c>
      <c r="H1530" s="95" t="str">
        <f>IFERROR(VLOOKUP(A1530,[2]wms_lc_f!$A$1:$B$156,2,FALSE),"")</f>
        <v/>
      </c>
    </row>
    <row r="1531" spans="1:8">
      <c r="A1531" s="69">
        <v>115499</v>
      </c>
      <c r="B1531" s="69" t="s">
        <v>2609</v>
      </c>
      <c r="C1531" s="70" t="s">
        <v>1572</v>
      </c>
      <c r="D1531" s="70" t="s">
        <v>2610</v>
      </c>
      <c r="E1531" s="72">
        <v>1</v>
      </c>
      <c r="F1531" s="70"/>
      <c r="G1531" s="70" t="str">
        <f>IFERROR(VLOOKUP(A1531,[1]wms_iv_f!$A$1:$E$136,4,FALSE),"")</f>
        <v/>
      </c>
      <c r="H1531" s="95" t="str">
        <f>IFERROR(VLOOKUP(A1531,[2]wms_lc_f!$A$1:$B$156,2,FALSE),"")</f>
        <v/>
      </c>
    </row>
    <row r="1532" spans="1:8">
      <c r="A1532" s="68">
        <v>86224</v>
      </c>
      <c r="B1532" s="69" t="s">
        <v>2609</v>
      </c>
      <c r="C1532" s="76" t="s">
        <v>1571</v>
      </c>
      <c r="D1532" s="76" t="s">
        <v>2610</v>
      </c>
      <c r="E1532" s="80">
        <v>1</v>
      </c>
      <c r="F1532" s="76"/>
      <c r="G1532" s="70" t="str">
        <f>IFERROR(VLOOKUP(A1532,[1]wms_iv_f!$A$1:$E$136,4,FALSE),"")</f>
        <v/>
      </c>
      <c r="H1532" s="95" t="str">
        <f>IFERROR(VLOOKUP(A1532,[2]wms_lc_f!$A$1:$B$156,2,FALSE),"")</f>
        <v/>
      </c>
    </row>
    <row r="1533" spans="1:8">
      <c r="A1533" s="71">
        <v>47676</v>
      </c>
      <c r="B1533" s="69" t="s">
        <v>2609</v>
      </c>
      <c r="C1533" s="70" t="s">
        <v>1570</v>
      </c>
      <c r="D1533" s="70" t="s">
        <v>2610</v>
      </c>
      <c r="E1533" s="72">
        <v>1</v>
      </c>
      <c r="F1533" s="70"/>
      <c r="G1533" s="70" t="str">
        <f>IFERROR(VLOOKUP(A1533,[1]wms_iv_f!$A$1:$E$136,4,FALSE),"")</f>
        <v/>
      </c>
      <c r="H1533" s="95" t="str">
        <f>IFERROR(VLOOKUP(A1533,[2]wms_lc_f!$A$1:$B$156,2,FALSE),"")</f>
        <v/>
      </c>
    </row>
    <row r="1534" spans="1:8">
      <c r="A1534" s="71">
        <v>128281</v>
      </c>
      <c r="B1534" s="69" t="s">
        <v>2609</v>
      </c>
      <c r="C1534" s="70" t="s">
        <v>1569</v>
      </c>
      <c r="D1534" s="70" t="s">
        <v>2610</v>
      </c>
      <c r="E1534" s="72">
        <v>1</v>
      </c>
      <c r="F1534" s="70"/>
      <c r="G1534" s="70" t="str">
        <f>IFERROR(VLOOKUP(A1534,[1]wms_iv_f!$A$1:$E$136,4,FALSE),"")</f>
        <v/>
      </c>
      <c r="H1534" s="95" t="str">
        <f>IFERROR(VLOOKUP(A1534,[2]wms_lc_f!$A$1:$B$156,2,FALSE),"")</f>
        <v/>
      </c>
    </row>
    <row r="1535" spans="1:8">
      <c r="A1535" s="71">
        <v>31007</v>
      </c>
      <c r="B1535" s="69" t="s">
        <v>2609</v>
      </c>
      <c r="C1535" s="70" t="s">
        <v>1568</v>
      </c>
      <c r="D1535" s="70" t="s">
        <v>2610</v>
      </c>
      <c r="E1535" s="72">
        <v>1</v>
      </c>
      <c r="F1535" s="70"/>
      <c r="G1535" s="70" t="str">
        <f>IFERROR(VLOOKUP(A1535,[1]wms_iv_f!$A$1:$E$136,4,FALSE),"")</f>
        <v/>
      </c>
      <c r="H1535" s="95" t="str">
        <f>IFERROR(VLOOKUP(A1535,[2]wms_lc_f!$A$1:$B$156,2,FALSE),"")</f>
        <v/>
      </c>
    </row>
    <row r="1536" spans="1:8">
      <c r="A1536" s="71">
        <v>108958</v>
      </c>
      <c r="B1536" s="69" t="s">
        <v>2609</v>
      </c>
      <c r="C1536" s="70" t="s">
        <v>1567</v>
      </c>
      <c r="D1536" s="70" t="s">
        <v>2610</v>
      </c>
      <c r="E1536" s="72">
        <v>1</v>
      </c>
      <c r="F1536" s="70"/>
      <c r="G1536" s="70" t="str">
        <f>IFERROR(VLOOKUP(A1536,[1]wms_iv_f!$A$1:$E$136,4,FALSE),"")</f>
        <v/>
      </c>
      <c r="H1536" s="95" t="str">
        <f>IFERROR(VLOOKUP(A1536,[2]wms_lc_f!$A$1:$B$156,2,FALSE),"")</f>
        <v/>
      </c>
    </row>
    <row r="1537" spans="1:8">
      <c r="A1537" s="71">
        <v>141322</v>
      </c>
      <c r="B1537" s="69" t="s">
        <v>2609</v>
      </c>
      <c r="C1537" s="70" t="s">
        <v>1466</v>
      </c>
      <c r="D1537" s="70" t="s">
        <v>2610</v>
      </c>
      <c r="E1537" s="72">
        <v>1</v>
      </c>
      <c r="F1537" s="70"/>
      <c r="G1537" s="70" t="str">
        <f>IFERROR(VLOOKUP(A1537,[1]wms_iv_f!$A$1:$E$136,4,FALSE),"")</f>
        <v/>
      </c>
      <c r="H1537" s="95" t="str">
        <f>IFERROR(VLOOKUP(A1537,[2]wms_lc_f!$A$1:$B$156,2,FALSE),"")</f>
        <v/>
      </c>
    </row>
    <row r="1538" spans="1:8">
      <c r="A1538" s="71">
        <v>156271</v>
      </c>
      <c r="B1538" s="69" t="s">
        <v>2609</v>
      </c>
      <c r="C1538" s="70" t="s">
        <v>1465</v>
      </c>
      <c r="D1538" s="70" t="s">
        <v>2610</v>
      </c>
      <c r="E1538" s="72">
        <v>1</v>
      </c>
      <c r="F1538" s="70"/>
      <c r="G1538" s="70" t="str">
        <f>IFERROR(VLOOKUP(A1538,[1]wms_iv_f!$A$1:$E$136,4,FALSE),"")</f>
        <v/>
      </c>
      <c r="H1538" s="95" t="str">
        <f>IFERROR(VLOOKUP(A1538,[2]wms_lc_f!$A$1:$B$156,2,FALSE),"")</f>
        <v/>
      </c>
    </row>
    <row r="1539" spans="1:8">
      <c r="A1539" s="71">
        <v>60638</v>
      </c>
      <c r="B1539" s="69" t="s">
        <v>2609</v>
      </c>
      <c r="C1539" s="70" t="s">
        <v>1464</v>
      </c>
      <c r="D1539" s="70" t="s">
        <v>2610</v>
      </c>
      <c r="E1539" s="72">
        <v>1</v>
      </c>
      <c r="F1539" s="70"/>
      <c r="G1539" s="70" t="str">
        <f>IFERROR(VLOOKUP(A1539,[1]wms_iv_f!$A$1:$E$136,4,FALSE),"")</f>
        <v/>
      </c>
      <c r="H1539" s="95" t="str">
        <f>IFERROR(VLOOKUP(A1539,[2]wms_lc_f!$A$1:$B$156,2,FALSE),"")</f>
        <v/>
      </c>
    </row>
    <row r="1540" spans="1:8">
      <c r="A1540" s="71">
        <v>142255</v>
      </c>
      <c r="B1540" s="69" t="s">
        <v>2609</v>
      </c>
      <c r="C1540" s="70" t="s">
        <v>1463</v>
      </c>
      <c r="D1540" s="70" t="s">
        <v>2610</v>
      </c>
      <c r="E1540" s="72">
        <v>1</v>
      </c>
      <c r="F1540" s="70"/>
      <c r="G1540" s="70" t="str">
        <f>IFERROR(VLOOKUP(A1540,[1]wms_iv_f!$A$1:$E$136,4,FALSE),"")</f>
        <v/>
      </c>
      <c r="H1540" s="95" t="str">
        <f>IFERROR(VLOOKUP(A1540,[2]wms_lc_f!$A$1:$B$156,2,FALSE),"")</f>
        <v/>
      </c>
    </row>
    <row r="1541" spans="1:8">
      <c r="A1541" s="71">
        <v>140577</v>
      </c>
      <c r="B1541" s="69" t="s">
        <v>2609</v>
      </c>
      <c r="C1541" s="70" t="s">
        <v>1462</v>
      </c>
      <c r="D1541" s="70" t="s">
        <v>2610</v>
      </c>
      <c r="E1541" s="72">
        <v>1</v>
      </c>
      <c r="F1541" s="70"/>
      <c r="G1541" s="70" t="str">
        <f>IFERROR(VLOOKUP(A1541,[1]wms_iv_f!$A$1:$E$136,4,FALSE),"")</f>
        <v/>
      </c>
      <c r="H1541" s="95" t="str">
        <f>IFERROR(VLOOKUP(A1541,[2]wms_lc_f!$A$1:$B$156,2,FALSE),"")</f>
        <v/>
      </c>
    </row>
    <row r="1542" spans="1:8">
      <c r="A1542" s="71">
        <v>143143</v>
      </c>
      <c r="B1542" s="69" t="s">
        <v>2609</v>
      </c>
      <c r="C1542" s="70" t="s">
        <v>1461</v>
      </c>
      <c r="D1542" s="70" t="s">
        <v>2610</v>
      </c>
      <c r="E1542" s="72">
        <v>1</v>
      </c>
      <c r="F1542" s="70"/>
      <c r="G1542" s="70" t="str">
        <f>IFERROR(VLOOKUP(A1542,[1]wms_iv_f!$A$1:$E$136,4,FALSE),"")</f>
        <v/>
      </c>
      <c r="H1542" s="95" t="str">
        <f>IFERROR(VLOOKUP(A1542,[2]wms_lc_f!$A$1:$B$156,2,FALSE),"")</f>
        <v/>
      </c>
    </row>
    <row r="1543" spans="1:8">
      <c r="A1543" s="71">
        <v>9720</v>
      </c>
      <c r="B1543" s="69" t="s">
        <v>2609</v>
      </c>
      <c r="C1543" s="70" t="s">
        <v>1359</v>
      </c>
      <c r="D1543" s="70" t="s">
        <v>2610</v>
      </c>
      <c r="E1543" s="72">
        <v>1</v>
      </c>
      <c r="F1543" s="70"/>
      <c r="G1543" s="70" t="str">
        <f>IFERROR(VLOOKUP(A1543,[1]wms_iv_f!$A$1:$E$136,4,FALSE),"")</f>
        <v/>
      </c>
      <c r="H1543" s="95" t="str">
        <f>IFERROR(VLOOKUP(A1543,[2]wms_lc_f!$A$1:$B$156,2,FALSE),"")</f>
        <v/>
      </c>
    </row>
    <row r="1544" spans="1:8">
      <c r="A1544" s="71">
        <v>97344</v>
      </c>
      <c r="B1544" s="69" t="s">
        <v>2609</v>
      </c>
      <c r="C1544" s="70" t="s">
        <v>1358</v>
      </c>
      <c r="D1544" s="70" t="s">
        <v>2610</v>
      </c>
      <c r="E1544" s="72">
        <v>1</v>
      </c>
      <c r="F1544" s="70"/>
      <c r="G1544" s="70" t="str">
        <f>IFERROR(VLOOKUP(A1544,[1]wms_iv_f!$A$1:$E$136,4,FALSE),"")</f>
        <v/>
      </c>
      <c r="H1544" s="95" t="str">
        <f>IFERROR(VLOOKUP(A1544,[2]wms_lc_f!$A$1:$B$156,2,FALSE),"")</f>
        <v/>
      </c>
    </row>
    <row r="1545" spans="1:8">
      <c r="A1545" s="71">
        <v>118742</v>
      </c>
      <c r="B1545" s="69" t="s">
        <v>2609</v>
      </c>
      <c r="C1545" s="70" t="s">
        <v>1357</v>
      </c>
      <c r="D1545" s="70" t="s">
        <v>2610</v>
      </c>
      <c r="E1545" s="72">
        <v>1</v>
      </c>
      <c r="F1545" s="70"/>
      <c r="G1545" s="70" t="str">
        <f>IFERROR(VLOOKUP(A1545,[1]wms_iv_f!$A$1:$E$136,4,FALSE),"")</f>
        <v/>
      </c>
      <c r="H1545" s="95" t="str">
        <f>IFERROR(VLOOKUP(A1545,[2]wms_lc_f!$A$1:$B$156,2,FALSE),"")</f>
        <v/>
      </c>
    </row>
    <row r="1546" spans="1:8">
      <c r="A1546" s="71">
        <v>15570</v>
      </c>
      <c r="B1546" s="69" t="s">
        <v>2609</v>
      </c>
      <c r="C1546" s="70" t="s">
        <v>1356</v>
      </c>
      <c r="D1546" s="70" t="s">
        <v>2610</v>
      </c>
      <c r="E1546" s="72">
        <v>1</v>
      </c>
      <c r="F1546" s="70"/>
      <c r="G1546" s="70" t="str">
        <f>IFERROR(VLOOKUP(A1546,[1]wms_iv_f!$A$1:$E$136,4,FALSE),"")</f>
        <v/>
      </c>
      <c r="H1546" s="95" t="str">
        <f>IFERROR(VLOOKUP(A1546,[2]wms_lc_f!$A$1:$B$156,2,FALSE),"")</f>
        <v/>
      </c>
    </row>
    <row r="1547" spans="1:8">
      <c r="A1547" s="71">
        <v>630</v>
      </c>
      <c r="B1547" s="69" t="s">
        <v>2609</v>
      </c>
      <c r="C1547" s="70" t="s">
        <v>1355</v>
      </c>
      <c r="D1547" s="70" t="s">
        <v>2610</v>
      </c>
      <c r="E1547" s="72">
        <v>1</v>
      </c>
      <c r="F1547" s="70"/>
      <c r="G1547" s="70" t="str">
        <f>IFERROR(VLOOKUP(A1547,[1]wms_iv_f!$A$1:$E$136,4,FALSE),"")</f>
        <v/>
      </c>
      <c r="H1547" s="95" t="str">
        <f>IFERROR(VLOOKUP(A1547,[2]wms_lc_f!$A$1:$B$156,2,FALSE),"")</f>
        <v/>
      </c>
    </row>
    <row r="1548" spans="1:8">
      <c r="A1548" s="71">
        <v>60888</v>
      </c>
      <c r="B1548" s="69" t="s">
        <v>2609</v>
      </c>
      <c r="C1548" s="70" t="s">
        <v>1354</v>
      </c>
      <c r="D1548" s="70" t="s">
        <v>2610</v>
      </c>
      <c r="E1548" s="72">
        <v>1</v>
      </c>
      <c r="F1548" s="70"/>
      <c r="G1548" s="70" t="str">
        <f>IFERROR(VLOOKUP(A1548,[1]wms_iv_f!$A$1:$E$136,4,FALSE),"")</f>
        <v/>
      </c>
      <c r="H1548" s="95" t="str">
        <f>IFERROR(VLOOKUP(A1548,[2]wms_lc_f!$A$1:$B$156,2,FALSE),"")</f>
        <v/>
      </c>
    </row>
    <row r="1549" spans="1:8">
      <c r="A1549" s="71">
        <v>93085</v>
      </c>
      <c r="B1549" s="69" t="s">
        <v>2609</v>
      </c>
      <c r="C1549" s="70" t="s">
        <v>1728</v>
      </c>
      <c r="D1549" s="70" t="s">
        <v>2610</v>
      </c>
      <c r="E1549" s="72">
        <v>1</v>
      </c>
      <c r="F1549" s="70"/>
      <c r="G1549" s="70" t="str">
        <f>IFERROR(VLOOKUP(A1549,[1]wms_iv_f!$A$1:$E$136,4,FALSE),"")</f>
        <v/>
      </c>
      <c r="H1549" s="95" t="str">
        <f>IFERROR(VLOOKUP(A1549,[2]wms_lc_f!$A$1:$B$156,2,FALSE),"")</f>
        <v/>
      </c>
    </row>
    <row r="1550" spans="1:8">
      <c r="A1550" s="71">
        <v>914</v>
      </c>
      <c r="B1550" s="69" t="s">
        <v>2609</v>
      </c>
      <c r="C1550" s="70" t="s">
        <v>1727</v>
      </c>
      <c r="D1550" s="70" t="s">
        <v>2610</v>
      </c>
      <c r="E1550" s="72">
        <v>1</v>
      </c>
      <c r="F1550" s="70"/>
      <c r="G1550" s="70" t="str">
        <f>IFERROR(VLOOKUP(A1550,[1]wms_iv_f!$A$1:$E$136,4,FALSE),"")</f>
        <v/>
      </c>
      <c r="H1550" s="95" t="str">
        <f>IFERROR(VLOOKUP(A1550,[2]wms_lc_f!$A$1:$B$156,2,FALSE),"")</f>
        <v/>
      </c>
    </row>
    <row r="1551" spans="1:8">
      <c r="A1551" s="71">
        <v>83233</v>
      </c>
      <c r="B1551" s="69" t="s">
        <v>2609</v>
      </c>
      <c r="C1551" s="70" t="s">
        <v>1726</v>
      </c>
      <c r="D1551" s="70" t="s">
        <v>2610</v>
      </c>
      <c r="E1551" s="72">
        <v>1</v>
      </c>
      <c r="F1551" s="70"/>
      <c r="G1551" s="70" t="str">
        <f>IFERROR(VLOOKUP(A1551,[1]wms_iv_f!$A$1:$E$136,4,FALSE),"")</f>
        <v/>
      </c>
      <c r="H1551" s="95" t="str">
        <f>IFERROR(VLOOKUP(A1551,[2]wms_lc_f!$A$1:$B$156,2,FALSE),"")</f>
        <v/>
      </c>
    </row>
    <row r="1552" spans="1:8">
      <c r="A1552" s="71">
        <v>132832</v>
      </c>
      <c r="B1552" s="69" t="s">
        <v>2609</v>
      </c>
      <c r="C1552" s="70" t="s">
        <v>1725</v>
      </c>
      <c r="D1552" s="70" t="s">
        <v>2610</v>
      </c>
      <c r="E1552" s="72">
        <v>1</v>
      </c>
      <c r="F1552" s="70"/>
      <c r="G1552" s="70" t="str">
        <f>IFERROR(VLOOKUP(A1552,[1]wms_iv_f!$A$1:$E$136,4,FALSE),"")</f>
        <v/>
      </c>
      <c r="H1552" s="95" t="str">
        <f>IFERROR(VLOOKUP(A1552,[2]wms_lc_f!$A$1:$B$156,2,FALSE),"")</f>
        <v/>
      </c>
    </row>
    <row r="1553" spans="1:8">
      <c r="A1553" s="71">
        <v>124574</v>
      </c>
      <c r="B1553" s="69" t="s">
        <v>2609</v>
      </c>
      <c r="C1553" s="70" t="s">
        <v>1724</v>
      </c>
      <c r="D1553" s="70" t="s">
        <v>2610</v>
      </c>
      <c r="E1553" s="72">
        <v>1</v>
      </c>
      <c r="F1553" s="70"/>
      <c r="G1553" s="70" t="str">
        <f>IFERROR(VLOOKUP(A1553,[1]wms_iv_f!$A$1:$E$136,4,FALSE),"")</f>
        <v/>
      </c>
      <c r="H1553" s="95" t="str">
        <f>IFERROR(VLOOKUP(A1553,[2]wms_lc_f!$A$1:$B$156,2,FALSE),"")</f>
        <v/>
      </c>
    </row>
    <row r="1554" spans="1:8">
      <c r="A1554" s="71">
        <v>127147</v>
      </c>
      <c r="B1554" s="69" t="s">
        <v>2609</v>
      </c>
      <c r="C1554" s="70" t="s">
        <v>1723</v>
      </c>
      <c r="D1554" s="70" t="s">
        <v>2610</v>
      </c>
      <c r="E1554" s="72">
        <v>1</v>
      </c>
      <c r="F1554" s="70"/>
      <c r="G1554" s="70" t="str">
        <f>IFERROR(VLOOKUP(A1554,[1]wms_iv_f!$A$1:$E$136,4,FALSE),"")</f>
        <v/>
      </c>
      <c r="H1554" s="95" t="str">
        <f>IFERROR(VLOOKUP(A1554,[2]wms_lc_f!$A$1:$B$156,2,FALSE),"")</f>
        <v/>
      </c>
    </row>
    <row r="1555" spans="1:8">
      <c r="A1555" s="71">
        <v>116597</v>
      </c>
      <c r="B1555" s="69" t="s">
        <v>2609</v>
      </c>
      <c r="C1555" s="74" t="s">
        <v>1839</v>
      </c>
      <c r="D1555" s="74" t="s">
        <v>2610</v>
      </c>
      <c r="E1555" s="72">
        <v>1</v>
      </c>
      <c r="F1555" s="70" t="s">
        <v>2612</v>
      </c>
      <c r="G1555" s="70" t="str">
        <f>IFERROR(VLOOKUP(A1555,[1]wms_iv_f!$A$1:$E$136,4,FALSE),"")</f>
        <v/>
      </c>
      <c r="H1555" s="95" t="str">
        <f>IFERROR(VLOOKUP(A1555,[2]wms_lc_f!$A$1:$B$156,2,FALSE),"")</f>
        <v/>
      </c>
    </row>
    <row r="1556" spans="1:8">
      <c r="A1556" s="71">
        <v>114126</v>
      </c>
      <c r="B1556" s="69" t="s">
        <v>2609</v>
      </c>
      <c r="C1556" s="70" t="s">
        <v>1838</v>
      </c>
      <c r="D1556" s="70" t="s">
        <v>2610</v>
      </c>
      <c r="E1556" s="72">
        <v>1</v>
      </c>
      <c r="F1556" s="70" t="s">
        <v>2612</v>
      </c>
      <c r="G1556" s="70" t="str">
        <f>IFERROR(VLOOKUP(A1556,[1]wms_iv_f!$A$1:$E$136,4,FALSE),"")</f>
        <v/>
      </c>
      <c r="H1556" s="95" t="str">
        <f>IFERROR(VLOOKUP(A1556,[2]wms_lc_f!$A$1:$B$156,2,FALSE),"")</f>
        <v/>
      </c>
    </row>
    <row r="1557" spans="1:8">
      <c r="A1557" s="71">
        <v>133889</v>
      </c>
      <c r="B1557" s="69" t="s">
        <v>2609</v>
      </c>
      <c r="C1557" s="70" t="s">
        <v>1837</v>
      </c>
      <c r="D1557" s="70" t="s">
        <v>2610</v>
      </c>
      <c r="E1557" s="72">
        <v>1</v>
      </c>
      <c r="F1557" s="70" t="s">
        <v>2612</v>
      </c>
      <c r="G1557" s="70" t="str">
        <f>IFERROR(VLOOKUP(A1557,[1]wms_iv_f!$A$1:$E$136,4,FALSE),"")</f>
        <v/>
      </c>
      <c r="H1557" s="95" t="str">
        <f>IFERROR(VLOOKUP(A1557,[2]wms_lc_f!$A$1:$B$156,2,FALSE),"")</f>
        <v/>
      </c>
    </row>
    <row r="1558" spans="1:8">
      <c r="A1558" s="71">
        <v>86221</v>
      </c>
      <c r="B1558" s="69" t="s">
        <v>2609</v>
      </c>
      <c r="C1558" s="70" t="s">
        <v>1836</v>
      </c>
      <c r="D1558" s="70" t="s">
        <v>2610</v>
      </c>
      <c r="E1558" s="72">
        <v>1</v>
      </c>
      <c r="F1558" s="70" t="s">
        <v>2612</v>
      </c>
      <c r="G1558" s="70" t="str">
        <f>IFERROR(VLOOKUP(A1558,[1]wms_iv_f!$A$1:$E$136,4,FALSE),"")</f>
        <v/>
      </c>
      <c r="H1558" s="95" t="str">
        <f>IFERROR(VLOOKUP(A1558,[2]wms_lc_f!$A$1:$B$156,2,FALSE),"")</f>
        <v/>
      </c>
    </row>
    <row r="1559" spans="1:8">
      <c r="A1559" s="71">
        <v>117</v>
      </c>
      <c r="B1559" s="69" t="s">
        <v>2609</v>
      </c>
      <c r="C1559" s="70" t="s">
        <v>1835</v>
      </c>
      <c r="D1559" s="70" t="s">
        <v>2610</v>
      </c>
      <c r="E1559" s="72">
        <v>1</v>
      </c>
      <c r="F1559" s="70" t="s">
        <v>2612</v>
      </c>
      <c r="G1559" s="70" t="str">
        <f>IFERROR(VLOOKUP(A1559,[1]wms_iv_f!$A$1:$E$136,4,FALSE),"")</f>
        <v/>
      </c>
      <c r="H1559" s="95" t="str">
        <f>IFERROR(VLOOKUP(A1559,[2]wms_lc_f!$A$1:$B$156,2,FALSE),"")</f>
        <v/>
      </c>
    </row>
    <row r="1560" spans="1:8">
      <c r="A1560" s="71">
        <v>133213</v>
      </c>
      <c r="B1560" s="69" t="s">
        <v>2609</v>
      </c>
      <c r="C1560" s="70" t="s">
        <v>1834</v>
      </c>
      <c r="D1560" s="70" t="s">
        <v>2610</v>
      </c>
      <c r="E1560" s="72">
        <v>1</v>
      </c>
      <c r="F1560" s="70" t="s">
        <v>2612</v>
      </c>
      <c r="G1560" s="70" t="str">
        <f>IFERROR(VLOOKUP(A1560,[1]wms_iv_f!$A$1:$E$136,4,FALSE),"")</f>
        <v/>
      </c>
      <c r="H1560" s="95" t="str">
        <f>IFERROR(VLOOKUP(A1560,[2]wms_lc_f!$A$1:$B$156,2,FALSE),"")</f>
        <v/>
      </c>
    </row>
    <row r="1561" spans="1:8">
      <c r="A1561" s="71">
        <v>100216</v>
      </c>
      <c r="B1561" s="69" t="s">
        <v>2609</v>
      </c>
      <c r="C1561" s="70" t="s">
        <v>1950</v>
      </c>
      <c r="D1561" s="70" t="s">
        <v>2610</v>
      </c>
      <c r="E1561" s="72">
        <v>1</v>
      </c>
      <c r="F1561" s="70"/>
      <c r="G1561" s="70" t="str">
        <f>IFERROR(VLOOKUP(A1561,[1]wms_iv_f!$A$1:$E$136,4,FALSE),"")</f>
        <v/>
      </c>
      <c r="H1561" s="95" t="str">
        <f>IFERROR(VLOOKUP(A1561,[2]wms_lc_f!$A$1:$B$156,2,FALSE),"")</f>
        <v/>
      </c>
    </row>
    <row r="1562" spans="1:8">
      <c r="A1562" s="71">
        <v>100945</v>
      </c>
      <c r="B1562" s="69" t="s">
        <v>2609</v>
      </c>
      <c r="C1562" s="70" t="s">
        <v>1949</v>
      </c>
      <c r="D1562" s="70" t="s">
        <v>2610</v>
      </c>
      <c r="E1562" s="72">
        <v>1</v>
      </c>
      <c r="F1562" s="70"/>
      <c r="G1562" s="70" t="str">
        <f>IFERROR(VLOOKUP(A1562,[1]wms_iv_f!$A$1:$E$136,4,FALSE),"")</f>
        <v/>
      </c>
      <c r="H1562" s="95" t="str">
        <f>IFERROR(VLOOKUP(A1562,[2]wms_lc_f!$A$1:$B$156,2,FALSE),"")</f>
        <v/>
      </c>
    </row>
    <row r="1563" spans="1:8">
      <c r="A1563" s="71">
        <v>138958</v>
      </c>
      <c r="B1563" s="69" t="s">
        <v>2609</v>
      </c>
      <c r="C1563" s="70" t="s">
        <v>1948</v>
      </c>
      <c r="D1563" s="70" t="s">
        <v>2610</v>
      </c>
      <c r="E1563" s="72">
        <v>1</v>
      </c>
      <c r="F1563" s="70"/>
      <c r="G1563" s="70" t="str">
        <f>IFERROR(VLOOKUP(A1563,[1]wms_iv_f!$A$1:$E$136,4,FALSE),"")</f>
        <v/>
      </c>
      <c r="H1563" s="95" t="str">
        <f>IFERROR(VLOOKUP(A1563,[2]wms_lc_f!$A$1:$B$156,2,FALSE),"")</f>
        <v/>
      </c>
    </row>
    <row r="1564" spans="1:8">
      <c r="A1564" s="71">
        <v>114053</v>
      </c>
      <c r="B1564" s="69" t="s">
        <v>2609</v>
      </c>
      <c r="C1564" s="70" t="s">
        <v>1947</v>
      </c>
      <c r="D1564" s="70" t="s">
        <v>2610</v>
      </c>
      <c r="E1564" s="72">
        <v>1</v>
      </c>
      <c r="F1564" s="70"/>
      <c r="G1564" s="70" t="str">
        <f>IFERROR(VLOOKUP(A1564,[1]wms_iv_f!$A$1:$E$136,4,FALSE),"")</f>
        <v/>
      </c>
      <c r="H1564" s="95" t="str">
        <f>IFERROR(VLOOKUP(A1564,[2]wms_lc_f!$A$1:$B$156,2,FALSE),"")</f>
        <v/>
      </c>
    </row>
    <row r="1565" spans="1:8">
      <c r="A1565" s="71">
        <v>137712</v>
      </c>
      <c r="B1565" s="69" t="s">
        <v>2609</v>
      </c>
      <c r="C1565" s="70" t="s">
        <v>1946</v>
      </c>
      <c r="D1565" s="70" t="s">
        <v>2610</v>
      </c>
      <c r="E1565" s="72">
        <v>1</v>
      </c>
      <c r="F1565" s="70"/>
      <c r="G1565" s="70" t="str">
        <f>IFERROR(VLOOKUP(A1565,[1]wms_iv_f!$A$1:$E$136,4,FALSE),"")</f>
        <v/>
      </c>
      <c r="H1565" s="95" t="str">
        <f>IFERROR(VLOOKUP(A1565,[2]wms_lc_f!$A$1:$B$156,2,FALSE),"")</f>
        <v/>
      </c>
    </row>
    <row r="1566" spans="1:8">
      <c r="A1566" s="71">
        <v>115505</v>
      </c>
      <c r="B1566" s="69" t="s">
        <v>2609</v>
      </c>
      <c r="C1566" s="70" t="s">
        <v>1945</v>
      </c>
      <c r="D1566" s="70" t="s">
        <v>2610</v>
      </c>
      <c r="E1566" s="72">
        <v>1</v>
      </c>
      <c r="F1566" s="70"/>
      <c r="G1566" s="70" t="str">
        <f>IFERROR(VLOOKUP(A1566,[1]wms_iv_f!$A$1:$E$136,4,FALSE),"")</f>
        <v/>
      </c>
      <c r="H1566" s="95" t="str">
        <f>IFERROR(VLOOKUP(A1566,[2]wms_lc_f!$A$1:$B$156,2,FALSE),"")</f>
        <v/>
      </c>
    </row>
    <row r="1567" spans="1:8">
      <c r="A1567" s="71">
        <v>113990</v>
      </c>
      <c r="B1567" s="69" t="s">
        <v>2609</v>
      </c>
      <c r="C1567" s="70" t="s">
        <v>1722</v>
      </c>
      <c r="D1567" s="70" t="s">
        <v>2610</v>
      </c>
      <c r="E1567" s="72">
        <v>1</v>
      </c>
      <c r="F1567" s="70"/>
      <c r="G1567" s="70" t="str">
        <f>IFERROR(VLOOKUP(A1567,[1]wms_iv_f!$A$1:$E$136,4,FALSE),"")</f>
        <v/>
      </c>
      <c r="H1567" s="95" t="str">
        <f>IFERROR(VLOOKUP(A1567,[2]wms_lc_f!$A$1:$B$156,2,FALSE),"")</f>
        <v/>
      </c>
    </row>
    <row r="1568" spans="1:8">
      <c r="A1568" s="71">
        <v>112550</v>
      </c>
      <c r="B1568" s="69" t="s">
        <v>2609</v>
      </c>
      <c r="C1568" s="70" t="s">
        <v>1721</v>
      </c>
      <c r="D1568" s="70" t="s">
        <v>2610</v>
      </c>
      <c r="E1568" s="72">
        <v>1</v>
      </c>
      <c r="F1568" s="70"/>
      <c r="G1568" s="70" t="str">
        <f>IFERROR(VLOOKUP(A1568,[1]wms_iv_f!$A$1:$E$136,4,FALSE),"")</f>
        <v/>
      </c>
      <c r="H1568" s="95" t="str">
        <f>IFERROR(VLOOKUP(A1568,[2]wms_lc_f!$A$1:$B$156,2,FALSE),"")</f>
        <v/>
      </c>
    </row>
    <row r="1569" spans="1:8">
      <c r="A1569" s="71">
        <v>114054</v>
      </c>
      <c r="B1569" s="69" t="s">
        <v>2609</v>
      </c>
      <c r="C1569" s="70" t="s">
        <v>1720</v>
      </c>
      <c r="D1569" s="70" t="s">
        <v>2610</v>
      </c>
      <c r="E1569" s="72">
        <v>1</v>
      </c>
      <c r="F1569" s="70"/>
      <c r="G1569" s="70" t="str">
        <f>IFERROR(VLOOKUP(A1569,[1]wms_iv_f!$A$1:$E$136,4,FALSE),"")</f>
        <v/>
      </c>
      <c r="H1569" s="95" t="str">
        <f>IFERROR(VLOOKUP(A1569,[2]wms_lc_f!$A$1:$B$156,2,FALSE),"")</f>
        <v/>
      </c>
    </row>
    <row r="1570" spans="1:8">
      <c r="A1570" s="71">
        <v>141346</v>
      </c>
      <c r="B1570" s="69" t="s">
        <v>2609</v>
      </c>
      <c r="C1570" s="70" t="s">
        <v>1719</v>
      </c>
      <c r="D1570" s="70" t="s">
        <v>2610</v>
      </c>
      <c r="E1570" s="72">
        <v>1</v>
      </c>
      <c r="F1570" s="70"/>
      <c r="G1570" s="70" t="str">
        <f>IFERROR(VLOOKUP(A1570,[1]wms_iv_f!$A$1:$E$136,4,FALSE),"")</f>
        <v/>
      </c>
      <c r="H1570" s="95" t="str">
        <f>IFERROR(VLOOKUP(A1570,[2]wms_lc_f!$A$1:$B$156,2,FALSE),"")</f>
        <v/>
      </c>
    </row>
    <row r="1571" spans="1:8">
      <c r="A1571" s="71">
        <v>209</v>
      </c>
      <c r="B1571" s="69" t="s">
        <v>2609</v>
      </c>
      <c r="C1571" s="70" t="s">
        <v>1718</v>
      </c>
      <c r="D1571" s="70" t="s">
        <v>2610</v>
      </c>
      <c r="E1571" s="72">
        <v>1</v>
      </c>
      <c r="F1571" s="70"/>
      <c r="G1571" s="70" t="str">
        <f>IFERROR(VLOOKUP(A1571,[1]wms_iv_f!$A$1:$E$136,4,FALSE),"")</f>
        <v/>
      </c>
      <c r="H1571" s="95" t="str">
        <f>IFERROR(VLOOKUP(A1571,[2]wms_lc_f!$A$1:$B$156,2,FALSE),"")</f>
        <v/>
      </c>
    </row>
    <row r="1572" spans="1:8">
      <c r="A1572" s="71">
        <v>137505</v>
      </c>
      <c r="B1572" s="69" t="s">
        <v>2609</v>
      </c>
      <c r="C1572" s="70" t="s">
        <v>1717</v>
      </c>
      <c r="D1572" s="70" t="s">
        <v>2610</v>
      </c>
      <c r="E1572" s="72">
        <v>1</v>
      </c>
      <c r="F1572" s="70"/>
      <c r="G1572" s="70" t="str">
        <f>IFERROR(VLOOKUP(A1572,[1]wms_iv_f!$A$1:$E$136,4,FALSE),"")</f>
        <v/>
      </c>
      <c r="H1572" s="95" t="str">
        <f>IFERROR(VLOOKUP(A1572,[2]wms_lc_f!$A$1:$B$156,2,FALSE),"")</f>
        <v/>
      </c>
    </row>
    <row r="1573" spans="1:8">
      <c r="A1573" s="71">
        <v>138956</v>
      </c>
      <c r="B1573" s="69" t="s">
        <v>2609</v>
      </c>
      <c r="C1573" s="70" t="s">
        <v>1833</v>
      </c>
      <c r="D1573" s="70" t="s">
        <v>2610</v>
      </c>
      <c r="E1573" s="72">
        <v>1</v>
      </c>
      <c r="F1573" s="70" t="s">
        <v>2612</v>
      </c>
      <c r="G1573" s="70" t="str">
        <f>IFERROR(VLOOKUP(A1573,[1]wms_iv_f!$A$1:$E$136,4,FALSE),"")</f>
        <v/>
      </c>
      <c r="H1573" s="95" t="str">
        <f>IFERROR(VLOOKUP(A1573,[2]wms_lc_f!$A$1:$B$156,2,FALSE),"")</f>
        <v/>
      </c>
    </row>
    <row r="1574" spans="1:8">
      <c r="A1574" s="71">
        <v>138959</v>
      </c>
      <c r="B1574" s="69" t="s">
        <v>2609</v>
      </c>
      <c r="C1574" s="70" t="s">
        <v>1832</v>
      </c>
      <c r="D1574" s="70" t="s">
        <v>2610</v>
      </c>
      <c r="E1574" s="72">
        <v>1</v>
      </c>
      <c r="F1574" s="70" t="s">
        <v>2612</v>
      </c>
      <c r="G1574" s="70" t="str">
        <f>IFERROR(VLOOKUP(A1574,[1]wms_iv_f!$A$1:$E$136,4,FALSE),"")</f>
        <v/>
      </c>
      <c r="H1574" s="95" t="str">
        <f>IFERROR(VLOOKUP(A1574,[2]wms_lc_f!$A$1:$B$156,2,FALSE),"")</f>
        <v/>
      </c>
    </row>
    <row r="1575" spans="1:8">
      <c r="A1575" s="71">
        <v>773</v>
      </c>
      <c r="B1575" s="69" t="s">
        <v>2609</v>
      </c>
      <c r="C1575" s="70" t="s">
        <v>1831</v>
      </c>
      <c r="D1575" s="70" t="s">
        <v>2610</v>
      </c>
      <c r="E1575" s="72">
        <v>1</v>
      </c>
      <c r="F1575" s="70" t="s">
        <v>2612</v>
      </c>
      <c r="G1575" s="70" t="str">
        <f>IFERROR(VLOOKUP(A1575,[1]wms_iv_f!$A$1:$E$136,4,FALSE),"")</f>
        <v/>
      </c>
      <c r="H1575" s="95" t="str">
        <f>IFERROR(VLOOKUP(A1575,[2]wms_lc_f!$A$1:$B$156,2,FALSE),"")</f>
        <v/>
      </c>
    </row>
    <row r="1576" spans="1:8">
      <c r="A1576" s="71">
        <v>138954</v>
      </c>
      <c r="B1576" s="69" t="s">
        <v>2609</v>
      </c>
      <c r="C1576" s="70" t="s">
        <v>1830</v>
      </c>
      <c r="D1576" s="70" t="s">
        <v>2610</v>
      </c>
      <c r="E1576" s="72">
        <v>1</v>
      </c>
      <c r="F1576" s="70" t="s">
        <v>2612</v>
      </c>
      <c r="G1576" s="70" t="str">
        <f>IFERROR(VLOOKUP(A1576,[1]wms_iv_f!$A$1:$E$136,4,FALSE),"")</f>
        <v/>
      </c>
      <c r="H1576" s="95" t="str">
        <f>IFERROR(VLOOKUP(A1576,[2]wms_lc_f!$A$1:$B$156,2,FALSE),"")</f>
        <v/>
      </c>
    </row>
    <row r="1577" spans="1:8">
      <c r="A1577" s="71">
        <v>127748</v>
      </c>
      <c r="B1577" s="69" t="s">
        <v>2609</v>
      </c>
      <c r="C1577" s="70" t="s">
        <v>1829</v>
      </c>
      <c r="D1577" s="70" t="s">
        <v>2610</v>
      </c>
      <c r="E1577" s="72">
        <v>1</v>
      </c>
      <c r="F1577" s="70" t="s">
        <v>2612</v>
      </c>
      <c r="G1577" s="70" t="str">
        <f>IFERROR(VLOOKUP(A1577,[1]wms_iv_f!$A$1:$E$136,4,FALSE),"")</f>
        <v/>
      </c>
      <c r="H1577" s="95" t="str">
        <f>IFERROR(VLOOKUP(A1577,[2]wms_lc_f!$A$1:$B$156,2,FALSE),"")</f>
        <v/>
      </c>
    </row>
    <row r="1578" spans="1:8">
      <c r="A1578" s="71">
        <v>115027</v>
      </c>
      <c r="B1578" s="69" t="s">
        <v>2609</v>
      </c>
      <c r="C1578" s="70" t="s">
        <v>1828</v>
      </c>
      <c r="D1578" s="70" t="s">
        <v>2610</v>
      </c>
      <c r="E1578" s="72">
        <v>1</v>
      </c>
      <c r="F1578" s="70" t="s">
        <v>2612</v>
      </c>
      <c r="G1578" s="70" t="str">
        <f>IFERROR(VLOOKUP(A1578,[1]wms_iv_f!$A$1:$E$136,4,FALSE),"")</f>
        <v/>
      </c>
      <c r="H1578" s="95" t="str">
        <f>IFERROR(VLOOKUP(A1578,[2]wms_lc_f!$A$1:$B$156,2,FALSE),"")</f>
        <v/>
      </c>
    </row>
    <row r="1579" spans="1:8">
      <c r="A1579" s="71">
        <v>157662</v>
      </c>
      <c r="B1579" s="69" t="s">
        <v>2609</v>
      </c>
      <c r="C1579" s="70" t="s">
        <v>1944</v>
      </c>
      <c r="D1579" s="70" t="s">
        <v>2610</v>
      </c>
      <c r="E1579" s="72">
        <v>1</v>
      </c>
      <c r="F1579" s="70"/>
      <c r="G1579" s="70" t="str">
        <f>IFERROR(VLOOKUP(A1579,[1]wms_iv_f!$A$1:$E$136,4,FALSE),"")</f>
        <v/>
      </c>
      <c r="H1579" s="95" t="str">
        <f>IFERROR(VLOOKUP(A1579,[2]wms_lc_f!$A$1:$B$156,2,FALSE),"")</f>
        <v/>
      </c>
    </row>
    <row r="1580" spans="1:8">
      <c r="A1580" s="71">
        <v>157098</v>
      </c>
      <c r="B1580" s="69" t="s">
        <v>2609</v>
      </c>
      <c r="C1580" s="70" t="s">
        <v>1943</v>
      </c>
      <c r="D1580" s="70" t="s">
        <v>2610</v>
      </c>
      <c r="E1580" s="72">
        <v>1</v>
      </c>
      <c r="F1580" s="70"/>
      <c r="G1580" s="70" t="str">
        <f>IFERROR(VLOOKUP(A1580,[1]wms_iv_f!$A$1:$E$136,4,FALSE),"")</f>
        <v/>
      </c>
      <c r="H1580" s="95" t="str">
        <f>IFERROR(VLOOKUP(A1580,[2]wms_lc_f!$A$1:$B$156,2,FALSE),"")</f>
        <v/>
      </c>
    </row>
    <row r="1581" spans="1:8">
      <c r="A1581" s="71">
        <v>137553</v>
      </c>
      <c r="B1581" s="69" t="s">
        <v>2609</v>
      </c>
      <c r="C1581" s="70" t="s">
        <v>1942</v>
      </c>
      <c r="D1581" s="70" t="s">
        <v>2610</v>
      </c>
      <c r="E1581" s="72">
        <v>1</v>
      </c>
      <c r="F1581" s="70"/>
      <c r="G1581" s="70" t="str">
        <f>IFERROR(VLOOKUP(A1581,[1]wms_iv_f!$A$1:$E$136,4,FALSE),"")</f>
        <v/>
      </c>
      <c r="H1581" s="95" t="str">
        <f>IFERROR(VLOOKUP(A1581,[2]wms_lc_f!$A$1:$B$156,2,FALSE),"")</f>
        <v/>
      </c>
    </row>
    <row r="1582" spans="1:8">
      <c r="A1582" s="71">
        <v>155722</v>
      </c>
      <c r="B1582" s="69" t="s">
        <v>2609</v>
      </c>
      <c r="C1582" s="70" t="s">
        <v>1941</v>
      </c>
      <c r="D1582" s="70" t="s">
        <v>2610</v>
      </c>
      <c r="E1582" s="72">
        <v>1</v>
      </c>
      <c r="F1582" s="70"/>
      <c r="G1582" s="70" t="str">
        <f>IFERROR(VLOOKUP(A1582,[1]wms_iv_f!$A$1:$E$136,4,FALSE),"")</f>
        <v/>
      </c>
      <c r="H1582" s="95" t="str">
        <f>IFERROR(VLOOKUP(A1582,[2]wms_lc_f!$A$1:$B$156,2,FALSE),"")</f>
        <v/>
      </c>
    </row>
    <row r="1583" spans="1:8">
      <c r="A1583" s="71">
        <v>138817</v>
      </c>
      <c r="B1583" s="69" t="s">
        <v>2609</v>
      </c>
      <c r="C1583" s="70" t="s">
        <v>1940</v>
      </c>
      <c r="D1583" s="70" t="s">
        <v>2610</v>
      </c>
      <c r="E1583" s="72">
        <v>1</v>
      </c>
      <c r="F1583" s="70"/>
      <c r="G1583" s="70" t="str">
        <f>IFERROR(VLOOKUP(A1583,[1]wms_iv_f!$A$1:$E$136,4,FALSE),"")</f>
        <v/>
      </c>
      <c r="H1583" s="95" t="str">
        <f>IFERROR(VLOOKUP(A1583,[2]wms_lc_f!$A$1:$B$156,2,FALSE),"")</f>
        <v/>
      </c>
    </row>
    <row r="1584" spans="1:8">
      <c r="A1584" s="71">
        <v>1175</v>
      </c>
      <c r="B1584" s="69" t="s">
        <v>2609</v>
      </c>
      <c r="C1584" s="70" t="s">
        <v>1939</v>
      </c>
      <c r="D1584" s="70" t="s">
        <v>2610</v>
      </c>
      <c r="E1584" s="72">
        <v>1</v>
      </c>
      <c r="F1584" s="70"/>
      <c r="G1584" s="70" t="str">
        <f>IFERROR(VLOOKUP(A1584,[1]wms_iv_f!$A$1:$E$136,4,FALSE),"")</f>
        <v/>
      </c>
      <c r="H1584" s="95" t="str">
        <f>IFERROR(VLOOKUP(A1584,[2]wms_lc_f!$A$1:$B$156,2,FALSE),"")</f>
        <v/>
      </c>
    </row>
    <row r="1585" spans="1:8">
      <c r="A1585" s="71">
        <v>140672</v>
      </c>
      <c r="B1585" s="69" t="s">
        <v>2609</v>
      </c>
      <c r="C1585" s="70" t="s">
        <v>1716</v>
      </c>
      <c r="D1585" s="70" t="s">
        <v>2610</v>
      </c>
      <c r="E1585" s="72">
        <v>1</v>
      </c>
      <c r="F1585" s="70"/>
      <c r="G1585" s="70" t="str">
        <f>IFERROR(VLOOKUP(A1585,[1]wms_iv_f!$A$1:$E$136,4,FALSE),"")</f>
        <v/>
      </c>
      <c r="H1585" s="95" t="str">
        <f>IFERROR(VLOOKUP(A1585,[2]wms_lc_f!$A$1:$B$156,2,FALSE),"")</f>
        <v/>
      </c>
    </row>
    <row r="1586" spans="1:8">
      <c r="A1586" s="71">
        <v>139895</v>
      </c>
      <c r="B1586" s="69" t="s">
        <v>2609</v>
      </c>
      <c r="C1586" s="70" t="s">
        <v>1715</v>
      </c>
      <c r="D1586" s="70" t="s">
        <v>2610</v>
      </c>
      <c r="E1586" s="72">
        <v>1</v>
      </c>
      <c r="F1586" s="70"/>
      <c r="G1586" s="70" t="str">
        <f>IFERROR(VLOOKUP(A1586,[1]wms_iv_f!$A$1:$E$136,4,FALSE),"")</f>
        <v/>
      </c>
      <c r="H1586" s="95" t="str">
        <f>IFERROR(VLOOKUP(A1586,[2]wms_lc_f!$A$1:$B$156,2,FALSE),"")</f>
        <v/>
      </c>
    </row>
    <row r="1587" spans="1:8">
      <c r="A1587" s="71">
        <v>129275</v>
      </c>
      <c r="B1587" s="69" t="s">
        <v>2609</v>
      </c>
      <c r="C1587" s="70" t="s">
        <v>1714</v>
      </c>
      <c r="D1587" s="70" t="s">
        <v>2610</v>
      </c>
      <c r="E1587" s="72">
        <v>1</v>
      </c>
      <c r="F1587" s="70"/>
      <c r="G1587" s="70" t="str">
        <f>IFERROR(VLOOKUP(A1587,[1]wms_iv_f!$A$1:$E$136,4,FALSE),"")</f>
        <v/>
      </c>
      <c r="H1587" s="95" t="str">
        <f>IFERROR(VLOOKUP(A1587,[2]wms_lc_f!$A$1:$B$156,2,FALSE),"")</f>
        <v/>
      </c>
    </row>
    <row r="1588" spans="1:8">
      <c r="A1588" s="71">
        <v>138661</v>
      </c>
      <c r="B1588" s="69" t="s">
        <v>2609</v>
      </c>
      <c r="C1588" s="70" t="s">
        <v>1713</v>
      </c>
      <c r="D1588" s="70" t="s">
        <v>2610</v>
      </c>
      <c r="E1588" s="72">
        <v>1</v>
      </c>
      <c r="F1588" s="70"/>
      <c r="G1588" s="70" t="str">
        <f>IFERROR(VLOOKUP(A1588,[1]wms_iv_f!$A$1:$E$136,4,FALSE),"")</f>
        <v/>
      </c>
      <c r="H1588" s="95" t="str">
        <f>IFERROR(VLOOKUP(A1588,[2]wms_lc_f!$A$1:$B$156,2,FALSE),"")</f>
        <v/>
      </c>
    </row>
    <row r="1589" spans="1:8">
      <c r="A1589" s="71">
        <v>117127</v>
      </c>
      <c r="B1589" s="69" t="s">
        <v>2609</v>
      </c>
      <c r="C1589" s="70" t="s">
        <v>1712</v>
      </c>
      <c r="D1589" s="70" t="s">
        <v>2610</v>
      </c>
      <c r="E1589" s="72">
        <v>1</v>
      </c>
      <c r="F1589" s="70"/>
      <c r="G1589" s="70" t="str">
        <f>IFERROR(VLOOKUP(A1589,[1]wms_iv_f!$A$1:$E$136,4,FALSE),"")</f>
        <v/>
      </c>
      <c r="H1589" s="95" t="str">
        <f>IFERROR(VLOOKUP(A1589,[2]wms_lc_f!$A$1:$B$156,2,FALSE),"")</f>
        <v/>
      </c>
    </row>
    <row r="1590" spans="1:8">
      <c r="A1590" s="71">
        <v>110815</v>
      </c>
      <c r="B1590" s="69" t="s">
        <v>2609</v>
      </c>
      <c r="C1590" s="70" t="s">
        <v>1711</v>
      </c>
      <c r="D1590" s="70" t="s">
        <v>2610</v>
      </c>
      <c r="E1590" s="72">
        <v>1</v>
      </c>
      <c r="F1590" s="70"/>
      <c r="G1590" s="70" t="str">
        <f>IFERROR(VLOOKUP(A1590,[1]wms_iv_f!$A$1:$E$136,4,FALSE),"")</f>
        <v/>
      </c>
      <c r="H1590" s="95" t="str">
        <f>IFERROR(VLOOKUP(A1590,[2]wms_lc_f!$A$1:$B$156,2,FALSE),"")</f>
        <v/>
      </c>
    </row>
    <row r="1591" spans="1:8">
      <c r="A1591" s="71">
        <v>110814</v>
      </c>
      <c r="B1591" s="69" t="s">
        <v>2609</v>
      </c>
      <c r="C1591" s="70" t="s">
        <v>1827</v>
      </c>
      <c r="D1591" s="70" t="s">
        <v>2610</v>
      </c>
      <c r="E1591" s="72">
        <v>1</v>
      </c>
      <c r="F1591" s="70" t="s">
        <v>2612</v>
      </c>
      <c r="G1591" s="70" t="str">
        <f>IFERROR(VLOOKUP(A1591,[1]wms_iv_f!$A$1:$E$136,4,FALSE),"")</f>
        <v/>
      </c>
      <c r="H1591" s="95" t="str">
        <f>IFERROR(VLOOKUP(A1591,[2]wms_lc_f!$A$1:$B$156,2,FALSE),"")</f>
        <v/>
      </c>
    </row>
    <row r="1592" spans="1:8">
      <c r="A1592" s="71">
        <v>132720</v>
      </c>
      <c r="B1592" s="69" t="s">
        <v>2609</v>
      </c>
      <c r="C1592" s="70" t="s">
        <v>1826</v>
      </c>
      <c r="D1592" s="70" t="s">
        <v>2610</v>
      </c>
      <c r="E1592" s="72">
        <v>1</v>
      </c>
      <c r="F1592" s="70" t="s">
        <v>2612</v>
      </c>
      <c r="G1592" s="70" t="str">
        <f>IFERROR(VLOOKUP(A1592,[1]wms_iv_f!$A$1:$E$136,4,FALSE),"")</f>
        <v/>
      </c>
      <c r="H1592" s="95" t="str">
        <f>IFERROR(VLOOKUP(A1592,[2]wms_lc_f!$A$1:$B$156,2,FALSE),"")</f>
        <v/>
      </c>
    </row>
    <row r="1593" spans="1:8">
      <c r="A1593" s="71">
        <v>157415</v>
      </c>
      <c r="B1593" s="69" t="s">
        <v>2609</v>
      </c>
      <c r="C1593" s="70" t="s">
        <v>1825</v>
      </c>
      <c r="D1593" s="70" t="s">
        <v>2610</v>
      </c>
      <c r="E1593" s="72">
        <v>1</v>
      </c>
      <c r="F1593" s="70" t="s">
        <v>2612</v>
      </c>
      <c r="G1593" s="70" t="str">
        <f>IFERROR(VLOOKUP(A1593,[1]wms_iv_f!$A$1:$E$136,4,FALSE),"")</f>
        <v/>
      </c>
      <c r="H1593" s="95" t="str">
        <f>IFERROR(VLOOKUP(A1593,[2]wms_lc_f!$A$1:$B$156,2,FALSE),"")</f>
        <v/>
      </c>
    </row>
    <row r="1594" spans="1:8">
      <c r="A1594" s="71">
        <v>155986</v>
      </c>
      <c r="B1594" s="69" t="s">
        <v>2609</v>
      </c>
      <c r="C1594" s="70" t="s">
        <v>1824</v>
      </c>
      <c r="D1594" s="70" t="s">
        <v>2610</v>
      </c>
      <c r="E1594" s="72">
        <v>1</v>
      </c>
      <c r="F1594" s="70" t="s">
        <v>2612</v>
      </c>
      <c r="G1594" s="70" t="str">
        <f>IFERROR(VLOOKUP(A1594,[1]wms_iv_f!$A$1:$E$136,4,FALSE),"")</f>
        <v/>
      </c>
      <c r="H1594" s="95" t="str">
        <f>IFERROR(VLOOKUP(A1594,[2]wms_lc_f!$A$1:$B$156,2,FALSE),"")</f>
        <v/>
      </c>
    </row>
    <row r="1595" spans="1:8">
      <c r="A1595" s="71">
        <v>60671</v>
      </c>
      <c r="B1595" s="69" t="s">
        <v>2609</v>
      </c>
      <c r="C1595" s="70" t="s">
        <v>1823</v>
      </c>
      <c r="D1595" s="70" t="s">
        <v>2610</v>
      </c>
      <c r="E1595" s="72">
        <v>1</v>
      </c>
      <c r="F1595" s="70" t="s">
        <v>2612</v>
      </c>
      <c r="G1595" s="70" t="str">
        <f>IFERROR(VLOOKUP(A1595,[1]wms_iv_f!$A$1:$E$136,4,FALSE),"")</f>
        <v/>
      </c>
      <c r="H1595" s="95" t="str">
        <f>IFERROR(VLOOKUP(A1595,[2]wms_lc_f!$A$1:$B$156,2,FALSE),"")</f>
        <v/>
      </c>
    </row>
    <row r="1596" spans="1:8">
      <c r="A1596" s="71">
        <v>104971</v>
      </c>
      <c r="B1596" s="69" t="s">
        <v>2609</v>
      </c>
      <c r="C1596" s="70" t="s">
        <v>1822</v>
      </c>
      <c r="D1596" s="70" t="s">
        <v>2610</v>
      </c>
      <c r="E1596" s="72">
        <v>1</v>
      </c>
      <c r="F1596" s="70" t="s">
        <v>2612</v>
      </c>
      <c r="G1596" s="70" t="str">
        <f>IFERROR(VLOOKUP(A1596,[1]wms_iv_f!$A$1:$E$136,4,FALSE),"")</f>
        <v/>
      </c>
      <c r="H1596" s="95" t="str">
        <f>IFERROR(VLOOKUP(A1596,[2]wms_lc_f!$A$1:$B$156,2,FALSE),"")</f>
        <v/>
      </c>
    </row>
    <row r="1597" spans="1:8">
      <c r="A1597" s="71">
        <v>31692</v>
      </c>
      <c r="B1597" s="69" t="s">
        <v>2609</v>
      </c>
      <c r="C1597" s="70" t="s">
        <v>1938</v>
      </c>
      <c r="D1597" s="70" t="s">
        <v>2610</v>
      </c>
      <c r="E1597" s="72">
        <v>1</v>
      </c>
      <c r="F1597" s="70"/>
      <c r="G1597" s="70" t="str">
        <f>IFERROR(VLOOKUP(A1597,[1]wms_iv_f!$A$1:$E$136,4,FALSE),"")</f>
        <v/>
      </c>
      <c r="H1597" s="95" t="str">
        <f>IFERROR(VLOOKUP(A1597,[2]wms_lc_f!$A$1:$B$156,2,FALSE),"")</f>
        <v/>
      </c>
    </row>
    <row r="1598" spans="1:8">
      <c r="A1598" s="71">
        <v>6220</v>
      </c>
      <c r="B1598" s="69" t="s">
        <v>2609</v>
      </c>
      <c r="C1598" s="70" t="s">
        <v>1937</v>
      </c>
      <c r="D1598" s="70" t="s">
        <v>2610</v>
      </c>
      <c r="E1598" s="72">
        <v>1</v>
      </c>
      <c r="F1598" s="70"/>
      <c r="G1598" s="70" t="str">
        <f>IFERROR(VLOOKUP(A1598,[1]wms_iv_f!$A$1:$E$136,4,FALSE),"")</f>
        <v/>
      </c>
      <c r="H1598" s="95" t="str">
        <f>IFERROR(VLOOKUP(A1598,[2]wms_lc_f!$A$1:$B$156,2,FALSE),"")</f>
        <v/>
      </c>
    </row>
    <row r="1599" spans="1:8">
      <c r="A1599" s="71">
        <v>110946</v>
      </c>
      <c r="B1599" s="69" t="s">
        <v>2609</v>
      </c>
      <c r="C1599" s="70" t="s">
        <v>1936</v>
      </c>
      <c r="D1599" s="70" t="s">
        <v>2610</v>
      </c>
      <c r="E1599" s="72">
        <v>1</v>
      </c>
      <c r="F1599" s="70"/>
      <c r="G1599" s="70" t="str">
        <f>IFERROR(VLOOKUP(A1599,[1]wms_iv_f!$A$1:$E$136,4,FALSE),"")</f>
        <v/>
      </c>
      <c r="H1599" s="95" t="str">
        <f>IFERROR(VLOOKUP(A1599,[2]wms_lc_f!$A$1:$B$156,2,FALSE),"")</f>
        <v/>
      </c>
    </row>
    <row r="1600" spans="1:8">
      <c r="A1600" s="71">
        <v>127137</v>
      </c>
      <c r="B1600" s="69" t="s">
        <v>2609</v>
      </c>
      <c r="C1600" s="70" t="s">
        <v>1935</v>
      </c>
      <c r="D1600" s="70" t="s">
        <v>2610</v>
      </c>
      <c r="E1600" s="72">
        <v>1</v>
      </c>
      <c r="F1600" s="70"/>
      <c r="G1600" s="70" t="str">
        <f>IFERROR(VLOOKUP(A1600,[1]wms_iv_f!$A$1:$E$136,4,FALSE),"")</f>
        <v/>
      </c>
      <c r="H1600" s="95" t="str">
        <f>IFERROR(VLOOKUP(A1600,[2]wms_lc_f!$A$1:$B$156,2,FALSE),"")</f>
        <v/>
      </c>
    </row>
    <row r="1601" spans="1:8">
      <c r="A1601" s="71">
        <v>138934</v>
      </c>
      <c r="B1601" s="69" t="s">
        <v>2609</v>
      </c>
      <c r="C1601" s="70" t="s">
        <v>1934</v>
      </c>
      <c r="D1601" s="70" t="s">
        <v>2610</v>
      </c>
      <c r="E1601" s="72">
        <v>1</v>
      </c>
      <c r="F1601" s="70"/>
      <c r="G1601" s="70" t="str">
        <f>IFERROR(VLOOKUP(A1601,[1]wms_iv_f!$A$1:$E$136,4,FALSE),"")</f>
        <v/>
      </c>
      <c r="H1601" s="95" t="str">
        <f>IFERROR(VLOOKUP(A1601,[2]wms_lc_f!$A$1:$B$156,2,FALSE),"")</f>
        <v/>
      </c>
    </row>
    <row r="1602" spans="1:8">
      <c r="A1602" s="71">
        <v>132744</v>
      </c>
      <c r="B1602" s="69" t="s">
        <v>2609</v>
      </c>
      <c r="C1602" s="70" t="s">
        <v>1933</v>
      </c>
      <c r="D1602" s="70" t="s">
        <v>2610</v>
      </c>
      <c r="E1602" s="72">
        <v>1</v>
      </c>
      <c r="F1602" s="70"/>
      <c r="G1602" s="70" t="str">
        <f>IFERROR(VLOOKUP(A1602,[1]wms_iv_f!$A$1:$E$136,4,FALSE),"")</f>
        <v/>
      </c>
      <c r="H1602" s="95" t="str">
        <f>IFERROR(VLOOKUP(A1602,[2]wms_lc_f!$A$1:$B$156,2,FALSE),"")</f>
        <v/>
      </c>
    </row>
    <row r="1603" spans="1:8">
      <c r="A1603" s="71">
        <v>110809</v>
      </c>
      <c r="B1603" s="69" t="s">
        <v>2609</v>
      </c>
      <c r="C1603" s="70" t="s">
        <v>1710</v>
      </c>
      <c r="D1603" s="70" t="s">
        <v>2610</v>
      </c>
      <c r="E1603" s="72">
        <v>1</v>
      </c>
      <c r="F1603" s="70"/>
      <c r="G1603" s="70" t="str">
        <f>IFERROR(VLOOKUP(A1603,[1]wms_iv_f!$A$1:$E$136,4,FALSE),"")</f>
        <v/>
      </c>
      <c r="H1603" s="95" t="str">
        <f>IFERROR(VLOOKUP(A1603,[2]wms_lc_f!$A$1:$B$156,2,FALSE),"")</f>
        <v/>
      </c>
    </row>
    <row r="1604" spans="1:8">
      <c r="A1604" s="71">
        <v>83165</v>
      </c>
      <c r="B1604" s="69" t="s">
        <v>2609</v>
      </c>
      <c r="C1604" s="70" t="s">
        <v>1709</v>
      </c>
      <c r="D1604" s="70" t="s">
        <v>2610</v>
      </c>
      <c r="E1604" s="72">
        <v>1</v>
      </c>
      <c r="F1604" s="70"/>
      <c r="G1604" s="70" t="str">
        <f>IFERROR(VLOOKUP(A1604,[1]wms_iv_f!$A$1:$E$136,4,FALSE),"")</f>
        <v/>
      </c>
      <c r="H1604" s="95" t="str">
        <f>IFERROR(VLOOKUP(A1604,[2]wms_lc_f!$A$1:$B$156,2,FALSE),"")</f>
        <v/>
      </c>
    </row>
    <row r="1605" spans="1:8">
      <c r="A1605" s="71">
        <v>156334</v>
      </c>
      <c r="B1605" s="69" t="s">
        <v>2609</v>
      </c>
      <c r="C1605" s="70" t="s">
        <v>1708</v>
      </c>
      <c r="D1605" s="70" t="s">
        <v>2610</v>
      </c>
      <c r="E1605" s="72">
        <v>1</v>
      </c>
      <c r="F1605" s="70"/>
      <c r="G1605" s="70" t="str">
        <f>IFERROR(VLOOKUP(A1605,[1]wms_iv_f!$A$1:$E$136,4,FALSE),"")</f>
        <v/>
      </c>
      <c r="H1605" s="95" t="str">
        <f>IFERROR(VLOOKUP(A1605,[2]wms_lc_f!$A$1:$B$156,2,FALSE),"")</f>
        <v/>
      </c>
    </row>
    <row r="1606" spans="1:8">
      <c r="A1606" s="71">
        <v>156333</v>
      </c>
      <c r="B1606" s="69" t="s">
        <v>2609</v>
      </c>
      <c r="C1606" s="76" t="s">
        <v>1707</v>
      </c>
      <c r="D1606" s="76" t="s">
        <v>2610</v>
      </c>
      <c r="E1606" s="72">
        <v>1</v>
      </c>
      <c r="F1606" s="70"/>
      <c r="G1606" s="70" t="str">
        <f>IFERROR(VLOOKUP(A1606,[1]wms_iv_f!$A$1:$E$136,4,FALSE),"")</f>
        <v/>
      </c>
      <c r="H1606" s="95" t="str">
        <f>IFERROR(VLOOKUP(A1606,[2]wms_lc_f!$A$1:$B$156,2,FALSE),"")</f>
        <v/>
      </c>
    </row>
    <row r="1607" spans="1:8">
      <c r="A1607" s="71">
        <v>119965</v>
      </c>
      <c r="B1607" s="69" t="s">
        <v>2609</v>
      </c>
      <c r="C1607" s="70" t="s">
        <v>1706</v>
      </c>
      <c r="D1607" s="70" t="s">
        <v>2610</v>
      </c>
      <c r="E1607" s="72">
        <v>1</v>
      </c>
      <c r="F1607" s="70"/>
      <c r="G1607" s="70" t="str">
        <f>IFERROR(VLOOKUP(A1607,[1]wms_iv_f!$A$1:$E$136,4,FALSE),"")</f>
        <v/>
      </c>
      <c r="H1607" s="95" t="str">
        <f>IFERROR(VLOOKUP(A1607,[2]wms_lc_f!$A$1:$B$156,2,FALSE),"")</f>
        <v/>
      </c>
    </row>
    <row r="1608" spans="1:8">
      <c r="A1608" s="71">
        <v>60351</v>
      </c>
      <c r="B1608" s="69" t="s">
        <v>2609</v>
      </c>
      <c r="C1608" s="70" t="s">
        <v>1705</v>
      </c>
      <c r="D1608" s="70" t="s">
        <v>2610</v>
      </c>
      <c r="E1608" s="72">
        <v>1</v>
      </c>
      <c r="F1608" s="70"/>
      <c r="G1608" s="70" t="str">
        <f>IFERROR(VLOOKUP(A1608,[1]wms_iv_f!$A$1:$E$136,4,FALSE),"")</f>
        <v/>
      </c>
      <c r="H1608" s="95" t="str">
        <f>IFERROR(VLOOKUP(A1608,[2]wms_lc_f!$A$1:$B$156,2,FALSE),"")</f>
        <v/>
      </c>
    </row>
    <row r="1609" spans="1:8">
      <c r="A1609" s="71">
        <v>137889</v>
      </c>
      <c r="B1609" s="69" t="s">
        <v>2609</v>
      </c>
      <c r="C1609" s="70" t="s">
        <v>1821</v>
      </c>
      <c r="D1609" s="70" t="s">
        <v>2610</v>
      </c>
      <c r="E1609" s="72">
        <v>1</v>
      </c>
      <c r="F1609" s="70"/>
      <c r="G1609" s="70" t="str">
        <f>IFERROR(VLOOKUP(A1609,[1]wms_iv_f!$A$1:$E$136,4,FALSE),"")</f>
        <v/>
      </c>
      <c r="H1609" s="95" t="str">
        <f>IFERROR(VLOOKUP(A1609,[2]wms_lc_f!$A$1:$B$156,2,FALSE),"")</f>
        <v/>
      </c>
    </row>
    <row r="1610" spans="1:8">
      <c r="A1610" s="71">
        <v>95389</v>
      </c>
      <c r="B1610" s="69" t="s">
        <v>2609</v>
      </c>
      <c r="C1610" s="70" t="s">
        <v>1820</v>
      </c>
      <c r="D1610" s="70" t="s">
        <v>2610</v>
      </c>
      <c r="E1610" s="72">
        <v>1</v>
      </c>
      <c r="F1610" s="70"/>
      <c r="G1610" s="70" t="str">
        <f>IFERROR(VLOOKUP(A1610,[1]wms_iv_f!$A$1:$E$136,4,FALSE),"")</f>
        <v/>
      </c>
      <c r="H1610" s="95" t="str">
        <f>IFERROR(VLOOKUP(A1610,[2]wms_lc_f!$A$1:$B$156,2,FALSE),"")</f>
        <v/>
      </c>
    </row>
    <row r="1611" spans="1:8">
      <c r="A1611" s="71">
        <v>138809</v>
      </c>
      <c r="B1611" s="69" t="s">
        <v>2609</v>
      </c>
      <c r="C1611" s="70" t="s">
        <v>1819</v>
      </c>
      <c r="D1611" s="70" t="s">
        <v>2610</v>
      </c>
      <c r="E1611" s="72">
        <v>1</v>
      </c>
      <c r="F1611" s="70"/>
      <c r="G1611" s="70" t="str">
        <f>IFERROR(VLOOKUP(A1611,[1]wms_iv_f!$A$1:$E$136,4,FALSE),"")</f>
        <v/>
      </c>
      <c r="H1611" s="95" t="str">
        <f>IFERROR(VLOOKUP(A1611,[2]wms_lc_f!$A$1:$B$156,2,FALSE),"")</f>
        <v/>
      </c>
    </row>
    <row r="1612" spans="1:8">
      <c r="A1612" s="71">
        <v>24156</v>
      </c>
      <c r="B1612" s="69" t="s">
        <v>2609</v>
      </c>
      <c r="C1612" s="70" t="s">
        <v>1818</v>
      </c>
      <c r="D1612" s="70" t="s">
        <v>2610</v>
      </c>
      <c r="E1612" s="72">
        <v>1</v>
      </c>
      <c r="F1612" s="70"/>
      <c r="G1612" s="70" t="str">
        <f>IFERROR(VLOOKUP(A1612,[1]wms_iv_f!$A$1:$E$136,4,FALSE),"")</f>
        <v/>
      </c>
      <c r="H1612" s="95" t="str">
        <f>IFERROR(VLOOKUP(A1612,[2]wms_lc_f!$A$1:$B$156,2,FALSE),"")</f>
        <v/>
      </c>
    </row>
    <row r="1613" spans="1:8">
      <c r="A1613" s="71">
        <v>115524</v>
      </c>
      <c r="B1613" s="69" t="s">
        <v>2609</v>
      </c>
      <c r="C1613" s="70" t="s">
        <v>1817</v>
      </c>
      <c r="D1613" s="70" t="s">
        <v>2610</v>
      </c>
      <c r="E1613" s="72">
        <v>1</v>
      </c>
      <c r="F1613" s="70"/>
      <c r="G1613" s="70" t="str">
        <f>IFERROR(VLOOKUP(A1613,[1]wms_iv_f!$A$1:$E$136,4,FALSE),"")</f>
        <v/>
      </c>
      <c r="H1613" s="95" t="str">
        <f>IFERROR(VLOOKUP(A1613,[2]wms_lc_f!$A$1:$B$156,2,FALSE),"")</f>
        <v/>
      </c>
    </row>
    <row r="1614" spans="1:8">
      <c r="A1614" s="71">
        <v>138404</v>
      </c>
      <c r="B1614" s="69" t="s">
        <v>2609</v>
      </c>
      <c r="C1614" s="70" t="s">
        <v>1816</v>
      </c>
      <c r="D1614" s="70" t="s">
        <v>2610</v>
      </c>
      <c r="E1614" s="72">
        <v>1</v>
      </c>
      <c r="F1614" s="70"/>
      <c r="G1614" s="70" t="str">
        <f>IFERROR(VLOOKUP(A1614,[1]wms_iv_f!$A$1:$E$136,4,FALSE),"")</f>
        <v/>
      </c>
      <c r="H1614" s="95" t="str">
        <f>IFERROR(VLOOKUP(A1614,[2]wms_lc_f!$A$1:$B$156,2,FALSE),"")</f>
        <v/>
      </c>
    </row>
    <row r="1615" spans="1:8">
      <c r="A1615" s="71">
        <v>137636</v>
      </c>
      <c r="B1615" s="69" t="s">
        <v>2609</v>
      </c>
      <c r="C1615" s="70" t="s">
        <v>1932</v>
      </c>
      <c r="D1615" s="70" t="s">
        <v>2610</v>
      </c>
      <c r="E1615" s="72">
        <v>1</v>
      </c>
      <c r="F1615" s="70"/>
      <c r="G1615" s="70" t="str">
        <f>IFERROR(VLOOKUP(A1615,[1]wms_iv_f!$A$1:$E$136,4,FALSE),"")</f>
        <v/>
      </c>
      <c r="H1615" s="95" t="str">
        <f>IFERROR(VLOOKUP(A1615,[2]wms_lc_f!$A$1:$B$156,2,FALSE),"")</f>
        <v/>
      </c>
    </row>
    <row r="1616" spans="1:8">
      <c r="A1616" s="71">
        <v>139446</v>
      </c>
      <c r="B1616" s="69" t="s">
        <v>2609</v>
      </c>
      <c r="C1616" s="70" t="s">
        <v>1931</v>
      </c>
      <c r="D1616" s="70" t="s">
        <v>2610</v>
      </c>
      <c r="E1616" s="72">
        <v>1</v>
      </c>
      <c r="F1616" s="70"/>
      <c r="G1616" s="70" t="str">
        <f>IFERROR(VLOOKUP(A1616,[1]wms_iv_f!$A$1:$E$136,4,FALSE),"")</f>
        <v/>
      </c>
      <c r="H1616" s="95" t="str">
        <f>IFERROR(VLOOKUP(A1616,[2]wms_lc_f!$A$1:$B$156,2,FALSE),"")</f>
        <v/>
      </c>
    </row>
    <row r="1617" spans="1:8">
      <c r="A1617" s="71">
        <v>132999</v>
      </c>
      <c r="B1617" s="69" t="s">
        <v>2609</v>
      </c>
      <c r="C1617" s="70" t="s">
        <v>1930</v>
      </c>
      <c r="D1617" s="70" t="s">
        <v>2610</v>
      </c>
      <c r="E1617" s="72">
        <v>1</v>
      </c>
      <c r="F1617" s="70"/>
      <c r="G1617" s="70" t="str">
        <f>IFERROR(VLOOKUP(A1617,[1]wms_iv_f!$A$1:$E$136,4,FALSE),"")</f>
        <v/>
      </c>
      <c r="H1617" s="95" t="str">
        <f>IFERROR(VLOOKUP(A1617,[2]wms_lc_f!$A$1:$B$156,2,FALSE),"")</f>
        <v/>
      </c>
    </row>
    <row r="1618" spans="1:8">
      <c r="A1618" s="71">
        <v>22426</v>
      </c>
      <c r="B1618" s="69" t="s">
        <v>2609</v>
      </c>
      <c r="C1618" s="70" t="s">
        <v>1929</v>
      </c>
      <c r="D1618" s="70" t="s">
        <v>2610</v>
      </c>
      <c r="E1618" s="72">
        <v>1</v>
      </c>
      <c r="F1618" s="70"/>
      <c r="G1618" s="70" t="str">
        <f>IFERROR(VLOOKUP(A1618,[1]wms_iv_f!$A$1:$E$136,4,FALSE),"")</f>
        <v/>
      </c>
      <c r="H1618" s="95" t="str">
        <f>IFERROR(VLOOKUP(A1618,[2]wms_lc_f!$A$1:$B$156,2,FALSE),"")</f>
        <v/>
      </c>
    </row>
    <row r="1619" spans="1:8">
      <c r="A1619" s="71">
        <v>138617</v>
      </c>
      <c r="B1619" s="69" t="s">
        <v>2609</v>
      </c>
      <c r="C1619" s="70" t="s">
        <v>1928</v>
      </c>
      <c r="D1619" s="70" t="s">
        <v>2610</v>
      </c>
      <c r="E1619" s="72">
        <v>1</v>
      </c>
      <c r="F1619" s="70"/>
      <c r="G1619" s="70" t="str">
        <f>IFERROR(VLOOKUP(A1619,[1]wms_iv_f!$A$1:$E$136,4,FALSE),"")</f>
        <v/>
      </c>
      <c r="H1619" s="95" t="str">
        <f>IFERROR(VLOOKUP(A1619,[2]wms_lc_f!$A$1:$B$156,2,FALSE),"")</f>
        <v/>
      </c>
    </row>
    <row r="1620" spans="1:8">
      <c r="A1620" s="71">
        <v>1978</v>
      </c>
      <c r="B1620" s="69" t="s">
        <v>2609</v>
      </c>
      <c r="C1620" s="70" t="s">
        <v>1927</v>
      </c>
      <c r="D1620" s="70" t="s">
        <v>2610</v>
      </c>
      <c r="E1620" s="72">
        <v>1</v>
      </c>
      <c r="F1620" s="70"/>
      <c r="G1620" s="70" t="str">
        <f>IFERROR(VLOOKUP(A1620,[1]wms_iv_f!$A$1:$E$136,4,FALSE),"")</f>
        <v/>
      </c>
      <c r="H1620" s="95" t="str">
        <f>IFERROR(VLOOKUP(A1620,[2]wms_lc_f!$A$1:$B$156,2,FALSE),"")</f>
        <v/>
      </c>
    </row>
    <row r="1621" spans="1:8">
      <c r="A1621" s="71">
        <v>155723</v>
      </c>
      <c r="B1621" s="69" t="s">
        <v>2609</v>
      </c>
      <c r="C1621" s="70" t="s">
        <v>1704</v>
      </c>
      <c r="D1621" s="70" t="s">
        <v>2610</v>
      </c>
      <c r="E1621" s="72">
        <v>1</v>
      </c>
      <c r="F1621" s="70"/>
      <c r="G1621" s="70" t="str">
        <f>IFERROR(VLOOKUP(A1621,[1]wms_iv_f!$A$1:$E$136,4,FALSE),"")</f>
        <v/>
      </c>
      <c r="H1621" s="95" t="str">
        <f>IFERROR(VLOOKUP(A1621,[2]wms_lc_f!$A$1:$B$156,2,FALSE),"")</f>
        <v/>
      </c>
    </row>
    <row r="1622" spans="1:8">
      <c r="A1622" s="71">
        <v>101009</v>
      </c>
      <c r="B1622" s="69" t="s">
        <v>2609</v>
      </c>
      <c r="C1622" s="70" t="s">
        <v>1703</v>
      </c>
      <c r="D1622" s="70" t="s">
        <v>2610</v>
      </c>
      <c r="E1622" s="72">
        <v>1</v>
      </c>
      <c r="F1622" s="70"/>
      <c r="G1622" s="70" t="str">
        <f>IFERROR(VLOOKUP(A1622,[1]wms_iv_f!$A$1:$E$136,4,FALSE),"")</f>
        <v/>
      </c>
      <c r="H1622" s="95" t="str">
        <f>IFERROR(VLOOKUP(A1622,[2]wms_lc_f!$A$1:$B$156,2,FALSE),"")</f>
        <v/>
      </c>
    </row>
    <row r="1623" spans="1:8">
      <c r="A1623" s="71">
        <v>155721</v>
      </c>
      <c r="B1623" s="69" t="s">
        <v>2609</v>
      </c>
      <c r="C1623" s="70" t="s">
        <v>1702</v>
      </c>
      <c r="D1623" s="70" t="s">
        <v>2610</v>
      </c>
      <c r="E1623" s="72">
        <v>1</v>
      </c>
      <c r="F1623" s="70"/>
      <c r="G1623" s="70" t="str">
        <f>IFERROR(VLOOKUP(A1623,[1]wms_iv_f!$A$1:$E$136,4,FALSE),"")</f>
        <v/>
      </c>
      <c r="H1623" s="95" t="str">
        <f>IFERROR(VLOOKUP(A1623,[2]wms_lc_f!$A$1:$B$156,2,FALSE),"")</f>
        <v/>
      </c>
    </row>
    <row r="1624" spans="1:8">
      <c r="A1624" s="71">
        <v>137724</v>
      </c>
      <c r="B1624" s="69" t="s">
        <v>2609</v>
      </c>
      <c r="C1624" s="70" t="s">
        <v>1701</v>
      </c>
      <c r="D1624" s="70" t="s">
        <v>2610</v>
      </c>
      <c r="E1624" s="72">
        <v>1</v>
      </c>
      <c r="F1624" s="70"/>
      <c r="G1624" s="70" t="str">
        <f>IFERROR(VLOOKUP(A1624,[1]wms_iv_f!$A$1:$E$136,4,FALSE),"")</f>
        <v/>
      </c>
      <c r="H1624" s="95" t="str">
        <f>IFERROR(VLOOKUP(A1624,[2]wms_lc_f!$A$1:$B$156,2,FALSE),"")</f>
        <v/>
      </c>
    </row>
    <row r="1625" spans="1:8">
      <c r="A1625" s="71">
        <v>61368</v>
      </c>
      <c r="B1625" s="69" t="s">
        <v>2609</v>
      </c>
      <c r="C1625" s="70" t="s">
        <v>1700</v>
      </c>
      <c r="D1625" s="70" t="s">
        <v>2610</v>
      </c>
      <c r="E1625" s="72">
        <v>1</v>
      </c>
      <c r="F1625" s="70"/>
      <c r="G1625" s="70" t="str">
        <f>IFERROR(VLOOKUP(A1625,[1]wms_iv_f!$A$1:$E$136,4,FALSE),"")</f>
        <v/>
      </c>
      <c r="H1625" s="95" t="str">
        <f>IFERROR(VLOOKUP(A1625,[2]wms_lc_f!$A$1:$B$156,2,FALSE),"")</f>
        <v/>
      </c>
    </row>
    <row r="1626" spans="1:8">
      <c r="A1626" s="71">
        <v>370</v>
      </c>
      <c r="B1626" s="69" t="s">
        <v>2609</v>
      </c>
      <c r="C1626" s="70" t="s">
        <v>1699</v>
      </c>
      <c r="D1626" s="70" t="s">
        <v>2610</v>
      </c>
      <c r="E1626" s="72">
        <v>1</v>
      </c>
      <c r="F1626" s="70"/>
      <c r="G1626" s="70" t="str">
        <f>IFERROR(VLOOKUP(A1626,[1]wms_iv_f!$A$1:$E$136,4,FALSE),"")</f>
        <v/>
      </c>
      <c r="H1626" s="95" t="str">
        <f>IFERROR(VLOOKUP(A1626,[2]wms_lc_f!$A$1:$B$156,2,FALSE),"")</f>
        <v/>
      </c>
    </row>
    <row r="1627" spans="1:8">
      <c r="A1627" s="71">
        <v>106356</v>
      </c>
      <c r="B1627" s="69" t="s">
        <v>2609</v>
      </c>
      <c r="C1627" s="70" t="s">
        <v>1815</v>
      </c>
      <c r="D1627" s="70" t="s">
        <v>2610</v>
      </c>
      <c r="E1627" s="72">
        <v>1</v>
      </c>
      <c r="F1627" s="70"/>
      <c r="G1627" s="70" t="str">
        <f>IFERROR(VLOOKUP(A1627,[1]wms_iv_f!$A$1:$E$136,4,FALSE),"")</f>
        <v/>
      </c>
      <c r="H1627" s="95" t="str">
        <f>IFERROR(VLOOKUP(A1627,[2]wms_lc_f!$A$1:$B$156,2,FALSE),"")</f>
        <v/>
      </c>
    </row>
    <row r="1628" spans="1:8">
      <c r="A1628" s="71">
        <v>69237</v>
      </c>
      <c r="B1628" s="69" t="s">
        <v>2609</v>
      </c>
      <c r="C1628" s="70" t="s">
        <v>1814</v>
      </c>
      <c r="D1628" s="70" t="s">
        <v>2610</v>
      </c>
      <c r="E1628" s="72">
        <v>1</v>
      </c>
      <c r="F1628" s="70"/>
      <c r="G1628" s="70" t="str">
        <f>IFERROR(VLOOKUP(A1628,[1]wms_iv_f!$A$1:$E$136,4,FALSE),"")</f>
        <v/>
      </c>
      <c r="H1628" s="95" t="str">
        <f>IFERROR(VLOOKUP(A1628,[2]wms_lc_f!$A$1:$B$156,2,FALSE),"")</f>
        <v/>
      </c>
    </row>
    <row r="1629" spans="1:8">
      <c r="A1629" s="71">
        <v>137006</v>
      </c>
      <c r="B1629" s="69" t="s">
        <v>2609</v>
      </c>
      <c r="C1629" s="70" t="s">
        <v>1813</v>
      </c>
      <c r="D1629" s="70" t="s">
        <v>2610</v>
      </c>
      <c r="E1629" s="72">
        <v>1</v>
      </c>
      <c r="F1629" s="70"/>
      <c r="G1629" s="70" t="str">
        <f>IFERROR(VLOOKUP(A1629,[1]wms_iv_f!$A$1:$E$136,4,FALSE),"")</f>
        <v/>
      </c>
      <c r="H1629" s="95" t="str">
        <f>IFERROR(VLOOKUP(A1629,[2]wms_lc_f!$A$1:$B$156,2,FALSE),"")</f>
        <v/>
      </c>
    </row>
    <row r="1630" spans="1:8">
      <c r="A1630" s="71">
        <v>637</v>
      </c>
      <c r="B1630" s="69" t="s">
        <v>2609</v>
      </c>
      <c r="C1630" s="70" t="s">
        <v>1812</v>
      </c>
      <c r="D1630" s="70" t="s">
        <v>2610</v>
      </c>
      <c r="E1630" s="72">
        <v>1</v>
      </c>
      <c r="F1630" s="70"/>
      <c r="G1630" s="70" t="str">
        <f>IFERROR(VLOOKUP(A1630,[1]wms_iv_f!$A$1:$E$136,4,FALSE),"")</f>
        <v/>
      </c>
      <c r="H1630" s="95" t="str">
        <f>IFERROR(VLOOKUP(A1630,[2]wms_lc_f!$A$1:$B$156,2,FALSE),"")</f>
        <v/>
      </c>
    </row>
    <row r="1631" spans="1:8">
      <c r="A1631" s="71">
        <v>22502</v>
      </c>
      <c r="B1631" s="69" t="s">
        <v>2609</v>
      </c>
      <c r="C1631" s="70" t="s">
        <v>1811</v>
      </c>
      <c r="D1631" s="70" t="s">
        <v>2610</v>
      </c>
      <c r="E1631" s="72">
        <v>1</v>
      </c>
      <c r="F1631" s="70"/>
      <c r="G1631" s="70" t="str">
        <f>IFERROR(VLOOKUP(A1631,[1]wms_iv_f!$A$1:$E$136,4,FALSE),"")</f>
        <v/>
      </c>
      <c r="H1631" s="95" t="str">
        <f>IFERROR(VLOOKUP(A1631,[2]wms_lc_f!$A$1:$B$156,2,FALSE),"")</f>
        <v/>
      </c>
    </row>
    <row r="1632" spans="1:8">
      <c r="A1632" s="71">
        <v>156931</v>
      </c>
      <c r="B1632" s="69" t="s">
        <v>2609</v>
      </c>
      <c r="C1632" s="70" t="s">
        <v>1810</v>
      </c>
      <c r="D1632" s="70" t="s">
        <v>2610</v>
      </c>
      <c r="E1632" s="72">
        <v>1</v>
      </c>
      <c r="F1632" s="70"/>
      <c r="G1632" s="70" t="str">
        <f>IFERROR(VLOOKUP(A1632,[1]wms_iv_f!$A$1:$E$136,4,FALSE),"")</f>
        <v/>
      </c>
      <c r="H1632" s="95" t="str">
        <f>IFERROR(VLOOKUP(A1632,[2]wms_lc_f!$A$1:$B$156,2,FALSE),"")</f>
        <v/>
      </c>
    </row>
    <row r="1633" spans="1:8">
      <c r="A1633" s="71">
        <v>108747</v>
      </c>
      <c r="B1633" s="69" t="s">
        <v>2609</v>
      </c>
      <c r="C1633" s="70" t="s">
        <v>1926</v>
      </c>
      <c r="D1633" s="70" t="s">
        <v>2610</v>
      </c>
      <c r="E1633" s="72">
        <v>1</v>
      </c>
      <c r="F1633" s="70"/>
      <c r="G1633" s="70" t="str">
        <f>IFERROR(VLOOKUP(A1633,[1]wms_iv_f!$A$1:$E$136,4,FALSE),"")</f>
        <v/>
      </c>
      <c r="H1633" s="95" t="str">
        <f>IFERROR(VLOOKUP(A1633,[2]wms_lc_f!$A$1:$B$156,2,FALSE),"")</f>
        <v/>
      </c>
    </row>
    <row r="1634" spans="1:8">
      <c r="A1634" s="71">
        <v>137722</v>
      </c>
      <c r="B1634" s="69" t="s">
        <v>2609</v>
      </c>
      <c r="C1634" s="70" t="s">
        <v>1925</v>
      </c>
      <c r="D1634" s="70" t="s">
        <v>2610</v>
      </c>
      <c r="E1634" s="72">
        <v>1</v>
      </c>
      <c r="F1634" s="70"/>
      <c r="G1634" s="70" t="str">
        <f>IFERROR(VLOOKUP(A1634,[1]wms_iv_f!$A$1:$E$136,4,FALSE),"")</f>
        <v/>
      </c>
      <c r="H1634" s="95" t="str">
        <f>IFERROR(VLOOKUP(A1634,[2]wms_lc_f!$A$1:$B$156,2,FALSE),"")</f>
        <v/>
      </c>
    </row>
    <row r="1635" spans="1:8">
      <c r="A1635" s="71">
        <v>156633</v>
      </c>
      <c r="B1635" s="69" t="s">
        <v>2609</v>
      </c>
      <c r="C1635" s="70" t="s">
        <v>1924</v>
      </c>
      <c r="D1635" s="70" t="s">
        <v>2610</v>
      </c>
      <c r="E1635" s="72">
        <v>1</v>
      </c>
      <c r="F1635" s="70"/>
      <c r="G1635" s="70" t="str">
        <f>IFERROR(VLOOKUP(A1635,[1]wms_iv_f!$A$1:$E$136,4,FALSE),"")</f>
        <v/>
      </c>
      <c r="H1635" s="95" t="str">
        <f>IFERROR(VLOOKUP(A1635,[2]wms_lc_f!$A$1:$B$156,2,FALSE),"")</f>
        <v/>
      </c>
    </row>
    <row r="1636" spans="1:8">
      <c r="A1636" s="71">
        <v>137883</v>
      </c>
      <c r="B1636" s="69" t="s">
        <v>2609</v>
      </c>
      <c r="C1636" s="70" t="s">
        <v>1923</v>
      </c>
      <c r="D1636" s="70" t="s">
        <v>2610</v>
      </c>
      <c r="E1636" s="72">
        <v>1</v>
      </c>
      <c r="F1636" s="70"/>
      <c r="G1636" s="70" t="str">
        <f>IFERROR(VLOOKUP(A1636,[1]wms_iv_f!$A$1:$E$136,4,FALSE),"")</f>
        <v/>
      </c>
      <c r="H1636" s="95" t="str">
        <f>IFERROR(VLOOKUP(A1636,[2]wms_lc_f!$A$1:$B$156,2,FALSE),"")</f>
        <v/>
      </c>
    </row>
    <row r="1637" spans="1:8">
      <c r="A1637" s="71">
        <v>123012</v>
      </c>
      <c r="B1637" s="69" t="s">
        <v>2609</v>
      </c>
      <c r="C1637" s="70" t="s">
        <v>1922</v>
      </c>
      <c r="D1637" s="70" t="s">
        <v>2610</v>
      </c>
      <c r="E1637" s="72">
        <v>1</v>
      </c>
      <c r="F1637" s="70"/>
      <c r="G1637" s="70" t="str">
        <f>IFERROR(VLOOKUP(A1637,[1]wms_iv_f!$A$1:$E$136,4,FALSE),"")</f>
        <v/>
      </c>
      <c r="H1637" s="95" t="str">
        <f>IFERROR(VLOOKUP(A1637,[2]wms_lc_f!$A$1:$B$156,2,FALSE),"")</f>
        <v/>
      </c>
    </row>
    <row r="1638" spans="1:8">
      <c r="A1638" s="71">
        <v>101413</v>
      </c>
      <c r="B1638" s="69" t="s">
        <v>2609</v>
      </c>
      <c r="C1638" s="70" t="s">
        <v>1921</v>
      </c>
      <c r="D1638" s="70" t="s">
        <v>2610</v>
      </c>
      <c r="E1638" s="72">
        <v>1</v>
      </c>
      <c r="F1638" s="70"/>
      <c r="G1638" s="70" t="str">
        <f>IFERROR(VLOOKUP(A1638,[1]wms_iv_f!$A$1:$E$136,4,FALSE),"")</f>
        <v/>
      </c>
      <c r="H1638" s="95" t="str">
        <f>IFERROR(VLOOKUP(A1638,[2]wms_lc_f!$A$1:$B$156,2,FALSE),"")</f>
        <v/>
      </c>
    </row>
    <row r="1639" spans="1:8">
      <c r="A1639" s="71">
        <v>108626</v>
      </c>
      <c r="B1639" s="69" t="s">
        <v>2609</v>
      </c>
      <c r="C1639" s="70" t="s">
        <v>1698</v>
      </c>
      <c r="D1639" s="70" t="s">
        <v>2610</v>
      </c>
      <c r="E1639" s="72">
        <v>1</v>
      </c>
      <c r="F1639" s="70"/>
      <c r="G1639" s="70" t="str">
        <f>IFERROR(VLOOKUP(A1639,[1]wms_iv_f!$A$1:$E$136,4,FALSE),"")</f>
        <v/>
      </c>
      <c r="H1639" s="95" t="str">
        <f>IFERROR(VLOOKUP(A1639,[2]wms_lc_f!$A$1:$B$156,2,FALSE),"")</f>
        <v/>
      </c>
    </row>
    <row r="1640" spans="1:8">
      <c r="A1640" s="71">
        <v>28472</v>
      </c>
      <c r="B1640" s="69" t="s">
        <v>2609</v>
      </c>
      <c r="C1640" s="70" t="s">
        <v>1697</v>
      </c>
      <c r="D1640" s="70" t="s">
        <v>2610</v>
      </c>
      <c r="E1640" s="72">
        <v>1</v>
      </c>
      <c r="F1640" s="70"/>
      <c r="G1640" s="70" t="str">
        <f>IFERROR(VLOOKUP(A1640,[1]wms_iv_f!$A$1:$E$136,4,FALSE),"")</f>
        <v/>
      </c>
      <c r="H1640" s="95" t="str">
        <f>IFERROR(VLOOKUP(A1640,[2]wms_lc_f!$A$1:$B$156,2,FALSE),"")</f>
        <v/>
      </c>
    </row>
    <row r="1641" spans="1:8">
      <c r="A1641" s="71">
        <v>100748</v>
      </c>
      <c r="B1641" s="69" t="s">
        <v>2609</v>
      </c>
      <c r="C1641" s="70" t="s">
        <v>1696</v>
      </c>
      <c r="D1641" s="70" t="s">
        <v>2610</v>
      </c>
      <c r="E1641" s="72">
        <v>1</v>
      </c>
      <c r="F1641" s="70"/>
      <c r="G1641" s="70" t="str">
        <f>IFERROR(VLOOKUP(A1641,[1]wms_iv_f!$A$1:$E$136,4,FALSE),"")</f>
        <v/>
      </c>
      <c r="H1641" s="95" t="str">
        <f>IFERROR(VLOOKUP(A1641,[2]wms_lc_f!$A$1:$B$156,2,FALSE),"")</f>
        <v/>
      </c>
    </row>
    <row r="1642" spans="1:8">
      <c r="A1642" s="71">
        <v>114978</v>
      </c>
      <c r="B1642" s="69" t="s">
        <v>2609</v>
      </c>
      <c r="C1642" s="70" t="s">
        <v>1809</v>
      </c>
      <c r="D1642" s="70" t="s">
        <v>2610</v>
      </c>
      <c r="E1642" s="72">
        <v>1</v>
      </c>
      <c r="F1642" s="70"/>
      <c r="G1642" s="70" t="str">
        <f>IFERROR(VLOOKUP(A1642,[1]wms_iv_f!$A$1:$E$136,4,FALSE),"")</f>
        <v/>
      </c>
      <c r="H1642" s="95" t="str">
        <f>IFERROR(VLOOKUP(A1642,[2]wms_lc_f!$A$1:$B$156,2,FALSE),"")</f>
        <v/>
      </c>
    </row>
    <row r="1643" spans="1:8">
      <c r="A1643" s="71">
        <v>112805</v>
      </c>
      <c r="B1643" s="69" t="s">
        <v>2609</v>
      </c>
      <c r="C1643" s="70" t="s">
        <v>1808</v>
      </c>
      <c r="D1643" s="70" t="s">
        <v>2610</v>
      </c>
      <c r="E1643" s="72">
        <v>1</v>
      </c>
      <c r="F1643" s="70"/>
      <c r="G1643" s="70" t="str">
        <f>IFERROR(VLOOKUP(A1643,[1]wms_iv_f!$A$1:$E$136,4,FALSE),"")</f>
        <v/>
      </c>
      <c r="H1643" s="95" t="str">
        <f>IFERROR(VLOOKUP(A1643,[2]wms_lc_f!$A$1:$B$156,2,FALSE),"")</f>
        <v/>
      </c>
    </row>
    <row r="1644" spans="1:8">
      <c r="A1644" s="71">
        <v>114368</v>
      </c>
      <c r="B1644" s="69" t="s">
        <v>2609</v>
      </c>
      <c r="C1644" s="70" t="s">
        <v>1807</v>
      </c>
      <c r="D1644" s="70" t="s">
        <v>2610</v>
      </c>
      <c r="E1644" s="72">
        <v>1</v>
      </c>
      <c r="F1644" s="70"/>
      <c r="G1644" s="70" t="str">
        <f>IFERROR(VLOOKUP(A1644,[1]wms_iv_f!$A$1:$E$136,4,FALSE),"")</f>
        <v/>
      </c>
      <c r="H1644" s="95" t="str">
        <f>IFERROR(VLOOKUP(A1644,[2]wms_lc_f!$A$1:$B$156,2,FALSE),"")</f>
        <v/>
      </c>
    </row>
    <row r="1645" spans="1:8">
      <c r="A1645" s="71">
        <v>726</v>
      </c>
      <c r="B1645" s="69" t="s">
        <v>2609</v>
      </c>
      <c r="C1645" s="70" t="s">
        <v>1920</v>
      </c>
      <c r="D1645" s="70" t="s">
        <v>2610</v>
      </c>
      <c r="E1645" s="72">
        <v>1</v>
      </c>
      <c r="F1645" s="70"/>
      <c r="G1645" s="70" t="str">
        <f>IFERROR(VLOOKUP(A1645,[1]wms_iv_f!$A$1:$E$136,4,FALSE),"")</f>
        <v/>
      </c>
      <c r="H1645" s="95" t="str">
        <f>IFERROR(VLOOKUP(A1645,[2]wms_lc_f!$A$1:$B$156,2,FALSE),"")</f>
        <v/>
      </c>
    </row>
    <row r="1646" spans="1:8">
      <c r="A1646" s="71">
        <v>157099</v>
      </c>
      <c r="B1646" s="69" t="s">
        <v>2609</v>
      </c>
      <c r="C1646" s="70" t="s">
        <v>1919</v>
      </c>
      <c r="D1646" s="70" t="s">
        <v>2610</v>
      </c>
      <c r="E1646" s="72">
        <v>1</v>
      </c>
      <c r="F1646" s="70"/>
      <c r="G1646" s="70" t="str">
        <f>IFERROR(VLOOKUP(A1646,[1]wms_iv_f!$A$1:$E$136,4,FALSE),"")</f>
        <v/>
      </c>
      <c r="H1646" s="95" t="str">
        <f>IFERROR(VLOOKUP(A1646,[2]wms_lc_f!$A$1:$B$156,2,FALSE),"")</f>
        <v/>
      </c>
    </row>
    <row r="1647" spans="1:8">
      <c r="A1647" s="71">
        <v>94746</v>
      </c>
      <c r="B1647" s="69" t="s">
        <v>2609</v>
      </c>
      <c r="C1647" s="70" t="s">
        <v>1918</v>
      </c>
      <c r="D1647" s="70" t="s">
        <v>2610</v>
      </c>
      <c r="E1647" s="72">
        <v>1</v>
      </c>
      <c r="F1647" s="70"/>
      <c r="G1647" s="70" t="str">
        <f>IFERROR(VLOOKUP(A1647,[1]wms_iv_f!$A$1:$E$136,4,FALSE),"")</f>
        <v/>
      </c>
      <c r="H1647" s="95" t="str">
        <f>IFERROR(VLOOKUP(A1647,[2]wms_lc_f!$A$1:$B$156,2,FALSE),"")</f>
        <v/>
      </c>
    </row>
    <row r="1648" spans="1:8">
      <c r="A1648" s="71">
        <v>70442</v>
      </c>
      <c r="B1648" s="69" t="s">
        <v>2609</v>
      </c>
      <c r="C1648" s="70" t="s">
        <v>1689</v>
      </c>
      <c r="D1648" s="70" t="s">
        <v>2610</v>
      </c>
      <c r="E1648" s="72">
        <v>1</v>
      </c>
      <c r="F1648" s="70"/>
      <c r="G1648" s="70" t="str">
        <f>IFERROR(VLOOKUP(A1648,[1]wms_iv_f!$A$1:$E$136,4,FALSE),"")</f>
        <v/>
      </c>
      <c r="H1648" s="95" t="str">
        <f>IFERROR(VLOOKUP(A1648,[2]wms_lc_f!$A$1:$B$156,2,FALSE),"")</f>
        <v/>
      </c>
    </row>
    <row r="1649" spans="1:8">
      <c r="A1649" s="71">
        <v>142639</v>
      </c>
      <c r="B1649" s="69" t="s">
        <v>2609</v>
      </c>
      <c r="C1649" s="70" t="s">
        <v>1688</v>
      </c>
      <c r="D1649" s="70" t="s">
        <v>2610</v>
      </c>
      <c r="E1649" s="72">
        <v>1</v>
      </c>
      <c r="F1649" s="70"/>
      <c r="G1649" s="70" t="str">
        <f>IFERROR(VLOOKUP(A1649,[1]wms_iv_f!$A$1:$E$136,4,FALSE),"")</f>
        <v/>
      </c>
      <c r="H1649" s="95" t="str">
        <f>IFERROR(VLOOKUP(A1649,[2]wms_lc_f!$A$1:$B$156,2,FALSE),"")</f>
        <v/>
      </c>
    </row>
    <row r="1650" spans="1:8">
      <c r="A1650" s="71">
        <v>2634</v>
      </c>
      <c r="B1650" s="69" t="s">
        <v>2609</v>
      </c>
      <c r="C1650" s="70" t="s">
        <v>1687</v>
      </c>
      <c r="D1650" s="70" t="s">
        <v>2610</v>
      </c>
      <c r="E1650" s="72">
        <v>1</v>
      </c>
      <c r="F1650" s="70"/>
      <c r="G1650" s="70" t="str">
        <f>IFERROR(VLOOKUP(A1650,[1]wms_iv_f!$A$1:$E$136,4,FALSE),"")</f>
        <v/>
      </c>
      <c r="H1650" s="95" t="str">
        <f>IFERROR(VLOOKUP(A1650,[2]wms_lc_f!$A$1:$B$156,2,FALSE),"")</f>
        <v/>
      </c>
    </row>
    <row r="1651" spans="1:8">
      <c r="A1651" s="71">
        <v>99840</v>
      </c>
      <c r="B1651" s="69" t="s">
        <v>2609</v>
      </c>
      <c r="C1651" s="70" t="s">
        <v>1686</v>
      </c>
      <c r="D1651" s="70" t="s">
        <v>2610</v>
      </c>
      <c r="E1651" s="72">
        <v>1</v>
      </c>
      <c r="F1651" s="70"/>
      <c r="G1651" s="70" t="str">
        <f>IFERROR(VLOOKUP(A1651,[1]wms_iv_f!$A$1:$E$136,4,FALSE),"")</f>
        <v/>
      </c>
      <c r="H1651" s="95" t="str">
        <f>IFERROR(VLOOKUP(A1651,[2]wms_lc_f!$A$1:$B$156,2,FALSE),"")</f>
        <v/>
      </c>
    </row>
    <row r="1652" spans="1:8">
      <c r="A1652" s="71">
        <v>9124</v>
      </c>
      <c r="B1652" s="69" t="s">
        <v>2609</v>
      </c>
      <c r="C1652" s="70" t="s">
        <v>1685</v>
      </c>
      <c r="D1652" s="70" t="s">
        <v>2610</v>
      </c>
      <c r="E1652" s="72">
        <v>1</v>
      </c>
      <c r="F1652" s="70"/>
      <c r="G1652" s="70" t="str">
        <f>IFERROR(VLOOKUP(A1652,[1]wms_iv_f!$A$1:$E$136,4,FALSE),"")</f>
        <v/>
      </c>
      <c r="H1652" s="95" t="str">
        <f>IFERROR(VLOOKUP(A1652,[2]wms_lc_f!$A$1:$B$156,2,FALSE),"")</f>
        <v/>
      </c>
    </row>
    <row r="1653" spans="1:8">
      <c r="A1653" s="71">
        <v>138566</v>
      </c>
      <c r="B1653" s="69" t="s">
        <v>2609</v>
      </c>
      <c r="C1653" s="70" t="s">
        <v>1684</v>
      </c>
      <c r="D1653" s="70" t="s">
        <v>2610</v>
      </c>
      <c r="E1653" s="72">
        <v>1</v>
      </c>
      <c r="F1653" s="70"/>
      <c r="G1653" s="70" t="str">
        <f>IFERROR(VLOOKUP(A1653,[1]wms_iv_f!$A$1:$E$136,4,FALSE),"")</f>
        <v/>
      </c>
      <c r="H1653" s="95" t="str">
        <f>IFERROR(VLOOKUP(A1653,[2]wms_lc_f!$A$1:$B$156,2,FALSE),"")</f>
        <v/>
      </c>
    </row>
    <row r="1654" spans="1:8">
      <c r="A1654" s="71">
        <v>73227</v>
      </c>
      <c r="B1654" s="69" t="s">
        <v>2609</v>
      </c>
      <c r="C1654" s="70" t="s">
        <v>1800</v>
      </c>
      <c r="D1654" s="70" t="s">
        <v>2610</v>
      </c>
      <c r="E1654" s="72">
        <v>1</v>
      </c>
      <c r="F1654" s="70"/>
      <c r="G1654" s="70" t="str">
        <f>IFERROR(VLOOKUP(A1654,[1]wms_iv_f!$A$1:$E$136,4,FALSE),"")</f>
        <v/>
      </c>
      <c r="H1654" s="95" t="str">
        <f>IFERROR(VLOOKUP(A1654,[2]wms_lc_f!$A$1:$B$156,2,FALSE),"")</f>
        <v/>
      </c>
    </row>
    <row r="1655" spans="1:8">
      <c r="A1655" s="71">
        <v>157448</v>
      </c>
      <c r="B1655" s="69" t="s">
        <v>2609</v>
      </c>
      <c r="C1655" s="70" t="s">
        <v>1799</v>
      </c>
      <c r="D1655" s="70" t="s">
        <v>2610</v>
      </c>
      <c r="E1655" s="72">
        <v>1</v>
      </c>
      <c r="F1655" s="70"/>
      <c r="G1655" s="70" t="str">
        <f>IFERROR(VLOOKUP(A1655,[1]wms_iv_f!$A$1:$E$136,4,FALSE),"")</f>
        <v/>
      </c>
      <c r="H1655" s="95" t="str">
        <f>IFERROR(VLOOKUP(A1655,[2]wms_lc_f!$A$1:$B$156,2,FALSE),"")</f>
        <v/>
      </c>
    </row>
    <row r="1656" spans="1:8">
      <c r="A1656" s="71">
        <v>141230</v>
      </c>
      <c r="B1656" s="69" t="s">
        <v>2609</v>
      </c>
      <c r="C1656" s="70" t="s">
        <v>1798</v>
      </c>
      <c r="D1656" s="70" t="s">
        <v>2610</v>
      </c>
      <c r="E1656" s="72">
        <v>1</v>
      </c>
      <c r="F1656" s="70"/>
      <c r="G1656" s="70" t="str">
        <f>IFERROR(VLOOKUP(A1656,[1]wms_iv_f!$A$1:$E$136,4,FALSE),"")</f>
        <v/>
      </c>
      <c r="H1656" s="95" t="str">
        <f>IFERROR(VLOOKUP(A1656,[2]wms_lc_f!$A$1:$B$156,2,FALSE),"")</f>
        <v/>
      </c>
    </row>
    <row r="1657" spans="1:8">
      <c r="A1657" s="71">
        <v>114046</v>
      </c>
      <c r="B1657" s="69" t="s">
        <v>2609</v>
      </c>
      <c r="C1657" s="70" t="s">
        <v>1797</v>
      </c>
      <c r="D1657" s="70" t="s">
        <v>2610</v>
      </c>
      <c r="E1657" s="72">
        <v>1</v>
      </c>
      <c r="F1657" s="70"/>
      <c r="G1657" s="70" t="str">
        <f>IFERROR(VLOOKUP(A1657,[1]wms_iv_f!$A$1:$E$136,4,FALSE),"")</f>
        <v/>
      </c>
      <c r="H1657" s="95" t="str">
        <f>IFERROR(VLOOKUP(A1657,[2]wms_lc_f!$A$1:$B$156,2,FALSE),"")</f>
        <v/>
      </c>
    </row>
    <row r="1658" spans="1:8">
      <c r="A1658" s="71">
        <v>9280</v>
      </c>
      <c r="B1658" s="69" t="s">
        <v>2609</v>
      </c>
      <c r="C1658" s="70" t="s">
        <v>1796</v>
      </c>
      <c r="D1658" s="70" t="s">
        <v>2610</v>
      </c>
      <c r="E1658" s="72">
        <v>1</v>
      </c>
      <c r="F1658" s="70"/>
      <c r="G1658" s="70" t="str">
        <f>IFERROR(VLOOKUP(A1658,[1]wms_iv_f!$A$1:$E$136,4,FALSE),"")</f>
        <v/>
      </c>
      <c r="H1658" s="95" t="str">
        <f>IFERROR(VLOOKUP(A1658,[2]wms_lc_f!$A$1:$B$156,2,FALSE),"")</f>
        <v/>
      </c>
    </row>
    <row r="1659" spans="1:8">
      <c r="A1659" s="71">
        <v>130206</v>
      </c>
      <c r="B1659" s="69" t="s">
        <v>2609</v>
      </c>
      <c r="C1659" s="70" t="s">
        <v>1795</v>
      </c>
      <c r="D1659" s="70" t="s">
        <v>2610</v>
      </c>
      <c r="E1659" s="72">
        <v>1</v>
      </c>
      <c r="F1659" s="70"/>
      <c r="G1659" s="70" t="str">
        <f>IFERROR(VLOOKUP(A1659,[1]wms_iv_f!$A$1:$E$136,4,FALSE),"")</f>
        <v/>
      </c>
      <c r="H1659" s="95" t="str">
        <f>IFERROR(VLOOKUP(A1659,[2]wms_lc_f!$A$1:$B$156,2,FALSE),"")</f>
        <v/>
      </c>
    </row>
    <row r="1660" spans="1:8">
      <c r="A1660" s="71">
        <v>59</v>
      </c>
      <c r="B1660" s="69" t="s">
        <v>2609</v>
      </c>
      <c r="C1660" s="70" t="s">
        <v>1911</v>
      </c>
      <c r="D1660" s="70" t="s">
        <v>2610</v>
      </c>
      <c r="E1660" s="72">
        <v>1</v>
      </c>
      <c r="F1660" s="70"/>
      <c r="G1660" s="70" t="str">
        <f>IFERROR(VLOOKUP(A1660,[1]wms_iv_f!$A$1:$E$136,4,FALSE),"")</f>
        <v/>
      </c>
      <c r="H1660" s="95" t="str">
        <f>IFERROR(VLOOKUP(A1660,[2]wms_lc_f!$A$1:$B$156,2,FALSE),"")</f>
        <v/>
      </c>
    </row>
    <row r="1661" spans="1:8">
      <c r="A1661" s="71">
        <v>140670</v>
      </c>
      <c r="B1661" s="69" t="s">
        <v>2609</v>
      </c>
      <c r="C1661" s="70" t="s">
        <v>1910</v>
      </c>
      <c r="D1661" s="70" t="s">
        <v>2610</v>
      </c>
      <c r="E1661" s="72">
        <v>1</v>
      </c>
      <c r="F1661" s="70"/>
      <c r="G1661" s="70" t="str">
        <f>IFERROR(VLOOKUP(A1661,[1]wms_iv_f!$A$1:$E$136,4,FALSE),"")</f>
        <v/>
      </c>
      <c r="H1661" s="95" t="str">
        <f>IFERROR(VLOOKUP(A1661,[2]wms_lc_f!$A$1:$B$156,2,FALSE),"")</f>
        <v/>
      </c>
    </row>
    <row r="1662" spans="1:8">
      <c r="A1662" s="71">
        <v>83787</v>
      </c>
      <c r="B1662" s="69" t="s">
        <v>2609</v>
      </c>
      <c r="C1662" s="70" t="s">
        <v>1909</v>
      </c>
      <c r="D1662" s="70" t="s">
        <v>2610</v>
      </c>
      <c r="E1662" s="72">
        <v>1</v>
      </c>
      <c r="F1662" s="70"/>
      <c r="G1662" s="70" t="str">
        <f>IFERROR(VLOOKUP(A1662,[1]wms_iv_f!$A$1:$E$136,4,FALSE),"")</f>
        <v/>
      </c>
      <c r="H1662" s="95" t="str">
        <f>IFERROR(VLOOKUP(A1662,[2]wms_lc_f!$A$1:$B$156,2,FALSE),"")</f>
        <v/>
      </c>
    </row>
    <row r="1663" spans="1:8">
      <c r="A1663" s="71">
        <v>52</v>
      </c>
      <c r="B1663" s="69" t="s">
        <v>2609</v>
      </c>
      <c r="C1663" s="70" t="s">
        <v>1908</v>
      </c>
      <c r="D1663" s="70" t="s">
        <v>2610</v>
      </c>
      <c r="E1663" s="72">
        <v>1</v>
      </c>
      <c r="F1663" s="70"/>
      <c r="G1663" s="70" t="str">
        <f>IFERROR(VLOOKUP(A1663,[1]wms_iv_f!$A$1:$E$136,4,FALSE),"")</f>
        <v/>
      </c>
      <c r="H1663" s="95" t="str">
        <f>IFERROR(VLOOKUP(A1663,[2]wms_lc_f!$A$1:$B$156,2,FALSE),"")</f>
        <v/>
      </c>
    </row>
    <row r="1664" spans="1:8">
      <c r="A1664" s="71">
        <v>9458</v>
      </c>
      <c r="B1664" s="69" t="s">
        <v>2609</v>
      </c>
      <c r="C1664" s="70" t="s">
        <v>1907</v>
      </c>
      <c r="D1664" s="70" t="s">
        <v>2610</v>
      </c>
      <c r="E1664" s="72">
        <v>1</v>
      </c>
      <c r="F1664" s="70"/>
      <c r="G1664" s="70" t="str">
        <f>IFERROR(VLOOKUP(A1664,[1]wms_iv_f!$A$1:$E$136,4,FALSE),"")</f>
        <v/>
      </c>
      <c r="H1664" s="95" t="str">
        <f>IFERROR(VLOOKUP(A1664,[2]wms_lc_f!$A$1:$B$156,2,FALSE),"")</f>
        <v/>
      </c>
    </row>
    <row r="1665" spans="1:8">
      <c r="A1665" s="71">
        <v>135997</v>
      </c>
      <c r="B1665" s="69" t="s">
        <v>2609</v>
      </c>
      <c r="C1665" s="70" t="s">
        <v>1906</v>
      </c>
      <c r="D1665" s="70" t="s">
        <v>2610</v>
      </c>
      <c r="E1665" s="72">
        <v>1</v>
      </c>
      <c r="F1665" s="70"/>
      <c r="G1665" s="70" t="str">
        <f>IFERROR(VLOOKUP(A1665,[1]wms_iv_f!$A$1:$E$136,4,FALSE),"")</f>
        <v/>
      </c>
      <c r="H1665" s="95" t="str">
        <f>IFERROR(VLOOKUP(A1665,[2]wms_lc_f!$A$1:$B$156,2,FALSE),"")</f>
        <v/>
      </c>
    </row>
    <row r="1666" spans="1:8">
      <c r="A1666" s="71">
        <v>157096</v>
      </c>
      <c r="B1666" s="69" t="s">
        <v>2613</v>
      </c>
      <c r="C1666" s="70" t="s">
        <v>2572</v>
      </c>
      <c r="D1666" s="70" t="s">
        <v>2610</v>
      </c>
      <c r="E1666" s="72">
        <v>1</v>
      </c>
      <c r="F1666" s="70"/>
      <c r="G1666" s="70" t="str">
        <f>IFERROR(VLOOKUP(A1666,[1]wms_iv_f!$A$1:$E$136,4,FALSE),"")</f>
        <v/>
      </c>
      <c r="H1666" s="95" t="str">
        <f>IFERROR(VLOOKUP(A1666,[2]wms_lc_f!$A$1:$B$156,2,FALSE),"")</f>
        <v/>
      </c>
    </row>
    <row r="1667" spans="1:8">
      <c r="A1667" s="71">
        <v>101027</v>
      </c>
      <c r="B1667" s="69" t="s">
        <v>2613</v>
      </c>
      <c r="C1667" s="70" t="s">
        <v>2374</v>
      </c>
      <c r="D1667" s="70" t="s">
        <v>2610</v>
      </c>
      <c r="E1667" s="72">
        <v>1</v>
      </c>
      <c r="F1667" s="70"/>
      <c r="G1667" s="70" t="str">
        <f>IFERROR(VLOOKUP(A1667,[1]wms_iv_f!$A$1:$E$136,4,FALSE),"")</f>
        <v/>
      </c>
      <c r="H1667" s="95" t="str">
        <f>IFERROR(VLOOKUP(A1667,[2]wms_lc_f!$A$1:$B$156,2,FALSE),"")</f>
        <v/>
      </c>
    </row>
    <row r="1668" spans="1:8">
      <c r="A1668" s="71">
        <v>2553</v>
      </c>
      <c r="B1668" s="69" t="s">
        <v>2613</v>
      </c>
      <c r="C1668" s="70" t="s">
        <v>2375</v>
      </c>
      <c r="D1668" s="70" t="s">
        <v>2610</v>
      </c>
      <c r="E1668" s="72">
        <v>1</v>
      </c>
      <c r="F1668" s="70"/>
      <c r="G1668" s="70" t="str">
        <f>IFERROR(VLOOKUP(A1668,[1]wms_iv_f!$A$1:$E$136,4,FALSE),"")</f>
        <v/>
      </c>
      <c r="H1668" s="95" t="str">
        <f>IFERROR(VLOOKUP(A1668,[2]wms_lc_f!$A$1:$B$156,2,FALSE),"")</f>
        <v/>
      </c>
    </row>
    <row r="1669" spans="1:8">
      <c r="A1669" s="71">
        <v>133696</v>
      </c>
      <c r="B1669" s="69" t="s">
        <v>2613</v>
      </c>
      <c r="C1669" s="70" t="s">
        <v>2376</v>
      </c>
      <c r="D1669" s="70" t="s">
        <v>2610</v>
      </c>
      <c r="E1669" s="72">
        <v>1</v>
      </c>
      <c r="F1669" s="70"/>
      <c r="G1669" s="70" t="str">
        <f>IFERROR(VLOOKUP(A1669,[1]wms_iv_f!$A$1:$E$136,4,FALSE),"")</f>
        <v/>
      </c>
      <c r="H1669" s="95" t="str">
        <f>IFERROR(VLOOKUP(A1669,[2]wms_lc_f!$A$1:$B$156,2,FALSE),"")</f>
        <v/>
      </c>
    </row>
    <row r="1670" spans="1:8">
      <c r="A1670" s="71">
        <v>110260</v>
      </c>
      <c r="B1670" s="69" t="s">
        <v>2613</v>
      </c>
      <c r="C1670" s="70" t="s">
        <v>2378</v>
      </c>
      <c r="D1670" s="70" t="s">
        <v>2610</v>
      </c>
      <c r="E1670" s="72">
        <v>1</v>
      </c>
      <c r="F1670" s="70"/>
      <c r="G1670" s="70" t="str">
        <f>IFERROR(VLOOKUP(A1670,[1]wms_iv_f!$A$1:$E$136,4,FALSE),"")</f>
        <v/>
      </c>
      <c r="H1670" s="95" t="str">
        <f>IFERROR(VLOOKUP(A1670,[2]wms_lc_f!$A$1:$B$156,2,FALSE),"")</f>
        <v/>
      </c>
    </row>
    <row r="1671" spans="1:8">
      <c r="A1671" s="71">
        <v>105512</v>
      </c>
      <c r="B1671" s="69" t="s">
        <v>2613</v>
      </c>
      <c r="C1671" s="70" t="s">
        <v>2484</v>
      </c>
      <c r="D1671" s="70" t="s">
        <v>2610</v>
      </c>
      <c r="E1671" s="72">
        <v>1</v>
      </c>
      <c r="F1671" s="70"/>
      <c r="G1671" s="70" t="str">
        <f>IFERROR(VLOOKUP(A1671,[1]wms_iv_f!$A$1:$E$136,4,FALSE),"")</f>
        <v/>
      </c>
      <c r="H1671" s="95" t="str">
        <f>IFERROR(VLOOKUP(A1671,[2]wms_lc_f!$A$1:$B$156,2,FALSE),"")</f>
        <v/>
      </c>
    </row>
    <row r="1672" spans="1:8">
      <c r="A1672" s="71">
        <v>138845</v>
      </c>
      <c r="B1672" s="69" t="s">
        <v>2613</v>
      </c>
      <c r="C1672" s="70" t="s">
        <v>2485</v>
      </c>
      <c r="D1672" s="70" t="s">
        <v>2610</v>
      </c>
      <c r="E1672" s="72">
        <v>1</v>
      </c>
      <c r="F1672" s="70"/>
      <c r="G1672" s="70" t="str">
        <f>IFERROR(VLOOKUP(A1672,[1]wms_iv_f!$A$1:$E$136,4,FALSE),"")</f>
        <v/>
      </c>
      <c r="H1672" s="95" t="str">
        <f>IFERROR(VLOOKUP(A1672,[2]wms_lc_f!$A$1:$B$156,2,FALSE),"")</f>
        <v/>
      </c>
    </row>
    <row r="1673" spans="1:8">
      <c r="A1673" s="71">
        <v>138844</v>
      </c>
      <c r="B1673" s="69" t="s">
        <v>2613</v>
      </c>
      <c r="C1673" s="70" t="s">
        <v>2486</v>
      </c>
      <c r="D1673" s="70" t="s">
        <v>2610</v>
      </c>
      <c r="E1673" s="72">
        <v>1</v>
      </c>
      <c r="F1673" s="70"/>
      <c r="G1673" s="70" t="str">
        <f>IFERROR(VLOOKUP(A1673,[1]wms_iv_f!$A$1:$E$136,4,FALSE),"")</f>
        <v/>
      </c>
      <c r="H1673" s="95" t="str">
        <f>IFERROR(VLOOKUP(A1673,[2]wms_lc_f!$A$1:$B$156,2,FALSE),"")</f>
        <v/>
      </c>
    </row>
    <row r="1674" spans="1:8">
      <c r="A1674" s="71">
        <v>114768</v>
      </c>
      <c r="B1674" s="69" t="s">
        <v>2613</v>
      </c>
      <c r="C1674" s="70" t="s">
        <v>2487</v>
      </c>
      <c r="D1674" s="70" t="s">
        <v>2610</v>
      </c>
      <c r="E1674" s="72">
        <v>1</v>
      </c>
      <c r="F1674" s="70"/>
      <c r="G1674" s="70" t="str">
        <f>IFERROR(VLOOKUP(A1674,[1]wms_iv_f!$A$1:$E$136,4,FALSE),"")</f>
        <v/>
      </c>
      <c r="H1674" s="95" t="str">
        <f>IFERROR(VLOOKUP(A1674,[2]wms_lc_f!$A$1:$B$156,2,FALSE),"")</f>
        <v/>
      </c>
    </row>
    <row r="1675" spans="1:8">
      <c r="A1675" s="71">
        <v>97477</v>
      </c>
      <c r="B1675" s="69" t="s">
        <v>2613</v>
      </c>
      <c r="C1675" s="70" t="s">
        <v>2489</v>
      </c>
      <c r="D1675" s="70" t="s">
        <v>2610</v>
      </c>
      <c r="E1675" s="72">
        <v>1</v>
      </c>
      <c r="F1675" s="70"/>
      <c r="G1675" s="70" t="str">
        <f>IFERROR(VLOOKUP(A1675,[1]wms_iv_f!$A$1:$E$136,4,FALSE),"")</f>
        <v/>
      </c>
      <c r="H1675" s="95" t="str">
        <f>IFERROR(VLOOKUP(A1675,[2]wms_lc_f!$A$1:$B$156,2,FALSE),"")</f>
        <v/>
      </c>
    </row>
    <row r="1676" spans="1:8">
      <c r="A1676" s="71">
        <v>11671</v>
      </c>
      <c r="B1676" s="69" t="s">
        <v>2613</v>
      </c>
      <c r="C1676" s="70" t="s">
        <v>2595</v>
      </c>
      <c r="D1676" s="70" t="s">
        <v>2610</v>
      </c>
      <c r="E1676" s="72">
        <v>1</v>
      </c>
      <c r="F1676" s="70"/>
      <c r="G1676" s="70" t="str">
        <f>IFERROR(VLOOKUP(A1676,[1]wms_iv_f!$A$1:$E$136,4,FALSE),"")</f>
        <v/>
      </c>
      <c r="H1676" s="95" t="str">
        <f>IFERROR(VLOOKUP(A1676,[2]wms_lc_f!$A$1:$B$156,2,FALSE),"")</f>
        <v/>
      </c>
    </row>
    <row r="1677" spans="1:8">
      <c r="A1677" s="71">
        <v>110810</v>
      </c>
      <c r="B1677" s="69" t="s">
        <v>2613</v>
      </c>
      <c r="C1677" s="70" t="s">
        <v>2596</v>
      </c>
      <c r="D1677" s="70" t="s">
        <v>2610</v>
      </c>
      <c r="E1677" s="72">
        <v>1</v>
      </c>
      <c r="F1677" s="70"/>
      <c r="G1677" s="70" t="str">
        <f>IFERROR(VLOOKUP(A1677,[1]wms_iv_f!$A$1:$E$136,4,FALSE),"")</f>
        <v/>
      </c>
      <c r="H1677" s="95" t="str">
        <f>IFERROR(VLOOKUP(A1677,[2]wms_lc_f!$A$1:$B$156,2,FALSE),"")</f>
        <v/>
      </c>
    </row>
    <row r="1678" spans="1:8">
      <c r="A1678" s="71">
        <v>77641</v>
      </c>
      <c r="B1678" s="69" t="s">
        <v>2613</v>
      </c>
      <c r="C1678" s="70" t="s">
        <v>2597</v>
      </c>
      <c r="D1678" s="70" t="s">
        <v>2610</v>
      </c>
      <c r="E1678" s="72">
        <v>1</v>
      </c>
      <c r="F1678" s="70"/>
      <c r="G1678" s="70" t="str">
        <f>IFERROR(VLOOKUP(A1678,[1]wms_iv_f!$A$1:$E$136,4,FALSE),"")</f>
        <v/>
      </c>
      <c r="H1678" s="95" t="str">
        <f>IFERROR(VLOOKUP(A1678,[2]wms_lc_f!$A$1:$B$156,2,FALSE),"")</f>
        <v/>
      </c>
    </row>
    <row r="1679" spans="1:8">
      <c r="A1679" s="71">
        <v>132597</v>
      </c>
      <c r="B1679" s="69" t="s">
        <v>2613</v>
      </c>
      <c r="C1679" s="70" t="s">
        <v>2598</v>
      </c>
      <c r="D1679" s="70" t="s">
        <v>2610</v>
      </c>
      <c r="E1679" s="72">
        <v>1</v>
      </c>
      <c r="F1679" s="70"/>
      <c r="G1679" s="70" t="str">
        <f>IFERROR(VLOOKUP(A1679,[1]wms_iv_f!$A$1:$E$136,4,FALSE),"")</f>
        <v/>
      </c>
      <c r="H1679" s="95" t="str">
        <f>IFERROR(VLOOKUP(A1679,[2]wms_lc_f!$A$1:$B$156,2,FALSE),"")</f>
        <v/>
      </c>
    </row>
    <row r="1680" spans="1:8">
      <c r="A1680" s="71">
        <v>97208</v>
      </c>
      <c r="B1680" s="69" t="s">
        <v>2613</v>
      </c>
      <c r="C1680" s="70" t="s">
        <v>2600</v>
      </c>
      <c r="D1680" s="70" t="s">
        <v>2610</v>
      </c>
      <c r="E1680" s="72">
        <v>1</v>
      </c>
      <c r="F1680" s="70"/>
      <c r="G1680" s="70" t="str">
        <f>IFERROR(VLOOKUP(A1680,[1]wms_iv_f!$A$1:$E$136,4,FALSE),"")</f>
        <v/>
      </c>
      <c r="H1680" s="95" t="str">
        <f>IFERROR(VLOOKUP(A1680,[2]wms_lc_f!$A$1:$B$156,2,FALSE),"")</f>
        <v/>
      </c>
    </row>
    <row r="1681" spans="1:8">
      <c r="A1681" s="71">
        <v>96943</v>
      </c>
      <c r="B1681" s="69" t="s">
        <v>2613</v>
      </c>
      <c r="C1681" s="70" t="s">
        <v>2007</v>
      </c>
      <c r="D1681" s="70" t="s">
        <v>2610</v>
      </c>
      <c r="E1681" s="72">
        <v>1</v>
      </c>
      <c r="F1681" s="70"/>
      <c r="G1681" s="70" t="str">
        <f>IFERROR(VLOOKUP(A1681,[1]wms_iv_f!$A$1:$E$136,4,FALSE),"")</f>
        <v/>
      </c>
      <c r="H1681" s="95" t="str">
        <f>IFERROR(VLOOKUP(A1681,[2]wms_lc_f!$A$1:$B$156,2,FALSE),"")</f>
        <v/>
      </c>
    </row>
    <row r="1682" spans="1:8">
      <c r="A1682" s="71">
        <v>139710</v>
      </c>
      <c r="B1682" s="69" t="s">
        <v>2613</v>
      </c>
      <c r="C1682" s="70" t="s">
        <v>2253</v>
      </c>
      <c r="D1682" s="70" t="s">
        <v>2610</v>
      </c>
      <c r="E1682" s="72">
        <v>1</v>
      </c>
      <c r="F1682" s="70"/>
      <c r="G1682" s="70" t="str">
        <f>IFERROR(VLOOKUP(A1682,[1]wms_iv_f!$A$1:$E$136,4,FALSE),"")</f>
        <v/>
      </c>
      <c r="H1682" s="95" t="str">
        <f>IFERROR(VLOOKUP(A1682,[2]wms_lc_f!$A$1:$B$156,2,FALSE),"")</f>
        <v/>
      </c>
    </row>
    <row r="1683" spans="1:8">
      <c r="A1683" s="71">
        <v>156171</v>
      </c>
      <c r="B1683" s="69" t="s">
        <v>2613</v>
      </c>
      <c r="C1683" s="70" t="s">
        <v>2254</v>
      </c>
      <c r="D1683" s="70" t="s">
        <v>2610</v>
      </c>
      <c r="E1683" s="72">
        <v>1</v>
      </c>
      <c r="F1683" s="70"/>
      <c r="G1683" s="70" t="str">
        <f>IFERROR(VLOOKUP(A1683,[1]wms_iv_f!$A$1:$E$136,4,FALSE),"")</f>
        <v/>
      </c>
      <c r="H1683" s="95" t="str">
        <f>IFERROR(VLOOKUP(A1683,[2]wms_lc_f!$A$1:$B$156,2,FALSE),"")</f>
        <v/>
      </c>
    </row>
    <row r="1684" spans="1:8">
      <c r="A1684" s="71">
        <v>157708</v>
      </c>
      <c r="B1684" s="69" t="s">
        <v>2613</v>
      </c>
      <c r="C1684" s="70" t="s">
        <v>2140</v>
      </c>
      <c r="D1684" s="70" t="s">
        <v>2610</v>
      </c>
      <c r="E1684" s="72">
        <v>1</v>
      </c>
      <c r="F1684" s="70"/>
      <c r="G1684" s="70" t="str">
        <f>IFERROR(VLOOKUP(A1684,[1]wms_iv_f!$A$1:$E$136,4,FALSE),"")</f>
        <v/>
      </c>
      <c r="H1684" s="95" t="str">
        <f>IFERROR(VLOOKUP(A1684,[2]wms_lc_f!$A$1:$B$156,2,FALSE),"")</f>
        <v/>
      </c>
    </row>
    <row r="1685" spans="1:8">
      <c r="A1685" s="71">
        <v>86758</v>
      </c>
      <c r="B1685" s="69" t="s">
        <v>2613</v>
      </c>
      <c r="C1685" s="70" t="s">
        <v>2142</v>
      </c>
      <c r="D1685" s="70" t="s">
        <v>2610</v>
      </c>
      <c r="E1685" s="72">
        <v>1</v>
      </c>
      <c r="F1685" s="70"/>
      <c r="G1685" s="70" t="str">
        <f>IFERROR(VLOOKUP(A1685,[1]wms_iv_f!$A$1:$E$136,4,FALSE),"")</f>
        <v/>
      </c>
      <c r="H1685" s="95" t="str">
        <f>IFERROR(VLOOKUP(A1685,[2]wms_lc_f!$A$1:$B$156,2,FALSE),"")</f>
        <v/>
      </c>
    </row>
    <row r="1686" spans="1:8">
      <c r="A1686" s="71">
        <v>122687</v>
      </c>
      <c r="B1686" s="69" t="s">
        <v>2613</v>
      </c>
      <c r="C1686" s="70" t="s">
        <v>2143</v>
      </c>
      <c r="D1686" s="70" t="s">
        <v>2610</v>
      </c>
      <c r="E1686" s="72">
        <v>1</v>
      </c>
      <c r="F1686" s="70"/>
      <c r="G1686" s="70" t="str">
        <f>IFERROR(VLOOKUP(A1686,[1]wms_iv_f!$A$1:$E$136,4,FALSE),"")</f>
        <v/>
      </c>
      <c r="H1686" s="95" t="str">
        <f>IFERROR(VLOOKUP(A1686,[2]wms_lc_f!$A$1:$B$156,2,FALSE),"")</f>
        <v/>
      </c>
    </row>
    <row r="1687" spans="1:8">
      <c r="A1687" s="71">
        <v>136453</v>
      </c>
      <c r="B1687" s="69" t="s">
        <v>2613</v>
      </c>
      <c r="C1687" s="70" t="s">
        <v>2144</v>
      </c>
      <c r="D1687" s="70" t="s">
        <v>2610</v>
      </c>
      <c r="E1687" s="72">
        <v>1</v>
      </c>
      <c r="F1687" s="70"/>
      <c r="G1687" s="70" t="str">
        <f>IFERROR(VLOOKUP(A1687,[1]wms_iv_f!$A$1:$E$136,4,FALSE),"")</f>
        <v/>
      </c>
      <c r="H1687" s="95" t="str">
        <f>IFERROR(VLOOKUP(A1687,[2]wms_lc_f!$A$1:$B$156,2,FALSE),"")</f>
        <v/>
      </c>
    </row>
    <row r="1688" spans="1:8">
      <c r="A1688" s="71">
        <v>31494</v>
      </c>
      <c r="B1688" s="69" t="s">
        <v>2613</v>
      </c>
      <c r="C1688" s="70" t="s">
        <v>2145</v>
      </c>
      <c r="D1688" s="70" t="s">
        <v>2610</v>
      </c>
      <c r="E1688" s="72">
        <v>1</v>
      </c>
      <c r="F1688" s="70"/>
      <c r="G1688" s="70" t="str">
        <f>IFERROR(VLOOKUP(A1688,[1]wms_iv_f!$A$1:$E$136,4,FALSE),"")</f>
        <v/>
      </c>
      <c r="H1688" s="95" t="str">
        <f>IFERROR(VLOOKUP(A1688,[2]wms_lc_f!$A$1:$B$156,2,FALSE),"")</f>
        <v/>
      </c>
    </row>
    <row r="1689" spans="1:8">
      <c r="A1689" s="71">
        <v>157079</v>
      </c>
      <c r="B1689" s="69" t="s">
        <v>2613</v>
      </c>
      <c r="C1689" s="70" t="s">
        <v>2031</v>
      </c>
      <c r="D1689" s="70" t="s">
        <v>2610</v>
      </c>
      <c r="E1689" s="72">
        <v>1</v>
      </c>
      <c r="F1689" s="70"/>
      <c r="G1689" s="70" t="str">
        <f>IFERROR(VLOOKUP(A1689,[1]wms_iv_f!$A$1:$E$136,4,FALSE),"")</f>
        <v/>
      </c>
      <c r="H1689" s="95" t="str">
        <f>IFERROR(VLOOKUP(A1689,[2]wms_lc_f!$A$1:$B$156,2,FALSE),"")</f>
        <v/>
      </c>
    </row>
    <row r="1690" spans="1:8">
      <c r="A1690" s="71">
        <v>138846</v>
      </c>
      <c r="B1690" s="69" t="s">
        <v>2613</v>
      </c>
      <c r="C1690" s="70" t="s">
        <v>2032</v>
      </c>
      <c r="D1690" s="70" t="s">
        <v>2610</v>
      </c>
      <c r="E1690" s="72">
        <v>1</v>
      </c>
      <c r="F1690" s="70"/>
      <c r="G1690" s="70" t="str">
        <f>IFERROR(VLOOKUP(A1690,[1]wms_iv_f!$A$1:$E$136,4,FALSE),"")</f>
        <v/>
      </c>
      <c r="H1690" s="95" t="str">
        <f>IFERROR(VLOOKUP(A1690,[2]wms_lc_f!$A$1:$B$156,2,FALSE),"")</f>
        <v/>
      </c>
    </row>
    <row r="1691" spans="1:8">
      <c r="A1691" s="71">
        <v>96319</v>
      </c>
      <c r="B1691" s="69" t="s">
        <v>2613</v>
      </c>
      <c r="C1691" s="70" t="s">
        <v>2033</v>
      </c>
      <c r="D1691" s="70" t="s">
        <v>2610</v>
      </c>
      <c r="E1691" s="72">
        <v>1</v>
      </c>
      <c r="F1691" s="70"/>
      <c r="G1691" s="70" t="str">
        <f>IFERROR(VLOOKUP(A1691,[1]wms_iv_f!$A$1:$E$136,4,FALSE),"")</f>
        <v/>
      </c>
      <c r="H1691" s="95" t="str">
        <f>IFERROR(VLOOKUP(A1691,[2]wms_lc_f!$A$1:$B$156,2,FALSE),"")</f>
        <v/>
      </c>
    </row>
    <row r="1692" spans="1:8">
      <c r="A1692" s="71">
        <v>5300</v>
      </c>
      <c r="B1692" s="69" t="s">
        <v>2613</v>
      </c>
      <c r="C1692" s="70" t="s">
        <v>2034</v>
      </c>
      <c r="D1692" s="70" t="s">
        <v>2610</v>
      </c>
      <c r="E1692" s="72">
        <v>1</v>
      </c>
      <c r="F1692" s="70"/>
      <c r="G1692" s="70" t="str">
        <f>IFERROR(VLOOKUP(A1692,[1]wms_iv_f!$A$1:$E$136,4,FALSE),"")</f>
        <v/>
      </c>
      <c r="H1692" s="95" t="str">
        <f>IFERROR(VLOOKUP(A1692,[2]wms_lc_f!$A$1:$B$156,2,FALSE),"")</f>
        <v/>
      </c>
    </row>
    <row r="1693" spans="1:8">
      <c r="A1693" s="71">
        <v>142590</v>
      </c>
      <c r="B1693" s="69" t="s">
        <v>2613</v>
      </c>
      <c r="C1693" s="70" t="s">
        <v>2035</v>
      </c>
      <c r="D1693" s="70" t="s">
        <v>2610</v>
      </c>
      <c r="E1693" s="72">
        <v>1</v>
      </c>
      <c r="F1693" s="70"/>
      <c r="G1693" s="70" t="str">
        <f>IFERROR(VLOOKUP(A1693,[1]wms_iv_f!$A$1:$E$136,4,FALSE),"")</f>
        <v/>
      </c>
      <c r="H1693" s="95" t="str">
        <f>IFERROR(VLOOKUP(A1693,[2]wms_lc_f!$A$1:$B$156,2,FALSE),"")</f>
        <v/>
      </c>
    </row>
    <row r="1694" spans="1:8">
      <c r="A1694" s="71">
        <v>138516</v>
      </c>
      <c r="B1694" s="69" t="s">
        <v>2613</v>
      </c>
      <c r="C1694" s="70" t="s">
        <v>2036</v>
      </c>
      <c r="D1694" s="70" t="s">
        <v>2610</v>
      </c>
      <c r="E1694" s="72">
        <v>1</v>
      </c>
      <c r="F1694" s="70"/>
      <c r="G1694" s="70" t="str">
        <f>IFERROR(VLOOKUP(A1694,[1]wms_iv_f!$A$1:$E$136,4,FALSE),"")</f>
        <v/>
      </c>
      <c r="H1694" s="95" t="str">
        <f>IFERROR(VLOOKUP(A1694,[2]wms_lc_f!$A$1:$B$156,2,FALSE),"")</f>
        <v/>
      </c>
    </row>
    <row r="1695" spans="1:8">
      <c r="A1695" s="71">
        <v>141156</v>
      </c>
      <c r="B1695" s="69" t="s">
        <v>2613</v>
      </c>
      <c r="C1695" s="70" t="s">
        <v>2255</v>
      </c>
      <c r="D1695" s="70" t="s">
        <v>2610</v>
      </c>
      <c r="E1695" s="72">
        <v>1</v>
      </c>
      <c r="F1695" s="70"/>
      <c r="G1695" s="70" t="str">
        <f>IFERROR(VLOOKUP(A1695,[1]wms_iv_f!$A$1:$E$136,4,FALSE),"")</f>
        <v/>
      </c>
      <c r="H1695" s="95" t="str">
        <f>IFERROR(VLOOKUP(A1695,[2]wms_lc_f!$A$1:$B$156,2,FALSE),"")</f>
        <v/>
      </c>
    </row>
    <row r="1696" spans="1:8">
      <c r="A1696" s="71">
        <v>60744</v>
      </c>
      <c r="B1696" s="69" t="s">
        <v>2613</v>
      </c>
      <c r="C1696" s="70" t="s">
        <v>2256</v>
      </c>
      <c r="D1696" s="70" t="s">
        <v>2610</v>
      </c>
      <c r="E1696" s="72">
        <v>1</v>
      </c>
      <c r="F1696" s="70"/>
      <c r="G1696" s="70" t="str">
        <f>IFERROR(VLOOKUP(A1696,[1]wms_iv_f!$A$1:$E$136,4,FALSE),"")</f>
        <v/>
      </c>
      <c r="H1696" s="95" t="str">
        <f>IFERROR(VLOOKUP(A1696,[2]wms_lc_f!$A$1:$B$156,2,FALSE),"")</f>
        <v/>
      </c>
    </row>
    <row r="1697" spans="1:8">
      <c r="A1697" s="71">
        <v>132704</v>
      </c>
      <c r="B1697" s="69" t="s">
        <v>2613</v>
      </c>
      <c r="C1697" s="70" t="s">
        <v>2257</v>
      </c>
      <c r="D1697" s="70" t="s">
        <v>2610</v>
      </c>
      <c r="E1697" s="72">
        <v>1</v>
      </c>
      <c r="F1697" s="70"/>
      <c r="G1697" s="70" t="str">
        <f>IFERROR(VLOOKUP(A1697,[1]wms_iv_f!$A$1:$E$136,4,FALSE),"")</f>
        <v/>
      </c>
      <c r="H1697" s="95" t="str">
        <f>IFERROR(VLOOKUP(A1697,[2]wms_lc_f!$A$1:$B$156,2,FALSE),"")</f>
        <v/>
      </c>
    </row>
    <row r="1698" spans="1:8">
      <c r="A1698" s="71">
        <v>122690</v>
      </c>
      <c r="B1698" s="69" t="s">
        <v>2613</v>
      </c>
      <c r="C1698" s="70" t="s">
        <v>2258</v>
      </c>
      <c r="D1698" s="70" t="s">
        <v>2610</v>
      </c>
      <c r="E1698" s="72">
        <v>1</v>
      </c>
      <c r="F1698" s="70"/>
      <c r="G1698" s="70" t="str">
        <f>IFERROR(VLOOKUP(A1698,[1]wms_iv_f!$A$1:$E$136,4,FALSE),"")</f>
        <v/>
      </c>
      <c r="H1698" s="95" t="str">
        <f>IFERROR(VLOOKUP(A1698,[2]wms_lc_f!$A$1:$B$156,2,FALSE),"")</f>
        <v/>
      </c>
    </row>
    <row r="1699" spans="1:8">
      <c r="A1699" s="71">
        <v>99739</v>
      </c>
      <c r="B1699" s="69" t="s">
        <v>2613</v>
      </c>
      <c r="C1699" s="70" t="s">
        <v>2637</v>
      </c>
      <c r="D1699" s="70" t="s">
        <v>2610</v>
      </c>
      <c r="E1699" s="72">
        <v>1</v>
      </c>
      <c r="F1699" s="70"/>
      <c r="G1699" s="70" t="str">
        <f>IFERROR(VLOOKUP(A1699,[1]wms_iv_f!$A$1:$E$136,4,FALSE),"")</f>
        <v/>
      </c>
      <c r="H1699" s="95" t="str">
        <f>IFERROR(VLOOKUP(A1699,[2]wms_lc_f!$A$1:$B$156,2,FALSE),"")</f>
        <v/>
      </c>
    </row>
    <row r="1700" spans="1:8">
      <c r="A1700" s="71">
        <v>5081</v>
      </c>
      <c r="B1700" s="69" t="s">
        <v>2613</v>
      </c>
      <c r="C1700" s="70" t="s">
        <v>2259</v>
      </c>
      <c r="D1700" s="70" t="s">
        <v>2610</v>
      </c>
      <c r="E1700" s="72">
        <v>1</v>
      </c>
      <c r="F1700" s="70"/>
      <c r="G1700" s="70" t="str">
        <f>IFERROR(VLOOKUP(A1700,[1]wms_iv_f!$A$1:$E$136,4,FALSE),"")</f>
        <v/>
      </c>
      <c r="H1700" s="95" t="str">
        <f>IFERROR(VLOOKUP(A1700,[2]wms_lc_f!$A$1:$B$156,2,FALSE),"")</f>
        <v/>
      </c>
    </row>
    <row r="1701" spans="1:8">
      <c r="A1701" s="71">
        <v>111572</v>
      </c>
      <c r="B1701" s="69" t="s">
        <v>2613</v>
      </c>
      <c r="C1701" s="70" t="s">
        <v>2146</v>
      </c>
      <c r="D1701" s="70" t="s">
        <v>2610</v>
      </c>
      <c r="E1701" s="72">
        <v>1</v>
      </c>
      <c r="F1701" s="70"/>
      <c r="G1701" s="70" t="str">
        <f>IFERROR(VLOOKUP(A1701,[1]wms_iv_f!$A$1:$E$136,4,FALSE),"")</f>
        <v/>
      </c>
      <c r="H1701" s="95" t="str">
        <f>IFERROR(VLOOKUP(A1701,[2]wms_lc_f!$A$1:$B$156,2,FALSE),"")</f>
        <v/>
      </c>
    </row>
    <row r="1702" spans="1:8">
      <c r="A1702" s="71">
        <v>122622</v>
      </c>
      <c r="B1702" s="69" t="s">
        <v>2613</v>
      </c>
      <c r="C1702" s="70" t="s">
        <v>2147</v>
      </c>
      <c r="D1702" s="70" t="s">
        <v>2610</v>
      </c>
      <c r="E1702" s="72">
        <v>1</v>
      </c>
      <c r="F1702" s="70"/>
      <c r="G1702" s="70" t="str">
        <f>IFERROR(VLOOKUP(A1702,[1]wms_iv_f!$A$1:$E$136,4,FALSE),"")</f>
        <v/>
      </c>
      <c r="H1702" s="95" t="str">
        <f>IFERROR(VLOOKUP(A1702,[2]wms_lc_f!$A$1:$B$156,2,FALSE),"")</f>
        <v/>
      </c>
    </row>
    <row r="1703" spans="1:8">
      <c r="A1703" s="71">
        <v>135413</v>
      </c>
      <c r="B1703" s="69" t="s">
        <v>2613</v>
      </c>
      <c r="C1703" s="70" t="s">
        <v>2148</v>
      </c>
      <c r="D1703" s="70" t="s">
        <v>2610</v>
      </c>
      <c r="E1703" s="72">
        <v>1</v>
      </c>
      <c r="F1703" s="70"/>
      <c r="G1703" s="70" t="str">
        <f>IFERROR(VLOOKUP(A1703,[1]wms_iv_f!$A$1:$E$136,4,FALSE),"")</f>
        <v/>
      </c>
      <c r="H1703" s="95" t="str">
        <f>IFERROR(VLOOKUP(A1703,[2]wms_lc_f!$A$1:$B$156,2,FALSE),"")</f>
        <v/>
      </c>
    </row>
    <row r="1704" spans="1:8">
      <c r="A1704" s="71">
        <v>62220</v>
      </c>
      <c r="B1704" s="69" t="s">
        <v>2613</v>
      </c>
      <c r="C1704" s="70" t="s">
        <v>2149</v>
      </c>
      <c r="D1704" s="70" t="s">
        <v>2610</v>
      </c>
      <c r="E1704" s="72">
        <v>1</v>
      </c>
      <c r="F1704" s="70"/>
      <c r="G1704" s="70" t="str">
        <f>IFERROR(VLOOKUP(A1704,[1]wms_iv_f!$A$1:$E$136,4,FALSE),"")</f>
        <v/>
      </c>
      <c r="H1704" s="95" t="str">
        <f>IFERROR(VLOOKUP(A1704,[2]wms_lc_f!$A$1:$B$156,2,FALSE),"")</f>
        <v/>
      </c>
    </row>
    <row r="1705" spans="1:8">
      <c r="A1705" s="71">
        <v>136454</v>
      </c>
      <c r="B1705" s="69" t="s">
        <v>2613</v>
      </c>
      <c r="C1705" s="70" t="s">
        <v>2638</v>
      </c>
      <c r="D1705" s="70" t="s">
        <v>2610</v>
      </c>
      <c r="E1705" s="72">
        <v>1</v>
      </c>
      <c r="F1705" s="70"/>
      <c r="G1705" s="70" t="str">
        <f>IFERROR(VLOOKUP(A1705,[1]wms_iv_f!$A$1:$E$136,4,FALSE),"")</f>
        <v/>
      </c>
      <c r="H1705" s="95" t="str">
        <f>IFERROR(VLOOKUP(A1705,[2]wms_lc_f!$A$1:$B$156,2,FALSE),"")</f>
        <v/>
      </c>
    </row>
    <row r="1706" spans="1:8">
      <c r="A1706" s="71">
        <v>130114</v>
      </c>
      <c r="B1706" s="69" t="s">
        <v>2613</v>
      </c>
      <c r="C1706" s="70" t="s">
        <v>2150</v>
      </c>
      <c r="D1706" s="70" t="s">
        <v>2610</v>
      </c>
      <c r="E1706" s="72">
        <v>1</v>
      </c>
      <c r="F1706" s="70"/>
      <c r="G1706" s="70" t="str">
        <f>IFERROR(VLOOKUP(A1706,[1]wms_iv_f!$A$1:$E$136,4,FALSE),"")</f>
        <v/>
      </c>
      <c r="H1706" s="95" t="str">
        <f>IFERROR(VLOOKUP(A1706,[2]wms_lc_f!$A$1:$B$156,2,FALSE),"")</f>
        <v/>
      </c>
    </row>
    <row r="1707" spans="1:8">
      <c r="A1707" s="71">
        <v>2002</v>
      </c>
      <c r="B1707" s="69" t="s">
        <v>2613</v>
      </c>
      <c r="C1707" s="70" t="s">
        <v>2037</v>
      </c>
      <c r="D1707" s="70" t="s">
        <v>2610</v>
      </c>
      <c r="E1707" s="72">
        <v>1</v>
      </c>
      <c r="F1707" s="70"/>
      <c r="G1707" s="70" t="str">
        <f>IFERROR(VLOOKUP(A1707,[1]wms_iv_f!$A$1:$E$136,4,FALSE),"")</f>
        <v/>
      </c>
      <c r="H1707" s="95" t="str">
        <f>IFERROR(VLOOKUP(A1707,[2]wms_lc_f!$A$1:$B$156,2,FALSE),"")</f>
        <v/>
      </c>
    </row>
    <row r="1708" spans="1:8">
      <c r="A1708" s="71">
        <v>137618</v>
      </c>
      <c r="B1708" s="69" t="s">
        <v>2613</v>
      </c>
      <c r="C1708" s="70" t="s">
        <v>2038</v>
      </c>
      <c r="D1708" s="70" t="s">
        <v>2610</v>
      </c>
      <c r="E1708" s="72">
        <v>1</v>
      </c>
      <c r="F1708" s="70"/>
      <c r="G1708" s="70" t="str">
        <f>IFERROR(VLOOKUP(A1708,[1]wms_iv_f!$A$1:$E$136,4,FALSE),"")</f>
        <v/>
      </c>
      <c r="H1708" s="95" t="str">
        <f>IFERROR(VLOOKUP(A1708,[2]wms_lc_f!$A$1:$B$156,2,FALSE),"")</f>
        <v>12-116-E2</v>
      </c>
    </row>
    <row r="1709" spans="1:8">
      <c r="A1709" s="71">
        <v>97707</v>
      </c>
      <c r="B1709" s="69" t="s">
        <v>2613</v>
      </c>
      <c r="C1709" s="70" t="s">
        <v>2039</v>
      </c>
      <c r="D1709" s="70" t="s">
        <v>2610</v>
      </c>
      <c r="E1709" s="72">
        <v>1</v>
      </c>
      <c r="F1709" s="70"/>
      <c r="G1709" s="70" t="str">
        <f>IFERROR(VLOOKUP(A1709,[1]wms_iv_f!$A$1:$E$136,4,FALSE),"")</f>
        <v/>
      </c>
      <c r="H1709" s="95" t="str">
        <f>IFERROR(VLOOKUP(A1709,[2]wms_lc_f!$A$1:$B$156,2,FALSE),"")</f>
        <v/>
      </c>
    </row>
    <row r="1710" spans="1:8">
      <c r="A1710" s="71">
        <v>19956</v>
      </c>
      <c r="B1710" s="69" t="s">
        <v>2613</v>
      </c>
      <c r="C1710" s="70" t="s">
        <v>2040</v>
      </c>
      <c r="D1710" s="70" t="s">
        <v>2610</v>
      </c>
      <c r="E1710" s="72">
        <v>1</v>
      </c>
      <c r="F1710" s="70"/>
      <c r="G1710" s="70" t="str">
        <f>IFERROR(VLOOKUP(A1710,[1]wms_iv_f!$A$1:$E$136,4,FALSE),"")</f>
        <v/>
      </c>
      <c r="H1710" s="95" t="str">
        <f>IFERROR(VLOOKUP(A1710,[2]wms_lc_f!$A$1:$B$156,2,FALSE),"")</f>
        <v/>
      </c>
    </row>
    <row r="1711" spans="1:8">
      <c r="A1711" s="71">
        <v>139557</v>
      </c>
      <c r="B1711" s="69" t="s">
        <v>2613</v>
      </c>
      <c r="C1711" s="70" t="s">
        <v>2639</v>
      </c>
      <c r="D1711" s="70" t="s">
        <v>2610</v>
      </c>
      <c r="E1711" s="72">
        <v>1</v>
      </c>
      <c r="F1711" s="70"/>
      <c r="G1711" s="70" t="str">
        <f>IFERROR(VLOOKUP(A1711,[1]wms_iv_f!$A$1:$E$136,4,FALSE),"")</f>
        <v/>
      </c>
      <c r="H1711" s="95" t="str">
        <f>IFERROR(VLOOKUP(A1711,[2]wms_lc_f!$A$1:$B$156,2,FALSE),"")</f>
        <v/>
      </c>
    </row>
    <row r="1712" spans="1:8">
      <c r="A1712" s="71">
        <v>140671</v>
      </c>
      <c r="B1712" s="69" t="s">
        <v>2613</v>
      </c>
      <c r="C1712" s="70" t="s">
        <v>2041</v>
      </c>
      <c r="D1712" s="70" t="s">
        <v>2610</v>
      </c>
      <c r="E1712" s="72">
        <v>1</v>
      </c>
      <c r="F1712" s="70"/>
      <c r="G1712" s="70" t="str">
        <f>IFERROR(VLOOKUP(A1712,[1]wms_iv_f!$A$1:$E$136,4,FALSE),"")</f>
        <v/>
      </c>
      <c r="H1712" s="95" t="str">
        <f>IFERROR(VLOOKUP(A1712,[2]wms_lc_f!$A$1:$B$156,2,FALSE),"")</f>
        <v/>
      </c>
    </row>
    <row r="1713" spans="1:8">
      <c r="A1713" s="71">
        <v>67072</v>
      </c>
      <c r="B1713" s="69" t="s">
        <v>2613</v>
      </c>
      <c r="C1713" s="70" t="s">
        <v>2328</v>
      </c>
      <c r="D1713" s="70" t="s">
        <v>2610</v>
      </c>
      <c r="E1713" s="72">
        <v>1</v>
      </c>
      <c r="F1713" s="70"/>
      <c r="G1713" s="70" t="str">
        <f>IFERROR(VLOOKUP(A1713,[1]wms_iv_f!$A$1:$E$136,4,FALSE),"")</f>
        <v/>
      </c>
      <c r="H1713" s="95" t="str">
        <f>IFERROR(VLOOKUP(A1713,[2]wms_lc_f!$A$1:$B$156,2,FALSE),"")</f>
        <v/>
      </c>
    </row>
    <row r="1714" spans="1:8">
      <c r="A1714" s="71">
        <v>157720</v>
      </c>
      <c r="B1714" s="69" t="s">
        <v>2613</v>
      </c>
      <c r="C1714" s="70" t="s">
        <v>2329</v>
      </c>
      <c r="D1714" s="70" t="s">
        <v>2610</v>
      </c>
      <c r="E1714" s="72">
        <v>1</v>
      </c>
      <c r="F1714" s="70"/>
      <c r="G1714" s="70" t="str">
        <f>IFERROR(VLOOKUP(A1714,[1]wms_iv_f!$A$1:$E$136,4,FALSE),"")</f>
        <v/>
      </c>
      <c r="H1714" s="95" t="str">
        <f>IFERROR(VLOOKUP(A1714,[2]wms_lc_f!$A$1:$B$156,2,FALSE),"")</f>
        <v/>
      </c>
    </row>
    <row r="1715" spans="1:8">
      <c r="A1715" s="71">
        <v>49168</v>
      </c>
      <c r="B1715" s="69" t="s">
        <v>2613</v>
      </c>
      <c r="C1715" s="70" t="s">
        <v>2330</v>
      </c>
      <c r="D1715" s="70" t="s">
        <v>2610</v>
      </c>
      <c r="E1715" s="72">
        <v>1</v>
      </c>
      <c r="F1715" s="70"/>
      <c r="G1715" s="70" t="str">
        <f>IFERROR(VLOOKUP(A1715,[1]wms_iv_f!$A$1:$E$136,4,FALSE),"")</f>
        <v/>
      </c>
      <c r="H1715" s="95" t="str">
        <f>IFERROR(VLOOKUP(A1715,[2]wms_lc_f!$A$1:$B$156,2,FALSE),"")</f>
        <v/>
      </c>
    </row>
    <row r="1716" spans="1:8">
      <c r="A1716" s="71">
        <v>159278</v>
      </c>
      <c r="B1716" s="69" t="s">
        <v>2613</v>
      </c>
      <c r="C1716" s="70" t="s">
        <v>2331</v>
      </c>
      <c r="D1716" s="70" t="s">
        <v>2610</v>
      </c>
      <c r="E1716" s="72">
        <v>1</v>
      </c>
      <c r="F1716" s="70"/>
      <c r="G1716" s="70" t="str">
        <f>IFERROR(VLOOKUP(A1716,[1]wms_iv_f!$A$1:$E$136,4,FALSE),"")</f>
        <v/>
      </c>
      <c r="H1716" s="95" t="str">
        <f>IFERROR(VLOOKUP(A1716,[2]wms_lc_f!$A$1:$B$156,2,FALSE),"")</f>
        <v/>
      </c>
    </row>
    <row r="1717" spans="1:8">
      <c r="A1717" s="71">
        <v>138667</v>
      </c>
      <c r="B1717" s="69" t="s">
        <v>2613</v>
      </c>
      <c r="C1717" s="70" t="s">
        <v>2332</v>
      </c>
      <c r="D1717" s="70" t="s">
        <v>2610</v>
      </c>
      <c r="E1717" s="72">
        <v>1</v>
      </c>
      <c r="F1717" s="70"/>
      <c r="G1717" s="70" t="str">
        <f>IFERROR(VLOOKUP(A1717,[1]wms_iv_f!$A$1:$E$136,4,FALSE),"")</f>
        <v/>
      </c>
      <c r="H1717" s="95" t="str">
        <f>IFERROR(VLOOKUP(A1717,[2]wms_lc_f!$A$1:$B$156,2,FALSE),"")</f>
        <v/>
      </c>
    </row>
    <row r="1718" spans="1:8">
      <c r="A1718" s="71">
        <v>156335</v>
      </c>
      <c r="B1718" s="69" t="s">
        <v>2613</v>
      </c>
      <c r="C1718" s="70" t="s">
        <v>2333</v>
      </c>
      <c r="D1718" s="70" t="s">
        <v>2610</v>
      </c>
      <c r="E1718" s="72">
        <v>1</v>
      </c>
      <c r="F1718" s="70"/>
      <c r="G1718" s="70" t="str">
        <f>IFERROR(VLOOKUP(A1718,[1]wms_iv_f!$A$1:$E$136,4,FALSE),"")</f>
        <v/>
      </c>
      <c r="H1718" s="95" t="str">
        <f>IFERROR(VLOOKUP(A1718,[2]wms_lc_f!$A$1:$B$156,2,FALSE),"")</f>
        <v/>
      </c>
    </row>
    <row r="1719" spans="1:8">
      <c r="A1719" s="71">
        <v>99783</v>
      </c>
      <c r="B1719" s="69" t="s">
        <v>2613</v>
      </c>
      <c r="C1719" s="70" t="s">
        <v>2439</v>
      </c>
      <c r="D1719" s="70" t="s">
        <v>2610</v>
      </c>
      <c r="E1719" s="72">
        <v>1</v>
      </c>
      <c r="F1719" s="70"/>
      <c r="G1719" s="70" t="str">
        <f>IFERROR(VLOOKUP(A1719,[1]wms_iv_f!$A$1:$E$136,4,FALSE),"")</f>
        <v/>
      </c>
      <c r="H1719" s="95" t="str">
        <f>IFERROR(VLOOKUP(A1719,[2]wms_lc_f!$A$1:$B$156,2,FALSE),"")</f>
        <v/>
      </c>
    </row>
    <row r="1720" spans="1:8">
      <c r="A1720" s="71">
        <v>105033</v>
      </c>
      <c r="B1720" s="69" t="s">
        <v>2613</v>
      </c>
      <c r="C1720" s="70" t="s">
        <v>2440</v>
      </c>
      <c r="D1720" s="70" t="s">
        <v>2610</v>
      </c>
      <c r="E1720" s="72">
        <v>1</v>
      </c>
      <c r="F1720" s="70"/>
      <c r="G1720" s="70" t="str">
        <f>IFERROR(VLOOKUP(A1720,[1]wms_iv_f!$A$1:$E$136,4,FALSE),"")</f>
        <v/>
      </c>
      <c r="H1720" s="95" t="str">
        <f>IFERROR(VLOOKUP(A1720,[2]wms_lc_f!$A$1:$B$156,2,FALSE),"")</f>
        <v/>
      </c>
    </row>
    <row r="1721" spans="1:8">
      <c r="A1721" s="71">
        <v>132596</v>
      </c>
      <c r="B1721" s="69" t="s">
        <v>2613</v>
      </c>
      <c r="C1721" s="70" t="s">
        <v>2441</v>
      </c>
      <c r="D1721" s="70" t="s">
        <v>2610</v>
      </c>
      <c r="E1721" s="72">
        <v>1</v>
      </c>
      <c r="F1721" s="70"/>
      <c r="G1721" s="70" t="str">
        <f>IFERROR(VLOOKUP(A1721,[1]wms_iv_f!$A$1:$E$136,4,FALSE),"")</f>
        <v/>
      </c>
      <c r="H1721" s="95" t="str">
        <f>IFERROR(VLOOKUP(A1721,[2]wms_lc_f!$A$1:$B$156,2,FALSE),"")</f>
        <v/>
      </c>
    </row>
    <row r="1722" spans="1:8">
      <c r="A1722" s="71">
        <v>158217</v>
      </c>
      <c r="B1722" s="69" t="s">
        <v>2613</v>
      </c>
      <c r="C1722" s="70" t="s">
        <v>2442</v>
      </c>
      <c r="D1722" s="70" t="s">
        <v>2610</v>
      </c>
      <c r="E1722" s="72">
        <v>1</v>
      </c>
      <c r="F1722" s="70"/>
      <c r="G1722" s="70" t="str">
        <f>IFERROR(VLOOKUP(A1722,[1]wms_iv_f!$A$1:$E$136,4,FALSE),"")</f>
        <v/>
      </c>
      <c r="H1722" s="95" t="str">
        <f>IFERROR(VLOOKUP(A1722,[2]wms_lc_f!$A$1:$B$156,2,FALSE),"")</f>
        <v/>
      </c>
    </row>
    <row r="1723" spans="1:8">
      <c r="A1723" s="71">
        <v>35117</v>
      </c>
      <c r="B1723" s="69" t="s">
        <v>2613</v>
      </c>
      <c r="C1723" s="70" t="s">
        <v>2443</v>
      </c>
      <c r="D1723" s="70" t="s">
        <v>2610</v>
      </c>
      <c r="E1723" s="72">
        <v>1</v>
      </c>
      <c r="F1723" s="70"/>
      <c r="G1723" s="70" t="str">
        <f>IFERROR(VLOOKUP(A1723,[1]wms_iv_f!$A$1:$E$136,4,FALSE),"")</f>
        <v/>
      </c>
      <c r="H1723" s="95" t="str">
        <f>IFERROR(VLOOKUP(A1723,[2]wms_lc_f!$A$1:$B$156,2,FALSE),"")</f>
        <v/>
      </c>
    </row>
    <row r="1724" spans="1:8">
      <c r="A1724" s="71">
        <v>118301</v>
      </c>
      <c r="B1724" s="69" t="s">
        <v>2613</v>
      </c>
      <c r="C1724" s="70" t="s">
        <v>2444</v>
      </c>
      <c r="D1724" s="70" t="s">
        <v>2610</v>
      </c>
      <c r="E1724" s="72">
        <v>1</v>
      </c>
      <c r="F1724" s="70"/>
      <c r="G1724" s="70" t="str">
        <f>IFERROR(VLOOKUP(A1724,[1]wms_iv_f!$A$1:$E$136,4,FALSE),"")</f>
        <v/>
      </c>
      <c r="H1724" s="95" t="str">
        <f>IFERROR(VLOOKUP(A1724,[2]wms_lc_f!$A$1:$B$156,2,FALSE),"")</f>
        <v/>
      </c>
    </row>
    <row r="1725" spans="1:8">
      <c r="A1725" s="71">
        <v>132722</v>
      </c>
      <c r="B1725" s="69" t="s">
        <v>2613</v>
      </c>
      <c r="C1725" s="70" t="s">
        <v>2550</v>
      </c>
      <c r="D1725" s="70" t="s">
        <v>2610</v>
      </c>
      <c r="E1725" s="72">
        <v>1</v>
      </c>
      <c r="F1725" s="70"/>
      <c r="G1725" s="70" t="str">
        <f>IFERROR(VLOOKUP(A1725,[1]wms_iv_f!$A$1:$E$136,4,FALSE),"")</f>
        <v/>
      </c>
      <c r="H1725" s="95" t="str">
        <f>IFERROR(VLOOKUP(A1725,[2]wms_lc_f!$A$1:$B$156,2,FALSE),"")</f>
        <v/>
      </c>
    </row>
    <row r="1726" spans="1:8">
      <c r="A1726" s="71">
        <v>113456</v>
      </c>
      <c r="B1726" s="69" t="s">
        <v>2613</v>
      </c>
      <c r="C1726" s="70" t="s">
        <v>2551</v>
      </c>
      <c r="D1726" s="70" t="s">
        <v>2610</v>
      </c>
      <c r="E1726" s="72">
        <v>1</v>
      </c>
      <c r="F1726" s="70"/>
      <c r="G1726" s="70" t="str">
        <f>IFERROR(VLOOKUP(A1726,[1]wms_iv_f!$A$1:$E$136,4,FALSE),"")</f>
        <v/>
      </c>
      <c r="H1726" s="95" t="str">
        <f>IFERROR(VLOOKUP(A1726,[2]wms_lc_f!$A$1:$B$156,2,FALSE),"")</f>
        <v/>
      </c>
    </row>
    <row r="1727" spans="1:8">
      <c r="A1727" s="71">
        <v>132703</v>
      </c>
      <c r="B1727" s="69" t="s">
        <v>2613</v>
      </c>
      <c r="C1727" s="70" t="s">
        <v>2552</v>
      </c>
      <c r="D1727" s="70" t="s">
        <v>2610</v>
      </c>
      <c r="E1727" s="72">
        <v>1</v>
      </c>
      <c r="F1727" s="70"/>
      <c r="G1727" s="70" t="str">
        <f>IFERROR(VLOOKUP(A1727,[1]wms_iv_f!$A$1:$E$136,4,FALSE),"")</f>
        <v/>
      </c>
      <c r="H1727" s="95" t="str">
        <f>IFERROR(VLOOKUP(A1727,[2]wms_lc_f!$A$1:$B$156,2,FALSE),"")</f>
        <v/>
      </c>
    </row>
    <row r="1728" spans="1:8">
      <c r="A1728" s="71">
        <v>92160</v>
      </c>
      <c r="B1728" s="69" t="s">
        <v>2613</v>
      </c>
      <c r="C1728" s="70" t="s">
        <v>2553</v>
      </c>
      <c r="D1728" s="70" t="s">
        <v>2610</v>
      </c>
      <c r="E1728" s="72">
        <v>1</v>
      </c>
      <c r="F1728" s="70"/>
      <c r="G1728" s="70" t="str">
        <f>IFERROR(VLOOKUP(A1728,[1]wms_iv_f!$A$1:$E$136,4,FALSE),"")</f>
        <v/>
      </c>
      <c r="H1728" s="95" t="str">
        <f>IFERROR(VLOOKUP(A1728,[2]wms_lc_f!$A$1:$B$156,2,FALSE),"")</f>
        <v/>
      </c>
    </row>
    <row r="1729" spans="1:8">
      <c r="A1729" s="71">
        <v>101324</v>
      </c>
      <c r="B1729" s="69" t="s">
        <v>2613</v>
      </c>
      <c r="C1729" s="70" t="s">
        <v>2554</v>
      </c>
      <c r="D1729" s="70" t="s">
        <v>2610</v>
      </c>
      <c r="E1729" s="72">
        <v>1</v>
      </c>
      <c r="F1729" s="70"/>
      <c r="G1729" s="70" t="str">
        <f>IFERROR(VLOOKUP(A1729,[1]wms_iv_f!$A$1:$E$136,4,FALSE),"")</f>
        <v/>
      </c>
      <c r="H1729" s="95" t="str">
        <f>IFERROR(VLOOKUP(A1729,[2]wms_lc_f!$A$1:$B$156,2,FALSE),"")</f>
        <v/>
      </c>
    </row>
    <row r="1730" spans="1:8">
      <c r="A1730" s="71">
        <v>139716</v>
      </c>
      <c r="B1730" s="69" t="s">
        <v>2613</v>
      </c>
      <c r="C1730" s="70" t="s">
        <v>2555</v>
      </c>
      <c r="D1730" s="70" t="s">
        <v>2610</v>
      </c>
      <c r="E1730" s="72">
        <v>1</v>
      </c>
      <c r="F1730" s="70"/>
      <c r="G1730" s="70" t="str">
        <f>IFERROR(VLOOKUP(A1730,[1]wms_iv_f!$A$1:$E$136,4,FALSE),"")</f>
        <v/>
      </c>
      <c r="H1730" s="95" t="str">
        <f>IFERROR(VLOOKUP(A1730,[2]wms_lc_f!$A$1:$B$156,2,FALSE),"")</f>
        <v/>
      </c>
    </row>
    <row r="1731" spans="1:8">
      <c r="A1731" s="73">
        <v>83629</v>
      </c>
      <c r="B1731" s="69" t="s">
        <v>2613</v>
      </c>
      <c r="C1731" s="74" t="s">
        <v>1990</v>
      </c>
      <c r="D1731" s="74" t="s">
        <v>2610</v>
      </c>
      <c r="E1731" s="79">
        <v>1</v>
      </c>
      <c r="F1731" s="70"/>
      <c r="G1731" s="70" t="str">
        <f>IFERROR(VLOOKUP(A1731,[1]wms_iv_f!$A$1:$E$136,4,FALSE),"")</f>
        <v/>
      </c>
      <c r="H1731" s="95" t="str">
        <f>IFERROR(VLOOKUP(A1731,[2]wms_lc_f!$A$1:$B$156,2,FALSE),"")</f>
        <v/>
      </c>
    </row>
    <row r="1732" spans="1:8">
      <c r="A1732" s="69">
        <v>3693</v>
      </c>
      <c r="B1732" s="69" t="s">
        <v>2613</v>
      </c>
      <c r="C1732" s="70" t="s">
        <v>2210</v>
      </c>
      <c r="D1732" s="70" t="s">
        <v>2610</v>
      </c>
      <c r="E1732" s="72">
        <v>1</v>
      </c>
      <c r="F1732" s="70"/>
      <c r="G1732" s="70" t="str">
        <f>IFERROR(VLOOKUP(A1732,[1]wms_iv_f!$A$1:$E$136,4,FALSE),"")</f>
        <v/>
      </c>
      <c r="H1732" s="95" t="str">
        <f>IFERROR(VLOOKUP(A1732,[2]wms_lc_f!$A$1:$B$156,2,FALSE),"")</f>
        <v/>
      </c>
    </row>
    <row r="1733" spans="1:8">
      <c r="A1733" s="69">
        <v>47353</v>
      </c>
      <c r="B1733" s="69" t="s">
        <v>2613</v>
      </c>
      <c r="C1733" s="70" t="s">
        <v>2211</v>
      </c>
      <c r="D1733" s="70" t="s">
        <v>2610</v>
      </c>
      <c r="E1733" s="72">
        <v>1</v>
      </c>
      <c r="F1733" s="70"/>
      <c r="G1733" s="70" t="str">
        <f>IFERROR(VLOOKUP(A1733,[1]wms_iv_f!$A$1:$E$136,4,FALSE),"")</f>
        <v/>
      </c>
      <c r="H1733" s="95" t="str">
        <f>IFERROR(VLOOKUP(A1733,[2]wms_lc_f!$A$1:$B$156,2,FALSE),"")</f>
        <v/>
      </c>
    </row>
    <row r="1734" spans="1:8">
      <c r="A1734" s="69">
        <v>158218</v>
      </c>
      <c r="B1734" s="69" t="s">
        <v>2613</v>
      </c>
      <c r="C1734" s="70" t="s">
        <v>2212</v>
      </c>
      <c r="D1734" s="70" t="s">
        <v>2610</v>
      </c>
      <c r="E1734" s="72">
        <v>1</v>
      </c>
      <c r="F1734" s="70"/>
      <c r="G1734" s="70" t="str">
        <f>IFERROR(VLOOKUP(A1734,[1]wms_iv_f!$A$1:$E$136,4,FALSE),"")</f>
        <v/>
      </c>
      <c r="H1734" s="95" t="str">
        <f>IFERROR(VLOOKUP(A1734,[2]wms_lc_f!$A$1:$B$156,2,FALSE),"")</f>
        <v/>
      </c>
    </row>
    <row r="1735" spans="1:8">
      <c r="A1735" s="69">
        <v>124146</v>
      </c>
      <c r="B1735" s="69" t="s">
        <v>2613</v>
      </c>
      <c r="C1735" s="70" t="s">
        <v>2213</v>
      </c>
      <c r="D1735" s="70" t="s">
        <v>2610</v>
      </c>
      <c r="E1735" s="72">
        <v>1</v>
      </c>
      <c r="F1735" s="70"/>
      <c r="G1735" s="70" t="str">
        <f>IFERROR(VLOOKUP(A1735,[1]wms_iv_f!$A$1:$E$136,4,FALSE),"")</f>
        <v/>
      </c>
      <c r="H1735" s="95" t="str">
        <f>IFERROR(VLOOKUP(A1735,[2]wms_lc_f!$A$1:$B$156,2,FALSE),"")</f>
        <v/>
      </c>
    </row>
    <row r="1736" spans="1:8">
      <c r="A1736" s="69">
        <v>116908</v>
      </c>
      <c r="B1736" s="69" t="s">
        <v>2613</v>
      </c>
      <c r="C1736" s="70" t="s">
        <v>2214</v>
      </c>
      <c r="D1736" s="70" t="s">
        <v>2610</v>
      </c>
      <c r="E1736" s="72">
        <v>1</v>
      </c>
      <c r="F1736" s="70"/>
      <c r="G1736" s="70" t="str">
        <f>IFERROR(VLOOKUP(A1736,[1]wms_iv_f!$A$1:$E$136,4,FALSE),"")</f>
        <v/>
      </c>
      <c r="H1736" s="95" t="str">
        <f>IFERROR(VLOOKUP(A1736,[2]wms_lc_f!$A$1:$B$156,2,FALSE),"")</f>
        <v/>
      </c>
    </row>
    <row r="1737" spans="1:8">
      <c r="A1737" s="69">
        <v>132700</v>
      </c>
      <c r="B1737" s="69" t="s">
        <v>2613</v>
      </c>
      <c r="C1737" s="70" t="s">
        <v>2215</v>
      </c>
      <c r="D1737" s="70" t="s">
        <v>2610</v>
      </c>
      <c r="E1737" s="72">
        <v>1</v>
      </c>
      <c r="F1737" s="70"/>
      <c r="G1737" s="70" t="str">
        <f>IFERROR(VLOOKUP(A1737,[1]wms_iv_f!$A$1:$E$136,4,FALSE),"")</f>
        <v/>
      </c>
      <c r="H1737" s="95" t="str">
        <f>IFERROR(VLOOKUP(A1737,[2]wms_lc_f!$A$1:$B$156,2,FALSE),"")</f>
        <v/>
      </c>
    </row>
    <row r="1738" spans="1:8">
      <c r="A1738" s="69">
        <v>131489</v>
      </c>
      <c r="B1738" s="69" t="s">
        <v>2613</v>
      </c>
      <c r="C1738" s="70" t="s">
        <v>2101</v>
      </c>
      <c r="D1738" s="70" t="s">
        <v>2610</v>
      </c>
      <c r="E1738" s="72">
        <v>1</v>
      </c>
      <c r="F1738" s="70"/>
      <c r="G1738" s="70" t="str">
        <f>IFERROR(VLOOKUP(A1738,[1]wms_iv_f!$A$1:$E$136,4,FALSE),"")</f>
        <v/>
      </c>
      <c r="H1738" s="95" t="str">
        <f>IFERROR(VLOOKUP(A1738,[2]wms_lc_f!$A$1:$B$156,2,FALSE),"")</f>
        <v/>
      </c>
    </row>
    <row r="1739" spans="1:8">
      <c r="A1739" s="69">
        <v>127783</v>
      </c>
      <c r="B1739" s="69" t="s">
        <v>2613</v>
      </c>
      <c r="C1739" s="70" t="s">
        <v>2102</v>
      </c>
      <c r="D1739" s="70" t="s">
        <v>2610</v>
      </c>
      <c r="E1739" s="72">
        <v>1</v>
      </c>
      <c r="F1739" s="70"/>
      <c r="G1739" s="70" t="str">
        <f>IFERROR(VLOOKUP(A1739,[1]wms_iv_f!$A$1:$E$136,4,FALSE),"")</f>
        <v/>
      </c>
      <c r="H1739" s="95" t="str">
        <f>IFERROR(VLOOKUP(A1739,[2]wms_lc_f!$A$1:$B$156,2,FALSE),"")</f>
        <v/>
      </c>
    </row>
    <row r="1740" spans="1:8">
      <c r="A1740" s="69">
        <v>1839</v>
      </c>
      <c r="B1740" s="69" t="s">
        <v>2613</v>
      </c>
      <c r="C1740" s="70" t="s">
        <v>2103</v>
      </c>
      <c r="D1740" s="70" t="s">
        <v>2610</v>
      </c>
      <c r="E1740" s="72">
        <v>1</v>
      </c>
      <c r="F1740" s="70"/>
      <c r="G1740" s="70" t="str">
        <f>IFERROR(VLOOKUP(A1740,[1]wms_iv_f!$A$1:$E$136,4,FALSE),"")</f>
        <v/>
      </c>
      <c r="H1740" s="95" t="str">
        <f>IFERROR(VLOOKUP(A1740,[2]wms_lc_f!$A$1:$B$156,2,FALSE),"")</f>
        <v/>
      </c>
    </row>
    <row r="1741" spans="1:8">
      <c r="A1741" s="69">
        <v>132594</v>
      </c>
      <c r="B1741" s="69" t="s">
        <v>2613</v>
      </c>
      <c r="C1741" s="70" t="s">
        <v>2104</v>
      </c>
      <c r="D1741" s="70" t="s">
        <v>2610</v>
      </c>
      <c r="E1741" s="72">
        <v>1</v>
      </c>
      <c r="F1741" s="70"/>
      <c r="G1741" s="70" t="str">
        <f>IFERROR(VLOOKUP(A1741,[1]wms_iv_f!$A$1:$E$136,4,FALSE),"")</f>
        <v/>
      </c>
      <c r="H1741" s="95" t="str">
        <f>IFERROR(VLOOKUP(A1741,[2]wms_lc_f!$A$1:$B$156,2,FALSE),"")</f>
        <v/>
      </c>
    </row>
    <row r="1742" spans="1:8">
      <c r="A1742" s="69">
        <v>142671</v>
      </c>
      <c r="B1742" s="69" t="s">
        <v>2613</v>
      </c>
      <c r="C1742" s="70" t="s">
        <v>2105</v>
      </c>
      <c r="D1742" s="70" t="s">
        <v>2610</v>
      </c>
      <c r="E1742" s="72">
        <v>1</v>
      </c>
      <c r="F1742" s="70"/>
      <c r="G1742" s="70" t="str">
        <f>IFERROR(VLOOKUP(A1742,[1]wms_iv_f!$A$1:$E$136,4,FALSE),"")</f>
        <v/>
      </c>
      <c r="H1742" s="95" t="str">
        <f>IFERROR(VLOOKUP(A1742,[2]wms_lc_f!$A$1:$B$156,2,FALSE),"")</f>
        <v/>
      </c>
    </row>
    <row r="1743" spans="1:8">
      <c r="A1743" s="69">
        <v>132590</v>
      </c>
      <c r="B1743" s="69" t="s">
        <v>2613</v>
      </c>
      <c r="C1743" s="70" t="s">
        <v>2106</v>
      </c>
      <c r="D1743" s="70" t="s">
        <v>2610</v>
      </c>
      <c r="E1743" s="72">
        <v>1</v>
      </c>
      <c r="F1743" s="70"/>
      <c r="G1743" s="70" t="str">
        <f>IFERROR(VLOOKUP(A1743,[1]wms_iv_f!$A$1:$E$136,4,FALSE),"")</f>
        <v/>
      </c>
      <c r="H1743" s="95" t="str">
        <f>IFERROR(VLOOKUP(A1743,[2]wms_lc_f!$A$1:$B$156,2,FALSE),"")</f>
        <v/>
      </c>
    </row>
    <row r="1744" spans="1:8">
      <c r="A1744" s="69">
        <v>58569</v>
      </c>
      <c r="B1744" s="69" t="s">
        <v>2613</v>
      </c>
      <c r="C1744" s="70" t="s">
        <v>1992</v>
      </c>
      <c r="D1744" s="70" t="s">
        <v>2610</v>
      </c>
      <c r="E1744" s="72">
        <v>1</v>
      </c>
      <c r="F1744" s="70"/>
      <c r="G1744" s="70" t="str">
        <f>IFERROR(VLOOKUP(A1744,[1]wms_iv_f!$A$1:$E$136,4,FALSE),"")</f>
        <v/>
      </c>
      <c r="H1744" s="95" t="str">
        <f>IFERROR(VLOOKUP(A1744,[2]wms_lc_f!$A$1:$B$156,2,FALSE),"")</f>
        <v/>
      </c>
    </row>
    <row r="1745" spans="1:8">
      <c r="A1745" s="69">
        <v>121693</v>
      </c>
      <c r="B1745" s="69" t="s">
        <v>2613</v>
      </c>
      <c r="C1745" s="70" t="s">
        <v>1993</v>
      </c>
      <c r="D1745" s="70" t="s">
        <v>2610</v>
      </c>
      <c r="E1745" s="72">
        <v>1</v>
      </c>
      <c r="F1745" s="70"/>
      <c r="G1745" s="70" t="str">
        <f>IFERROR(VLOOKUP(A1745,[1]wms_iv_f!$A$1:$E$136,4,FALSE),"")</f>
        <v/>
      </c>
      <c r="H1745" s="95" t="str">
        <f>IFERROR(VLOOKUP(A1745,[2]wms_lc_f!$A$1:$B$156,2,FALSE),"")</f>
        <v/>
      </c>
    </row>
    <row r="1746" spans="1:8">
      <c r="A1746" s="69">
        <v>7634</v>
      </c>
      <c r="B1746" s="69" t="s">
        <v>2613</v>
      </c>
      <c r="C1746" s="70" t="s">
        <v>1994</v>
      </c>
      <c r="D1746" s="70" t="s">
        <v>2610</v>
      </c>
      <c r="E1746" s="72">
        <v>1</v>
      </c>
      <c r="F1746" s="70"/>
      <c r="G1746" s="70" t="str">
        <f>IFERROR(VLOOKUP(A1746,[1]wms_iv_f!$A$1:$E$136,4,FALSE),"")</f>
        <v/>
      </c>
      <c r="H1746" s="95" t="str">
        <f>IFERROR(VLOOKUP(A1746,[2]wms_lc_f!$A$1:$B$156,2,FALSE),"")</f>
        <v/>
      </c>
    </row>
    <row r="1747" spans="1:8">
      <c r="A1747" s="69">
        <v>119962</v>
      </c>
      <c r="B1747" s="69" t="s">
        <v>2613</v>
      </c>
      <c r="C1747" s="70" t="s">
        <v>1995</v>
      </c>
      <c r="D1747" s="70" t="s">
        <v>2610</v>
      </c>
      <c r="E1747" s="72">
        <v>1</v>
      </c>
      <c r="F1747" s="70"/>
      <c r="G1747" s="70" t="str">
        <f>IFERROR(VLOOKUP(A1747,[1]wms_iv_f!$A$1:$E$136,4,FALSE),"")</f>
        <v/>
      </c>
      <c r="H1747" s="95" t="str">
        <f>IFERROR(VLOOKUP(A1747,[2]wms_lc_f!$A$1:$B$156,2,FALSE),"")</f>
        <v/>
      </c>
    </row>
    <row r="1748" spans="1:8">
      <c r="A1748" s="69">
        <v>861</v>
      </c>
      <c r="B1748" s="69" t="s">
        <v>2613</v>
      </c>
      <c r="C1748" s="70" t="s">
        <v>1996</v>
      </c>
      <c r="D1748" s="70" t="s">
        <v>2610</v>
      </c>
      <c r="E1748" s="72">
        <v>1</v>
      </c>
      <c r="F1748" s="70"/>
      <c r="G1748" s="70" t="str">
        <f>IFERROR(VLOOKUP(A1748,[1]wms_iv_f!$A$1:$E$136,4,FALSE),"")</f>
        <v/>
      </c>
      <c r="H1748" s="95" t="str">
        <f>IFERROR(VLOOKUP(A1748,[2]wms_lc_f!$A$1:$B$156,2,FALSE),"")</f>
        <v/>
      </c>
    </row>
    <row r="1749" spans="1:8">
      <c r="A1749" s="69">
        <v>601</v>
      </c>
      <c r="B1749" s="69" t="s">
        <v>2613</v>
      </c>
      <c r="C1749" s="70" t="s">
        <v>1997</v>
      </c>
      <c r="D1749" s="70" t="s">
        <v>2610</v>
      </c>
      <c r="E1749" s="72">
        <v>1</v>
      </c>
      <c r="F1749" s="70"/>
      <c r="G1749" s="70" t="str">
        <f>IFERROR(VLOOKUP(A1749,[1]wms_iv_f!$A$1:$E$136,4,FALSE),"")</f>
        <v/>
      </c>
      <c r="H1749" s="95" t="str">
        <f>IFERROR(VLOOKUP(A1749,[2]wms_lc_f!$A$1:$B$156,2,FALSE),"")</f>
        <v/>
      </c>
    </row>
    <row r="1750" spans="1:8" hidden="1">
      <c r="A1750" s="69" t="str">
        <f>IFERROR(VLOOKUP(C1750,[3]wms_iv_f!$A$1:$D$135,2,FALSE),"")</f>
        <v/>
      </c>
      <c r="B1750" s="69" t="s">
        <v>2609</v>
      </c>
      <c r="C1750" s="70" t="s">
        <v>83</v>
      </c>
      <c r="D1750" s="70" t="s">
        <v>2614</v>
      </c>
      <c r="E1750" s="70"/>
      <c r="F1750" s="70"/>
      <c r="G1750" s="70" t="str">
        <f>IFERROR(VLOOKUP(A1750,[1]wms_iv_f!$A$1:$E$136,4,FALSE),"")</f>
        <v/>
      </c>
      <c r="H1750" s="95" t="str">
        <f>IFERROR(VLOOKUP(A1750,[2]wms_lc_f!$A$1:$B$156,2,FALSE),"")</f>
        <v/>
      </c>
    </row>
    <row r="1751" spans="1:8" hidden="1">
      <c r="A1751" s="69" t="str">
        <f>IFERROR(VLOOKUP(C1751,[3]wms_iv_f!$A$1:$D$135,2,FALSE),"")</f>
        <v/>
      </c>
      <c r="B1751" s="69" t="s">
        <v>2609</v>
      </c>
      <c r="C1751" s="70" t="s">
        <v>95</v>
      </c>
      <c r="D1751" s="70" t="s">
        <v>2614</v>
      </c>
      <c r="E1751" s="70"/>
      <c r="F1751" s="70"/>
      <c r="G1751" s="70" t="str">
        <f>IFERROR(VLOOKUP(A1751,[1]wms_iv_f!$A$1:$E$136,4,FALSE),"")</f>
        <v/>
      </c>
      <c r="H1751" s="95" t="str">
        <f>IFERROR(VLOOKUP(A1751,[2]wms_lc_f!$A$1:$B$156,2,FALSE),"")</f>
        <v/>
      </c>
    </row>
    <row r="1752" spans="1:8" hidden="1">
      <c r="A1752" s="69" t="str">
        <f>IFERROR(VLOOKUP(C1752,[3]wms_iv_f!$A$1:$D$135,2,FALSE),"")</f>
        <v/>
      </c>
      <c r="B1752" s="69" t="s">
        <v>2609</v>
      </c>
      <c r="C1752" s="70" t="s">
        <v>107</v>
      </c>
      <c r="D1752" s="70" t="s">
        <v>2614</v>
      </c>
      <c r="E1752" s="70"/>
      <c r="F1752" s="70"/>
      <c r="G1752" s="70" t="str">
        <f>IFERROR(VLOOKUP(A1752,[1]wms_iv_f!$A$1:$E$136,4,FALSE),"")</f>
        <v/>
      </c>
      <c r="H1752" s="95" t="str">
        <f>IFERROR(VLOOKUP(A1752,[2]wms_lc_f!$A$1:$B$156,2,FALSE),"")</f>
        <v/>
      </c>
    </row>
    <row r="1753" spans="1:8" hidden="1">
      <c r="A1753" s="69" t="str">
        <f>IFERROR(VLOOKUP(C1753,[3]wms_iv_f!$A$1:$D$135,2,FALSE),"")</f>
        <v/>
      </c>
      <c r="B1753" s="69" t="s">
        <v>2609</v>
      </c>
      <c r="C1753" s="70" t="s">
        <v>190</v>
      </c>
      <c r="D1753" s="70" t="s">
        <v>2614</v>
      </c>
      <c r="E1753" s="70"/>
      <c r="F1753" s="70"/>
      <c r="G1753" s="70" t="str">
        <f>IFERROR(VLOOKUP(A1753,[1]wms_iv_f!$A$1:$E$136,4,FALSE),"")</f>
        <v/>
      </c>
      <c r="H1753" s="95" t="str">
        <f>IFERROR(VLOOKUP(A1753,[2]wms_lc_f!$A$1:$B$156,2,FALSE),"")</f>
        <v/>
      </c>
    </row>
    <row r="1754" spans="1:8" hidden="1">
      <c r="A1754" s="69" t="str">
        <f>IFERROR(VLOOKUP(C1754,[3]wms_iv_f!$A$1:$D$135,2,FALSE),"")</f>
        <v/>
      </c>
      <c r="B1754" s="69" t="s">
        <v>2609</v>
      </c>
      <c r="C1754" s="70" t="s">
        <v>202</v>
      </c>
      <c r="D1754" s="70" t="s">
        <v>2614</v>
      </c>
      <c r="E1754" s="70"/>
      <c r="F1754" s="70"/>
      <c r="G1754" s="70" t="str">
        <f>IFERROR(VLOOKUP(A1754,[1]wms_iv_f!$A$1:$E$136,4,FALSE),"")</f>
        <v/>
      </c>
      <c r="H1754" s="95" t="str">
        <f>IFERROR(VLOOKUP(A1754,[2]wms_lc_f!$A$1:$B$156,2,FALSE),"")</f>
        <v/>
      </c>
    </row>
    <row r="1755" spans="1:8" hidden="1">
      <c r="A1755" s="69" t="str">
        <f>IFERROR(VLOOKUP(C1755,[3]wms_iv_f!$A$1:$D$135,2,FALSE),"")</f>
        <v/>
      </c>
      <c r="B1755" s="69" t="s">
        <v>2609</v>
      </c>
      <c r="C1755" s="70" t="s">
        <v>214</v>
      </c>
      <c r="D1755" s="70" t="s">
        <v>2614</v>
      </c>
      <c r="E1755" s="70"/>
      <c r="F1755" s="70"/>
      <c r="G1755" s="70" t="str">
        <f>IFERROR(VLOOKUP(A1755,[1]wms_iv_f!$A$1:$E$136,4,FALSE),"")</f>
        <v/>
      </c>
      <c r="H1755" s="95" t="str">
        <f>IFERROR(VLOOKUP(A1755,[2]wms_lc_f!$A$1:$B$156,2,FALSE),"")</f>
        <v/>
      </c>
    </row>
    <row r="1756" spans="1:8" hidden="1">
      <c r="A1756" s="69" t="str">
        <f>IFERROR(VLOOKUP(C1756,[3]wms_iv_f!$A$1:$D$135,2,FALSE),"")</f>
        <v/>
      </c>
      <c r="B1756" s="69" t="s">
        <v>2609</v>
      </c>
      <c r="C1756" s="70" t="s">
        <v>297</v>
      </c>
      <c r="D1756" s="70" t="s">
        <v>2614</v>
      </c>
      <c r="E1756" s="70"/>
      <c r="F1756" s="70"/>
      <c r="G1756" s="70" t="str">
        <f>IFERROR(VLOOKUP(A1756,[1]wms_iv_f!$A$1:$E$136,4,FALSE),"")</f>
        <v/>
      </c>
      <c r="H1756" s="95" t="str">
        <f>IFERROR(VLOOKUP(A1756,[2]wms_lc_f!$A$1:$B$156,2,FALSE),"")</f>
        <v/>
      </c>
    </row>
    <row r="1757" spans="1:8" hidden="1">
      <c r="A1757" s="69" t="str">
        <f>IFERROR(VLOOKUP(C1757,[3]wms_iv_f!$A$1:$D$135,2,FALSE),"")</f>
        <v/>
      </c>
      <c r="B1757" s="69" t="s">
        <v>2609</v>
      </c>
      <c r="C1757" s="70" t="s">
        <v>308</v>
      </c>
      <c r="D1757" s="70" t="s">
        <v>2614</v>
      </c>
      <c r="E1757" s="70"/>
      <c r="F1757" s="70"/>
      <c r="G1757" s="70" t="str">
        <f>IFERROR(VLOOKUP(A1757,[1]wms_iv_f!$A$1:$E$136,4,FALSE),"")</f>
        <v/>
      </c>
      <c r="H1757" s="95" t="str">
        <f>IFERROR(VLOOKUP(A1757,[2]wms_lc_f!$A$1:$B$156,2,FALSE),"")</f>
        <v/>
      </c>
    </row>
    <row r="1758" spans="1:8" hidden="1">
      <c r="A1758" s="69" t="str">
        <f>IFERROR(VLOOKUP(C1758,[3]wms_iv_f!$A$1:$D$135,2,FALSE),"")</f>
        <v/>
      </c>
      <c r="B1758" s="69" t="s">
        <v>2609</v>
      </c>
      <c r="C1758" s="70" t="s">
        <v>316</v>
      </c>
      <c r="D1758" s="70" t="s">
        <v>2614</v>
      </c>
      <c r="E1758" s="70"/>
      <c r="F1758" s="70"/>
      <c r="G1758" s="70" t="str">
        <f>IFERROR(VLOOKUP(A1758,[1]wms_iv_f!$A$1:$E$136,4,FALSE),"")</f>
        <v/>
      </c>
      <c r="H1758" s="95" t="str">
        <f>IFERROR(VLOOKUP(A1758,[2]wms_lc_f!$A$1:$B$156,2,FALSE),"")</f>
        <v/>
      </c>
    </row>
    <row r="1759" spans="1:8" hidden="1">
      <c r="A1759" s="69" t="str">
        <f>IFERROR(VLOOKUP(C1759,[3]wms_iv_f!$A$1:$D$135,2,FALSE),"")</f>
        <v/>
      </c>
      <c r="B1759" s="69" t="s">
        <v>2609</v>
      </c>
      <c r="C1759" s="70" t="s">
        <v>84</v>
      </c>
      <c r="D1759" s="70" t="s">
        <v>2614</v>
      </c>
      <c r="E1759" s="70"/>
      <c r="F1759" s="70"/>
      <c r="G1759" s="70" t="str">
        <f>IFERROR(VLOOKUP(A1759,[1]wms_iv_f!$A$1:$E$136,4,FALSE),"")</f>
        <v/>
      </c>
      <c r="H1759" s="95" t="str">
        <f>IFERROR(VLOOKUP(A1759,[2]wms_lc_f!$A$1:$B$156,2,FALSE),"")</f>
        <v/>
      </c>
    </row>
    <row r="1760" spans="1:8" hidden="1">
      <c r="A1760" s="69" t="str">
        <f>IFERROR(VLOOKUP(C1760,[3]wms_iv_f!$A$1:$D$135,2,FALSE),"")</f>
        <v/>
      </c>
      <c r="B1760" s="69" t="s">
        <v>2609</v>
      </c>
      <c r="C1760" s="70" t="s">
        <v>96</v>
      </c>
      <c r="D1760" s="70" t="s">
        <v>2614</v>
      </c>
      <c r="E1760" s="70"/>
      <c r="F1760" s="70"/>
      <c r="G1760" s="70" t="str">
        <f>IFERROR(VLOOKUP(A1760,[1]wms_iv_f!$A$1:$E$136,4,FALSE),"")</f>
        <v/>
      </c>
      <c r="H1760" s="95" t="str">
        <f>IFERROR(VLOOKUP(A1760,[2]wms_lc_f!$A$1:$B$156,2,FALSE),"")</f>
        <v/>
      </c>
    </row>
    <row r="1761" spans="1:8" hidden="1">
      <c r="A1761" s="71" t="str">
        <f>IFERROR(VLOOKUP(C1761,[3]wms_iv_f!$A$1:$D$135,2,FALSE),"")</f>
        <v/>
      </c>
      <c r="B1761" s="69" t="s">
        <v>2609</v>
      </c>
      <c r="C1761" s="70" t="s">
        <v>108</v>
      </c>
      <c r="D1761" s="70" t="s">
        <v>2614</v>
      </c>
      <c r="E1761" s="70"/>
      <c r="F1761" s="70"/>
      <c r="G1761" s="70" t="str">
        <f>IFERROR(VLOOKUP(A1761,[1]wms_iv_f!$A$1:$E$136,4,FALSE),"")</f>
        <v/>
      </c>
      <c r="H1761" s="95" t="str">
        <f>IFERROR(VLOOKUP(A1761,[2]wms_lc_f!$A$1:$B$156,2,FALSE),"")</f>
        <v/>
      </c>
    </row>
    <row r="1762" spans="1:8" hidden="1">
      <c r="A1762" s="71" t="str">
        <f>IFERROR(VLOOKUP(C1762,[3]wms_iv_f!$A$1:$D$135,2,FALSE),"")</f>
        <v/>
      </c>
      <c r="B1762" s="69" t="s">
        <v>2609</v>
      </c>
      <c r="C1762" s="70" t="s">
        <v>191</v>
      </c>
      <c r="D1762" s="70" t="s">
        <v>2614</v>
      </c>
      <c r="E1762" s="70"/>
      <c r="F1762" s="70"/>
      <c r="G1762" s="70" t="str">
        <f>IFERROR(VLOOKUP(A1762,[1]wms_iv_f!$A$1:$E$136,4,FALSE),"")</f>
        <v/>
      </c>
      <c r="H1762" s="95" t="str">
        <f>IFERROR(VLOOKUP(A1762,[2]wms_lc_f!$A$1:$B$156,2,FALSE),"")</f>
        <v/>
      </c>
    </row>
    <row r="1763" spans="1:8" hidden="1">
      <c r="A1763" s="71" t="str">
        <f>IFERROR(VLOOKUP(C1763,[3]wms_iv_f!$A$1:$D$135,2,FALSE),"")</f>
        <v/>
      </c>
      <c r="B1763" s="69" t="s">
        <v>2609</v>
      </c>
      <c r="C1763" s="70" t="s">
        <v>203</v>
      </c>
      <c r="D1763" s="70" t="s">
        <v>2614</v>
      </c>
      <c r="E1763" s="70"/>
      <c r="F1763" s="70"/>
      <c r="G1763" s="70" t="str">
        <f>IFERROR(VLOOKUP(A1763,[1]wms_iv_f!$A$1:$E$136,4,FALSE),"")</f>
        <v/>
      </c>
      <c r="H1763" s="95" t="str">
        <f>IFERROR(VLOOKUP(A1763,[2]wms_lc_f!$A$1:$B$156,2,FALSE),"")</f>
        <v/>
      </c>
    </row>
    <row r="1764" spans="1:8" hidden="1">
      <c r="A1764" s="71" t="str">
        <f>IFERROR(VLOOKUP(C1764,[3]wms_iv_f!$A$1:$D$135,2,FALSE),"")</f>
        <v/>
      </c>
      <c r="B1764" s="69" t="s">
        <v>2609</v>
      </c>
      <c r="C1764" s="70" t="s">
        <v>215</v>
      </c>
      <c r="D1764" s="70" t="s">
        <v>2614</v>
      </c>
      <c r="E1764" s="70"/>
      <c r="F1764" s="70"/>
      <c r="G1764" s="70" t="str">
        <f>IFERROR(VLOOKUP(A1764,[1]wms_iv_f!$A$1:$E$136,4,FALSE),"")</f>
        <v/>
      </c>
      <c r="H1764" s="95" t="str">
        <f>IFERROR(VLOOKUP(A1764,[2]wms_lc_f!$A$1:$B$156,2,FALSE),"")</f>
        <v/>
      </c>
    </row>
    <row r="1765" spans="1:8" hidden="1">
      <c r="A1765" s="71" t="str">
        <f>IFERROR(VLOOKUP(C1765,[3]wms_iv_f!$A$1:$D$135,2,FALSE),"")</f>
        <v/>
      </c>
      <c r="B1765" s="69" t="s">
        <v>2609</v>
      </c>
      <c r="C1765" s="70" t="s">
        <v>298</v>
      </c>
      <c r="D1765" s="70" t="s">
        <v>2614</v>
      </c>
      <c r="E1765" s="70"/>
      <c r="F1765" s="70"/>
      <c r="G1765" s="70" t="str">
        <f>IFERROR(VLOOKUP(A1765,[1]wms_iv_f!$A$1:$E$136,4,FALSE),"")</f>
        <v/>
      </c>
      <c r="H1765" s="95" t="str">
        <f>IFERROR(VLOOKUP(A1765,[2]wms_lc_f!$A$1:$B$156,2,FALSE),"")</f>
        <v/>
      </c>
    </row>
    <row r="1766" spans="1:8" hidden="1">
      <c r="A1766" s="71" t="str">
        <f>IFERROR(VLOOKUP(C1766,[3]wms_iv_f!$A$1:$D$135,2,FALSE),"")</f>
        <v/>
      </c>
      <c r="B1766" s="69" t="s">
        <v>2609</v>
      </c>
      <c r="C1766" s="70" t="s">
        <v>309</v>
      </c>
      <c r="D1766" s="70" t="s">
        <v>2614</v>
      </c>
      <c r="E1766" s="70"/>
      <c r="F1766" s="70"/>
      <c r="G1766" s="70" t="str">
        <f>IFERROR(VLOOKUP(A1766,[1]wms_iv_f!$A$1:$E$136,4,FALSE),"")</f>
        <v/>
      </c>
      <c r="H1766" s="95" t="str">
        <f>IFERROR(VLOOKUP(A1766,[2]wms_lc_f!$A$1:$B$156,2,FALSE),"")</f>
        <v/>
      </c>
    </row>
    <row r="1767" spans="1:8" hidden="1">
      <c r="A1767" s="71" t="str">
        <f>IFERROR(VLOOKUP(C1767,[3]wms_iv_f!$A$1:$D$135,2,FALSE),"")</f>
        <v/>
      </c>
      <c r="B1767" s="69" t="s">
        <v>2609</v>
      </c>
      <c r="C1767" s="70" t="s">
        <v>317</v>
      </c>
      <c r="D1767" s="70" t="s">
        <v>2614</v>
      </c>
      <c r="E1767" s="70"/>
      <c r="F1767" s="70"/>
      <c r="G1767" s="70" t="str">
        <f>IFERROR(VLOOKUP(A1767,[1]wms_iv_f!$A$1:$E$136,4,FALSE),"")</f>
        <v/>
      </c>
      <c r="H1767" s="95" t="str">
        <f>IFERROR(VLOOKUP(A1767,[2]wms_lc_f!$A$1:$B$156,2,FALSE),"")</f>
        <v/>
      </c>
    </row>
    <row r="1768" spans="1:8" hidden="1">
      <c r="A1768" s="71" t="str">
        <f>IFERROR(VLOOKUP(C1768,[3]wms_iv_f!$A$1:$D$135,2,FALSE),"")</f>
        <v/>
      </c>
      <c r="B1768" s="69" t="s">
        <v>2609</v>
      </c>
      <c r="C1768" s="70" t="s">
        <v>86</v>
      </c>
      <c r="D1768" s="70" t="s">
        <v>2614</v>
      </c>
      <c r="E1768" s="70"/>
      <c r="F1768" s="70"/>
      <c r="G1768" s="70" t="str">
        <f>IFERROR(VLOOKUP(A1768,[1]wms_iv_f!$A$1:$E$136,4,FALSE),"")</f>
        <v/>
      </c>
      <c r="H1768" s="95" t="str">
        <f>IFERROR(VLOOKUP(A1768,[2]wms_lc_f!$A$1:$B$156,2,FALSE),"")</f>
        <v/>
      </c>
    </row>
    <row r="1769" spans="1:8" hidden="1">
      <c r="A1769" s="71" t="str">
        <f>IFERROR(VLOOKUP(C1769,[3]wms_iv_f!$A$1:$D$135,2,FALSE),"")</f>
        <v/>
      </c>
      <c r="B1769" s="69" t="s">
        <v>2609</v>
      </c>
      <c r="C1769" s="70" t="s">
        <v>98</v>
      </c>
      <c r="D1769" s="70" t="s">
        <v>2614</v>
      </c>
      <c r="E1769" s="70"/>
      <c r="F1769" s="70"/>
      <c r="G1769" s="70" t="str">
        <f>IFERROR(VLOOKUP(A1769,[1]wms_iv_f!$A$1:$E$136,4,FALSE),"")</f>
        <v/>
      </c>
      <c r="H1769" s="95" t="str">
        <f>IFERROR(VLOOKUP(A1769,[2]wms_lc_f!$A$1:$B$156,2,FALSE),"")</f>
        <v/>
      </c>
    </row>
    <row r="1770" spans="1:8" hidden="1">
      <c r="A1770" s="71" t="str">
        <f>IFERROR(VLOOKUP(C1770,[3]wms_iv_f!$A$1:$D$135,2,FALSE),"")</f>
        <v/>
      </c>
      <c r="B1770" s="69" t="s">
        <v>2609</v>
      </c>
      <c r="C1770" s="70" t="s">
        <v>110</v>
      </c>
      <c r="D1770" s="70" t="s">
        <v>2614</v>
      </c>
      <c r="E1770" s="70"/>
      <c r="F1770" s="70"/>
      <c r="G1770" s="70" t="str">
        <f>IFERROR(VLOOKUP(A1770,[1]wms_iv_f!$A$1:$E$136,4,FALSE),"")</f>
        <v/>
      </c>
      <c r="H1770" s="95" t="str">
        <f>IFERROR(VLOOKUP(A1770,[2]wms_lc_f!$A$1:$B$156,2,FALSE),"")</f>
        <v/>
      </c>
    </row>
    <row r="1771" spans="1:8" hidden="1">
      <c r="A1771" s="71" t="str">
        <f>IFERROR(VLOOKUP(C1771,[3]wms_iv_f!$A$1:$D$135,2,FALSE),"")</f>
        <v/>
      </c>
      <c r="B1771" s="69" t="s">
        <v>2609</v>
      </c>
      <c r="C1771" s="70" t="s">
        <v>193</v>
      </c>
      <c r="D1771" s="70" t="s">
        <v>2614</v>
      </c>
      <c r="E1771" s="70"/>
      <c r="F1771" s="70"/>
      <c r="G1771" s="70" t="str">
        <f>IFERROR(VLOOKUP(A1771,[1]wms_iv_f!$A$1:$E$136,4,FALSE),"")</f>
        <v/>
      </c>
      <c r="H1771" s="95" t="str">
        <f>IFERROR(VLOOKUP(A1771,[2]wms_lc_f!$A$1:$B$156,2,FALSE),"")</f>
        <v/>
      </c>
    </row>
    <row r="1772" spans="1:8" hidden="1">
      <c r="A1772" s="71" t="str">
        <f>IFERROR(VLOOKUP(C1772,[3]wms_iv_f!$A$1:$D$135,2,FALSE),"")</f>
        <v/>
      </c>
      <c r="B1772" s="69" t="s">
        <v>2609</v>
      </c>
      <c r="C1772" s="70" t="s">
        <v>205</v>
      </c>
      <c r="D1772" s="70" t="s">
        <v>2614</v>
      </c>
      <c r="E1772" s="70"/>
      <c r="F1772" s="70"/>
      <c r="G1772" s="70" t="str">
        <f>IFERROR(VLOOKUP(A1772,[1]wms_iv_f!$A$1:$E$136,4,FALSE),"")</f>
        <v/>
      </c>
      <c r="H1772" s="95" t="str">
        <f>IFERROR(VLOOKUP(A1772,[2]wms_lc_f!$A$1:$B$156,2,FALSE),"")</f>
        <v/>
      </c>
    </row>
    <row r="1773" spans="1:8" hidden="1">
      <c r="A1773" s="71" t="str">
        <f>IFERROR(VLOOKUP(C1773,[3]wms_iv_f!$A$1:$D$135,2,FALSE),"")</f>
        <v/>
      </c>
      <c r="B1773" s="69" t="s">
        <v>2609</v>
      </c>
      <c r="C1773" s="70" t="s">
        <v>217</v>
      </c>
      <c r="D1773" s="70" t="s">
        <v>2614</v>
      </c>
      <c r="E1773" s="70"/>
      <c r="F1773" s="70"/>
      <c r="G1773" s="70" t="str">
        <f>IFERROR(VLOOKUP(A1773,[1]wms_iv_f!$A$1:$E$136,4,FALSE),"")</f>
        <v/>
      </c>
      <c r="H1773" s="95" t="str">
        <f>IFERROR(VLOOKUP(A1773,[2]wms_lc_f!$A$1:$B$156,2,FALSE),"")</f>
        <v/>
      </c>
    </row>
    <row r="1774" spans="1:8" hidden="1">
      <c r="A1774" s="71" t="str">
        <f>IFERROR(VLOOKUP(C1774,[3]wms_iv_f!$A$1:$D$135,2,FALSE),"")</f>
        <v/>
      </c>
      <c r="B1774" s="69" t="s">
        <v>2609</v>
      </c>
      <c r="C1774" s="70" t="s">
        <v>300</v>
      </c>
      <c r="D1774" s="70" t="s">
        <v>2614</v>
      </c>
      <c r="E1774" s="70"/>
      <c r="F1774" s="70"/>
      <c r="G1774" s="70" t="str">
        <f>IFERROR(VLOOKUP(A1774,[1]wms_iv_f!$A$1:$E$136,4,FALSE),"")</f>
        <v/>
      </c>
      <c r="H1774" s="95" t="str">
        <f>IFERROR(VLOOKUP(A1774,[2]wms_lc_f!$A$1:$B$156,2,FALSE),"")</f>
        <v/>
      </c>
    </row>
    <row r="1775" spans="1:8" hidden="1">
      <c r="A1775" s="71" t="str">
        <f>IFERROR(VLOOKUP(C1775,[3]wms_iv_f!$A$1:$D$135,2,FALSE),"")</f>
        <v/>
      </c>
      <c r="B1775" s="69" t="s">
        <v>2609</v>
      </c>
      <c r="C1775" s="70" t="s">
        <v>87</v>
      </c>
      <c r="D1775" s="70" t="s">
        <v>2614</v>
      </c>
      <c r="E1775" s="70"/>
      <c r="F1775" s="70"/>
      <c r="G1775" s="70" t="str">
        <f>IFERROR(VLOOKUP(A1775,[1]wms_iv_f!$A$1:$E$136,4,FALSE),"")</f>
        <v/>
      </c>
      <c r="H1775" s="95" t="str">
        <f>IFERROR(VLOOKUP(A1775,[2]wms_lc_f!$A$1:$B$156,2,FALSE),"")</f>
        <v/>
      </c>
    </row>
    <row r="1776" spans="1:8" hidden="1">
      <c r="A1776" s="71" t="str">
        <f>IFERROR(VLOOKUP(C1776,[3]wms_iv_f!$A$1:$D$135,2,FALSE),"")</f>
        <v/>
      </c>
      <c r="B1776" s="69" t="s">
        <v>2609</v>
      </c>
      <c r="C1776" s="70" t="s">
        <v>99</v>
      </c>
      <c r="D1776" s="70" t="s">
        <v>2614</v>
      </c>
      <c r="E1776" s="70"/>
      <c r="F1776" s="70"/>
      <c r="G1776" s="70" t="str">
        <f>IFERROR(VLOOKUP(A1776,[1]wms_iv_f!$A$1:$E$136,4,FALSE),"")</f>
        <v/>
      </c>
      <c r="H1776" s="95" t="str">
        <f>IFERROR(VLOOKUP(A1776,[2]wms_lc_f!$A$1:$B$156,2,FALSE),"")</f>
        <v/>
      </c>
    </row>
    <row r="1777" spans="1:8" hidden="1">
      <c r="A1777" s="71" t="str">
        <f>IFERROR(VLOOKUP(C1777,[3]wms_iv_f!$A$1:$D$135,2,FALSE),"")</f>
        <v/>
      </c>
      <c r="B1777" s="69" t="s">
        <v>2609</v>
      </c>
      <c r="C1777" s="70" t="s">
        <v>111</v>
      </c>
      <c r="D1777" s="70" t="s">
        <v>2614</v>
      </c>
      <c r="E1777" s="70"/>
      <c r="F1777" s="70"/>
      <c r="G1777" s="70" t="str">
        <f>IFERROR(VLOOKUP(A1777,[1]wms_iv_f!$A$1:$E$136,4,FALSE),"")</f>
        <v/>
      </c>
      <c r="H1777" s="95" t="str">
        <f>IFERROR(VLOOKUP(A1777,[2]wms_lc_f!$A$1:$B$156,2,FALSE),"")</f>
        <v/>
      </c>
    </row>
    <row r="1778" spans="1:8" hidden="1">
      <c r="A1778" s="71" t="str">
        <f>IFERROR(VLOOKUP(C1778,[3]wms_iv_f!$A$1:$D$135,2,FALSE),"")</f>
        <v/>
      </c>
      <c r="B1778" s="69" t="s">
        <v>2609</v>
      </c>
      <c r="C1778" s="70" t="s">
        <v>194</v>
      </c>
      <c r="D1778" s="70" t="s">
        <v>2614</v>
      </c>
      <c r="E1778" s="70"/>
      <c r="F1778" s="70"/>
      <c r="G1778" s="70" t="str">
        <f>IFERROR(VLOOKUP(A1778,[1]wms_iv_f!$A$1:$E$136,4,FALSE),"")</f>
        <v/>
      </c>
      <c r="H1778" s="95" t="str">
        <f>IFERROR(VLOOKUP(A1778,[2]wms_lc_f!$A$1:$B$156,2,FALSE),"")</f>
        <v/>
      </c>
    </row>
    <row r="1779" spans="1:8" hidden="1">
      <c r="A1779" s="71" t="str">
        <f>IFERROR(VLOOKUP(C1779,[3]wms_iv_f!$A$1:$D$135,2,FALSE),"")</f>
        <v/>
      </c>
      <c r="B1779" s="69" t="s">
        <v>2609</v>
      </c>
      <c r="C1779" s="70" t="s">
        <v>206</v>
      </c>
      <c r="D1779" s="70" t="s">
        <v>2614</v>
      </c>
      <c r="E1779" s="70"/>
      <c r="F1779" s="70"/>
      <c r="G1779" s="70" t="str">
        <f>IFERROR(VLOOKUP(A1779,[1]wms_iv_f!$A$1:$E$136,4,FALSE),"")</f>
        <v/>
      </c>
      <c r="H1779" s="95" t="str">
        <f>IFERROR(VLOOKUP(A1779,[2]wms_lc_f!$A$1:$B$156,2,FALSE),"")</f>
        <v/>
      </c>
    </row>
    <row r="1780" spans="1:8" hidden="1">
      <c r="A1780" s="71" t="str">
        <f>IFERROR(VLOOKUP(C1780,[3]wms_iv_f!$A$1:$D$135,2,FALSE),"")</f>
        <v/>
      </c>
      <c r="B1780" s="69" t="s">
        <v>2609</v>
      </c>
      <c r="C1780" s="70" t="s">
        <v>218</v>
      </c>
      <c r="D1780" s="70" t="s">
        <v>2614</v>
      </c>
      <c r="E1780" s="70"/>
      <c r="F1780" s="70"/>
      <c r="G1780" s="70" t="str">
        <f>IFERROR(VLOOKUP(A1780,[1]wms_iv_f!$A$1:$E$136,4,FALSE),"")</f>
        <v/>
      </c>
      <c r="H1780" s="95" t="str">
        <f>IFERROR(VLOOKUP(A1780,[2]wms_lc_f!$A$1:$B$156,2,FALSE),"")</f>
        <v/>
      </c>
    </row>
    <row r="1781" spans="1:8" hidden="1">
      <c r="A1781" s="71" t="str">
        <f>IFERROR(VLOOKUP(C1781,[3]wms_iv_f!$A$1:$D$135,2,FALSE),"")</f>
        <v/>
      </c>
      <c r="B1781" s="69" t="s">
        <v>2609</v>
      </c>
      <c r="C1781" s="70" t="s">
        <v>301</v>
      </c>
      <c r="D1781" s="70" t="s">
        <v>2614</v>
      </c>
      <c r="E1781" s="70"/>
      <c r="F1781" s="70"/>
      <c r="G1781" s="70" t="str">
        <f>IFERROR(VLOOKUP(A1781,[1]wms_iv_f!$A$1:$E$136,4,FALSE),"")</f>
        <v/>
      </c>
      <c r="H1781" s="95" t="str">
        <f>IFERROR(VLOOKUP(A1781,[2]wms_lc_f!$A$1:$B$156,2,FALSE),"")</f>
        <v/>
      </c>
    </row>
    <row r="1782" spans="1:8" hidden="1">
      <c r="A1782" s="71" t="str">
        <f>IFERROR(VLOOKUP(C1782,[3]wms_iv_f!$A$1:$D$135,2,FALSE),"")</f>
        <v/>
      </c>
      <c r="B1782" s="69" t="s">
        <v>2609</v>
      </c>
      <c r="C1782" s="76" t="s">
        <v>85</v>
      </c>
      <c r="D1782" s="76" t="s">
        <v>2614</v>
      </c>
      <c r="E1782" s="70"/>
      <c r="F1782" s="70"/>
      <c r="G1782" s="70" t="str">
        <f>IFERROR(VLOOKUP(A1782,[1]wms_iv_f!$A$1:$E$136,4,FALSE),"")</f>
        <v/>
      </c>
      <c r="H1782" s="95" t="str">
        <f>IFERROR(VLOOKUP(A1782,[2]wms_lc_f!$A$1:$B$156,2,FALSE),"")</f>
        <v/>
      </c>
    </row>
    <row r="1783" spans="1:8" hidden="1">
      <c r="A1783" s="71" t="str">
        <f>IFERROR(VLOOKUP(C1783,[3]wms_iv_f!$A$1:$D$135,2,FALSE),"")</f>
        <v/>
      </c>
      <c r="B1783" s="69" t="s">
        <v>2609</v>
      </c>
      <c r="C1783" s="70" t="s">
        <v>97</v>
      </c>
      <c r="D1783" s="70" t="s">
        <v>2614</v>
      </c>
      <c r="E1783" s="70"/>
      <c r="F1783" s="70"/>
      <c r="G1783" s="70" t="str">
        <f>IFERROR(VLOOKUP(A1783,[1]wms_iv_f!$A$1:$E$136,4,FALSE),"")</f>
        <v/>
      </c>
      <c r="H1783" s="95" t="str">
        <f>IFERROR(VLOOKUP(A1783,[2]wms_lc_f!$A$1:$B$156,2,FALSE),"")</f>
        <v/>
      </c>
    </row>
    <row r="1784" spans="1:8" hidden="1">
      <c r="A1784" s="71" t="str">
        <f>IFERROR(VLOOKUP(C1784,[3]wms_iv_f!$A$1:$D$135,2,FALSE),"")</f>
        <v/>
      </c>
      <c r="B1784" s="69" t="s">
        <v>2609</v>
      </c>
      <c r="C1784" s="70" t="s">
        <v>109</v>
      </c>
      <c r="D1784" s="70" t="s">
        <v>2614</v>
      </c>
      <c r="E1784" s="70"/>
      <c r="F1784" s="70"/>
      <c r="G1784" s="70" t="str">
        <f>IFERROR(VLOOKUP(A1784,[1]wms_iv_f!$A$1:$E$136,4,FALSE),"")</f>
        <v/>
      </c>
      <c r="H1784" s="95" t="str">
        <f>IFERROR(VLOOKUP(A1784,[2]wms_lc_f!$A$1:$B$156,2,FALSE),"")</f>
        <v/>
      </c>
    </row>
    <row r="1785" spans="1:8" hidden="1">
      <c r="A1785" s="71" t="str">
        <f>IFERROR(VLOOKUP(C1785,[3]wms_iv_f!$A$1:$D$135,2,FALSE),"")</f>
        <v/>
      </c>
      <c r="B1785" s="69" t="s">
        <v>2609</v>
      </c>
      <c r="C1785" s="70" t="s">
        <v>192</v>
      </c>
      <c r="D1785" s="70" t="s">
        <v>2614</v>
      </c>
      <c r="E1785" s="70"/>
      <c r="F1785" s="70"/>
      <c r="G1785" s="70" t="str">
        <f>IFERROR(VLOOKUP(A1785,[1]wms_iv_f!$A$1:$E$136,4,FALSE),"")</f>
        <v/>
      </c>
      <c r="H1785" s="95" t="str">
        <f>IFERROR(VLOOKUP(A1785,[2]wms_lc_f!$A$1:$B$156,2,FALSE),"")</f>
        <v/>
      </c>
    </row>
    <row r="1786" spans="1:8" hidden="1">
      <c r="A1786" s="71" t="str">
        <f>IFERROR(VLOOKUP(C1786,[3]wms_iv_f!$A$1:$D$135,2,FALSE),"")</f>
        <v/>
      </c>
      <c r="B1786" s="69" t="s">
        <v>2609</v>
      </c>
      <c r="C1786" s="70" t="s">
        <v>204</v>
      </c>
      <c r="D1786" s="70" t="s">
        <v>2614</v>
      </c>
      <c r="E1786" s="70"/>
      <c r="F1786" s="70"/>
      <c r="G1786" s="70" t="str">
        <f>IFERROR(VLOOKUP(A1786,[1]wms_iv_f!$A$1:$E$136,4,FALSE),"")</f>
        <v/>
      </c>
      <c r="H1786" s="95" t="str">
        <f>IFERROR(VLOOKUP(A1786,[2]wms_lc_f!$A$1:$B$156,2,FALSE),"")</f>
        <v/>
      </c>
    </row>
    <row r="1787" spans="1:8" hidden="1">
      <c r="A1787" s="71" t="str">
        <f>IFERROR(VLOOKUP(C1787,[3]wms_iv_f!$A$1:$D$135,2,FALSE),"")</f>
        <v/>
      </c>
      <c r="B1787" s="69" t="s">
        <v>2609</v>
      </c>
      <c r="C1787" s="70" t="s">
        <v>216</v>
      </c>
      <c r="D1787" s="70" t="s">
        <v>2614</v>
      </c>
      <c r="E1787" s="70"/>
      <c r="F1787" s="70"/>
      <c r="G1787" s="70" t="str">
        <f>IFERROR(VLOOKUP(A1787,[1]wms_iv_f!$A$1:$E$136,4,FALSE),"")</f>
        <v/>
      </c>
      <c r="H1787" s="95" t="str">
        <f>IFERROR(VLOOKUP(A1787,[2]wms_lc_f!$A$1:$B$156,2,FALSE),"")</f>
        <v/>
      </c>
    </row>
    <row r="1788" spans="1:8" hidden="1">
      <c r="A1788" s="71" t="str">
        <f>IFERROR(VLOOKUP(C1788,[3]wms_iv_f!$A$1:$D$135,2,FALSE),"")</f>
        <v/>
      </c>
      <c r="B1788" s="69" t="s">
        <v>2609</v>
      </c>
      <c r="C1788" s="70" t="s">
        <v>299</v>
      </c>
      <c r="D1788" s="70" t="s">
        <v>2614</v>
      </c>
      <c r="E1788" s="70"/>
      <c r="F1788" s="70"/>
      <c r="G1788" s="70" t="str">
        <f>IFERROR(VLOOKUP(A1788,[1]wms_iv_f!$A$1:$E$136,4,FALSE),"")</f>
        <v/>
      </c>
      <c r="H1788" s="95" t="str">
        <f>IFERROR(VLOOKUP(A1788,[2]wms_lc_f!$A$1:$B$156,2,FALSE),"")</f>
        <v/>
      </c>
    </row>
    <row r="1789" spans="1:8" hidden="1">
      <c r="A1789" s="71" t="str">
        <f>IFERROR(VLOOKUP(C1789,[3]wms_iv_f!$A$1:$D$135,2,FALSE),"")</f>
        <v/>
      </c>
      <c r="B1789" s="69" t="s">
        <v>2609</v>
      </c>
      <c r="C1789" s="70" t="s">
        <v>310</v>
      </c>
      <c r="D1789" s="70" t="s">
        <v>2614</v>
      </c>
      <c r="E1789" s="70"/>
      <c r="F1789" s="70"/>
      <c r="G1789" s="70" t="str">
        <f>IFERROR(VLOOKUP(A1789,[1]wms_iv_f!$A$1:$E$136,4,FALSE),"")</f>
        <v/>
      </c>
      <c r="H1789" s="95" t="str">
        <f>IFERROR(VLOOKUP(A1789,[2]wms_lc_f!$A$1:$B$156,2,FALSE),"")</f>
        <v/>
      </c>
    </row>
    <row r="1790" spans="1:8" hidden="1">
      <c r="A1790" s="71" t="str">
        <f>IFERROR(VLOOKUP(C1790,[3]wms_iv_f!$A$1:$D$135,2,FALSE),"")</f>
        <v/>
      </c>
      <c r="B1790" s="69" t="s">
        <v>2609</v>
      </c>
      <c r="C1790" s="70" t="s">
        <v>318</v>
      </c>
      <c r="D1790" s="70" t="s">
        <v>2614</v>
      </c>
      <c r="E1790" s="70"/>
      <c r="F1790" s="70"/>
      <c r="G1790" s="70" t="str">
        <f>IFERROR(VLOOKUP(A1790,[1]wms_iv_f!$A$1:$E$136,4,FALSE),"")</f>
        <v/>
      </c>
      <c r="H1790" s="95" t="str">
        <f>IFERROR(VLOOKUP(A1790,[2]wms_lc_f!$A$1:$B$156,2,FALSE),"")</f>
        <v/>
      </c>
    </row>
    <row r="1791" spans="1:8" hidden="1">
      <c r="A1791" s="71" t="str">
        <f>IFERROR(VLOOKUP(C1791,[3]wms_iv_f!$A$1:$D$135,2,FALSE),"")</f>
        <v/>
      </c>
      <c r="B1791" s="69" t="s">
        <v>2609</v>
      </c>
      <c r="C1791" s="70" t="s">
        <v>88</v>
      </c>
      <c r="D1791" s="70" t="s">
        <v>2614</v>
      </c>
      <c r="E1791" s="70"/>
      <c r="F1791" s="70"/>
      <c r="G1791" s="70" t="str">
        <f>IFERROR(VLOOKUP(A1791,[1]wms_iv_f!$A$1:$E$136,4,FALSE),"")</f>
        <v/>
      </c>
      <c r="H1791" s="95" t="str">
        <f>IFERROR(VLOOKUP(A1791,[2]wms_lc_f!$A$1:$B$156,2,FALSE),"")</f>
        <v/>
      </c>
    </row>
    <row r="1792" spans="1:8" hidden="1">
      <c r="A1792" s="71" t="str">
        <f>IFERROR(VLOOKUP(C1792,[3]wms_iv_f!$A$1:$D$135,2,FALSE),"")</f>
        <v/>
      </c>
      <c r="B1792" s="69" t="s">
        <v>2609</v>
      </c>
      <c r="C1792" s="70" t="s">
        <v>100</v>
      </c>
      <c r="D1792" s="70" t="s">
        <v>2614</v>
      </c>
      <c r="E1792" s="70"/>
      <c r="F1792" s="70"/>
      <c r="G1792" s="70" t="str">
        <f>IFERROR(VLOOKUP(A1792,[1]wms_iv_f!$A$1:$E$136,4,FALSE),"")</f>
        <v/>
      </c>
      <c r="H1792" s="95" t="str">
        <f>IFERROR(VLOOKUP(A1792,[2]wms_lc_f!$A$1:$B$156,2,FALSE),"")</f>
        <v/>
      </c>
    </row>
    <row r="1793" spans="1:8" hidden="1">
      <c r="A1793" s="71" t="str">
        <f>IFERROR(VLOOKUP(C1793,[3]wms_iv_f!$A$1:$D$135,2,FALSE),"")</f>
        <v/>
      </c>
      <c r="B1793" s="69" t="s">
        <v>2609</v>
      </c>
      <c r="C1793" s="70" t="s">
        <v>112</v>
      </c>
      <c r="D1793" s="70" t="s">
        <v>2614</v>
      </c>
      <c r="E1793" s="70"/>
      <c r="F1793" s="70"/>
      <c r="G1793" s="70" t="str">
        <f>IFERROR(VLOOKUP(A1793,[1]wms_iv_f!$A$1:$E$136,4,FALSE),"")</f>
        <v/>
      </c>
      <c r="H1793" s="95" t="str">
        <f>IFERROR(VLOOKUP(A1793,[2]wms_lc_f!$A$1:$B$156,2,FALSE),"")</f>
        <v/>
      </c>
    </row>
    <row r="1794" spans="1:8" hidden="1">
      <c r="A1794" s="71" t="str">
        <f>IFERROR(VLOOKUP(C1794,[3]wms_iv_f!$A$1:$D$135,2,FALSE),"")</f>
        <v/>
      </c>
      <c r="B1794" s="69" t="s">
        <v>2609</v>
      </c>
      <c r="C1794" s="70" t="s">
        <v>195</v>
      </c>
      <c r="D1794" s="70" t="s">
        <v>2614</v>
      </c>
      <c r="E1794" s="70"/>
      <c r="F1794" s="70"/>
      <c r="G1794" s="70" t="str">
        <f>IFERROR(VLOOKUP(A1794,[1]wms_iv_f!$A$1:$E$136,4,FALSE),"")</f>
        <v/>
      </c>
      <c r="H1794" s="95" t="str">
        <f>IFERROR(VLOOKUP(A1794,[2]wms_lc_f!$A$1:$B$156,2,FALSE),"")</f>
        <v/>
      </c>
    </row>
    <row r="1795" spans="1:8" hidden="1">
      <c r="A1795" s="71" t="str">
        <f>IFERROR(VLOOKUP(C1795,[3]wms_iv_f!$A$1:$D$135,2,FALSE),"")</f>
        <v/>
      </c>
      <c r="B1795" s="69" t="s">
        <v>2609</v>
      </c>
      <c r="C1795" s="70" t="s">
        <v>207</v>
      </c>
      <c r="D1795" s="70" t="s">
        <v>2614</v>
      </c>
      <c r="E1795" s="70"/>
      <c r="F1795" s="70"/>
      <c r="G1795" s="70" t="str">
        <f>IFERROR(VLOOKUP(A1795,[1]wms_iv_f!$A$1:$E$136,4,FALSE),"")</f>
        <v/>
      </c>
      <c r="H1795" s="95" t="str">
        <f>IFERROR(VLOOKUP(A1795,[2]wms_lc_f!$A$1:$B$156,2,FALSE),"")</f>
        <v/>
      </c>
    </row>
    <row r="1796" spans="1:8" hidden="1">
      <c r="A1796" s="71" t="str">
        <f>IFERROR(VLOOKUP(C1796,[3]wms_iv_f!$A$1:$D$135,2,FALSE),"")</f>
        <v/>
      </c>
      <c r="B1796" s="69" t="s">
        <v>2609</v>
      </c>
      <c r="C1796" s="70" t="s">
        <v>219</v>
      </c>
      <c r="D1796" s="70" t="s">
        <v>2614</v>
      </c>
      <c r="E1796" s="70"/>
      <c r="F1796" s="70"/>
      <c r="G1796" s="70" t="str">
        <f>IFERROR(VLOOKUP(A1796,[1]wms_iv_f!$A$1:$E$136,4,FALSE),"")</f>
        <v/>
      </c>
      <c r="H1796" s="95" t="str">
        <f>IFERROR(VLOOKUP(A1796,[2]wms_lc_f!$A$1:$B$156,2,FALSE),"")</f>
        <v/>
      </c>
    </row>
    <row r="1797" spans="1:8" hidden="1">
      <c r="A1797" s="71" t="str">
        <f>IFERROR(VLOOKUP(C1797,[3]wms_iv_f!$A$1:$D$135,2,FALSE),"")</f>
        <v/>
      </c>
      <c r="B1797" s="69" t="s">
        <v>2609</v>
      </c>
      <c r="C1797" s="70" t="s">
        <v>302</v>
      </c>
      <c r="D1797" s="70" t="s">
        <v>2614</v>
      </c>
      <c r="E1797" s="70"/>
      <c r="F1797" s="70"/>
      <c r="G1797" s="70" t="str">
        <f>IFERROR(VLOOKUP(A1797,[1]wms_iv_f!$A$1:$E$136,4,FALSE),"")</f>
        <v/>
      </c>
      <c r="H1797" s="95" t="str">
        <f>IFERROR(VLOOKUP(A1797,[2]wms_lc_f!$A$1:$B$156,2,FALSE),"")</f>
        <v/>
      </c>
    </row>
    <row r="1798" spans="1:8" hidden="1">
      <c r="A1798" s="71" t="str">
        <f>IFERROR(VLOOKUP(C1798,[3]wms_iv_f!$A$1:$D$135,2,FALSE),"")</f>
        <v/>
      </c>
      <c r="B1798" s="69" t="s">
        <v>2609</v>
      </c>
      <c r="C1798" s="70" t="s">
        <v>311</v>
      </c>
      <c r="D1798" s="70" t="s">
        <v>2614</v>
      </c>
      <c r="E1798" s="70"/>
      <c r="F1798" s="70"/>
      <c r="G1798" s="70" t="str">
        <f>IFERROR(VLOOKUP(A1798,[1]wms_iv_f!$A$1:$E$136,4,FALSE),"")</f>
        <v/>
      </c>
      <c r="H1798" s="95" t="str">
        <f>IFERROR(VLOOKUP(A1798,[2]wms_lc_f!$A$1:$B$156,2,FALSE),"")</f>
        <v/>
      </c>
    </row>
    <row r="1799" spans="1:8" hidden="1">
      <c r="A1799" s="71" t="str">
        <f>IFERROR(VLOOKUP(C1799,[3]wms_iv_f!$A$1:$D$135,2,FALSE),"")</f>
        <v/>
      </c>
      <c r="B1799" s="69" t="s">
        <v>2609</v>
      </c>
      <c r="C1799" s="70" t="s">
        <v>319</v>
      </c>
      <c r="D1799" s="70" t="s">
        <v>2614</v>
      </c>
      <c r="E1799" s="70"/>
      <c r="F1799" s="70"/>
      <c r="G1799" s="70" t="str">
        <f>IFERROR(VLOOKUP(A1799,[1]wms_iv_f!$A$1:$E$136,4,FALSE),"")</f>
        <v/>
      </c>
      <c r="H1799" s="95" t="str">
        <f>IFERROR(VLOOKUP(A1799,[2]wms_lc_f!$A$1:$B$156,2,FALSE),"")</f>
        <v/>
      </c>
    </row>
    <row r="1800" spans="1:8" hidden="1">
      <c r="A1800" s="71"/>
      <c r="B1800" s="69" t="s">
        <v>2609</v>
      </c>
      <c r="C1800" s="70" t="s">
        <v>45</v>
      </c>
      <c r="D1800" s="70" t="s">
        <v>2614</v>
      </c>
      <c r="E1800" s="70"/>
      <c r="F1800" s="70"/>
      <c r="G1800" s="70" t="str">
        <f>IFERROR(VLOOKUP(A1800,[1]wms_iv_f!$A$1:$E$136,4,FALSE),"")</f>
        <v/>
      </c>
      <c r="H1800" s="95" t="str">
        <f>IFERROR(VLOOKUP(A1800,[2]wms_lc_f!$A$1:$B$156,2,FALSE),"")</f>
        <v/>
      </c>
    </row>
    <row r="1801" spans="1:8" hidden="1">
      <c r="A1801" s="71"/>
      <c r="B1801" s="69" t="s">
        <v>2609</v>
      </c>
      <c r="C1801" s="70" t="s">
        <v>89</v>
      </c>
      <c r="D1801" s="70" t="s">
        <v>2614</v>
      </c>
      <c r="E1801" s="70"/>
      <c r="F1801" s="70"/>
      <c r="G1801" s="70" t="str">
        <f>IFERROR(VLOOKUP(A1801,[1]wms_iv_f!$A$1:$E$136,4,FALSE),"")</f>
        <v/>
      </c>
      <c r="H1801" s="95" t="str">
        <f>IFERROR(VLOOKUP(A1801,[2]wms_lc_f!$A$1:$B$156,2,FALSE),"")</f>
        <v/>
      </c>
    </row>
    <row r="1802" spans="1:8" hidden="1">
      <c r="A1802" s="71"/>
      <c r="B1802" s="69" t="s">
        <v>2609</v>
      </c>
      <c r="C1802" s="70" t="s">
        <v>101</v>
      </c>
      <c r="D1802" s="70" t="s">
        <v>2614</v>
      </c>
      <c r="E1802" s="70"/>
      <c r="F1802" s="70"/>
      <c r="G1802" s="70" t="str">
        <f>IFERROR(VLOOKUP(A1802,[1]wms_iv_f!$A$1:$E$136,4,FALSE),"")</f>
        <v/>
      </c>
      <c r="H1802" s="95" t="str">
        <f>IFERROR(VLOOKUP(A1802,[2]wms_lc_f!$A$1:$B$156,2,FALSE),"")</f>
        <v/>
      </c>
    </row>
    <row r="1803" spans="1:8" hidden="1">
      <c r="A1803" s="71"/>
      <c r="B1803" s="69" t="s">
        <v>2609</v>
      </c>
      <c r="C1803" s="70" t="s">
        <v>154</v>
      </c>
      <c r="D1803" s="70" t="s">
        <v>2614</v>
      </c>
      <c r="E1803" s="70"/>
      <c r="F1803" s="70"/>
      <c r="G1803" s="70" t="str">
        <f>IFERROR(VLOOKUP(A1803,[1]wms_iv_f!$A$1:$E$136,4,FALSE),"")</f>
        <v/>
      </c>
      <c r="H1803" s="95" t="str">
        <f>IFERROR(VLOOKUP(A1803,[2]wms_lc_f!$A$1:$B$156,2,FALSE),"")</f>
        <v/>
      </c>
    </row>
    <row r="1804" spans="1:8" hidden="1">
      <c r="A1804" s="71"/>
      <c r="B1804" s="69" t="s">
        <v>2609</v>
      </c>
      <c r="C1804" s="70" t="s">
        <v>196</v>
      </c>
      <c r="D1804" s="70" t="s">
        <v>2614</v>
      </c>
      <c r="E1804" s="70"/>
      <c r="F1804" s="70"/>
      <c r="G1804" s="70" t="str">
        <f>IFERROR(VLOOKUP(A1804,[1]wms_iv_f!$A$1:$E$136,4,FALSE),"")</f>
        <v/>
      </c>
      <c r="H1804" s="95" t="str">
        <f>IFERROR(VLOOKUP(A1804,[2]wms_lc_f!$A$1:$B$156,2,FALSE),"")</f>
        <v/>
      </c>
    </row>
    <row r="1805" spans="1:8" hidden="1">
      <c r="A1805" s="71"/>
      <c r="B1805" s="69" t="s">
        <v>2609</v>
      </c>
      <c r="C1805" s="70" t="s">
        <v>208</v>
      </c>
      <c r="D1805" s="70" t="s">
        <v>2614</v>
      </c>
      <c r="E1805" s="70"/>
      <c r="F1805" s="70"/>
      <c r="G1805" s="70" t="str">
        <f>IFERROR(VLOOKUP(A1805,[1]wms_iv_f!$A$1:$E$136,4,FALSE),"")</f>
        <v/>
      </c>
      <c r="H1805" s="95" t="str">
        <f>IFERROR(VLOOKUP(A1805,[2]wms_lc_f!$A$1:$B$156,2,FALSE),"")</f>
        <v/>
      </c>
    </row>
    <row r="1806" spans="1:8" hidden="1">
      <c r="A1806" s="71"/>
      <c r="B1806" s="69" t="s">
        <v>2609</v>
      </c>
      <c r="C1806" s="70" t="s">
        <v>261</v>
      </c>
      <c r="D1806" s="70" t="s">
        <v>2614</v>
      </c>
      <c r="E1806" s="70"/>
      <c r="F1806" s="70"/>
      <c r="G1806" s="70" t="str">
        <f>IFERROR(VLOOKUP(A1806,[1]wms_iv_f!$A$1:$E$136,4,FALSE),"")</f>
        <v/>
      </c>
      <c r="H1806" s="95" t="str">
        <f>IFERROR(VLOOKUP(A1806,[2]wms_lc_f!$A$1:$B$156,2,FALSE),"")</f>
        <v/>
      </c>
    </row>
    <row r="1807" spans="1:8" hidden="1">
      <c r="A1807" s="71"/>
      <c r="B1807" s="69" t="s">
        <v>2609</v>
      </c>
      <c r="C1807" s="70" t="s">
        <v>303</v>
      </c>
      <c r="D1807" s="70" t="s">
        <v>2614</v>
      </c>
      <c r="E1807" s="70"/>
      <c r="F1807" s="70"/>
      <c r="G1807" s="70" t="str">
        <f>IFERROR(VLOOKUP(A1807,[1]wms_iv_f!$A$1:$E$136,4,FALSE),"")</f>
        <v/>
      </c>
      <c r="H1807" s="95" t="str">
        <f>IFERROR(VLOOKUP(A1807,[2]wms_lc_f!$A$1:$B$156,2,FALSE),"")</f>
        <v/>
      </c>
    </row>
    <row r="1808" spans="1:8" hidden="1">
      <c r="A1808" s="71"/>
      <c r="B1808" s="69" t="s">
        <v>2609</v>
      </c>
      <c r="C1808" s="70" t="s">
        <v>312</v>
      </c>
      <c r="D1808" s="70" t="s">
        <v>2614</v>
      </c>
      <c r="E1808" s="70"/>
      <c r="F1808" s="70"/>
      <c r="G1808" s="70" t="str">
        <f>IFERROR(VLOOKUP(A1808,[1]wms_iv_f!$A$1:$E$136,4,FALSE),"")</f>
        <v/>
      </c>
      <c r="H1808" s="95" t="str">
        <f>IFERROR(VLOOKUP(A1808,[2]wms_lc_f!$A$1:$B$156,2,FALSE),"")</f>
        <v/>
      </c>
    </row>
    <row r="1809" spans="1:8" hidden="1">
      <c r="A1809" s="71"/>
      <c r="B1809" s="69" t="s">
        <v>2609</v>
      </c>
      <c r="C1809" s="70" t="s">
        <v>46</v>
      </c>
      <c r="D1809" s="70" t="s">
        <v>2614</v>
      </c>
      <c r="E1809" s="70"/>
      <c r="F1809" s="70"/>
      <c r="G1809" s="70" t="str">
        <f>IFERROR(VLOOKUP(A1809,[1]wms_iv_f!$A$1:$E$136,4,FALSE),"")</f>
        <v/>
      </c>
      <c r="H1809" s="95" t="str">
        <f>IFERROR(VLOOKUP(A1809,[2]wms_lc_f!$A$1:$B$156,2,FALSE),"")</f>
        <v/>
      </c>
    </row>
    <row r="1810" spans="1:8" hidden="1">
      <c r="A1810" s="71"/>
      <c r="B1810" s="69" t="s">
        <v>2609</v>
      </c>
      <c r="C1810" s="70" t="s">
        <v>90</v>
      </c>
      <c r="D1810" s="70" t="s">
        <v>2614</v>
      </c>
      <c r="E1810" s="70"/>
      <c r="F1810" s="70"/>
      <c r="G1810" s="70" t="str">
        <f>IFERROR(VLOOKUP(A1810,[1]wms_iv_f!$A$1:$E$136,4,FALSE),"")</f>
        <v/>
      </c>
      <c r="H1810" s="95" t="str">
        <f>IFERROR(VLOOKUP(A1810,[2]wms_lc_f!$A$1:$B$156,2,FALSE),"")</f>
        <v/>
      </c>
    </row>
    <row r="1811" spans="1:8" hidden="1">
      <c r="A1811" s="71"/>
      <c r="B1811" s="69" t="s">
        <v>2609</v>
      </c>
      <c r="C1811" s="70" t="s">
        <v>102</v>
      </c>
      <c r="D1811" s="70" t="s">
        <v>2614</v>
      </c>
      <c r="E1811" s="70"/>
      <c r="F1811" s="70"/>
      <c r="G1811" s="70" t="str">
        <f>IFERROR(VLOOKUP(A1811,[1]wms_iv_f!$A$1:$E$136,4,FALSE),"")</f>
        <v/>
      </c>
      <c r="H1811" s="95" t="str">
        <f>IFERROR(VLOOKUP(A1811,[2]wms_lc_f!$A$1:$B$156,2,FALSE),"")</f>
        <v/>
      </c>
    </row>
    <row r="1812" spans="1:8" hidden="1">
      <c r="A1812" s="71"/>
      <c r="B1812" s="69" t="s">
        <v>2609</v>
      </c>
      <c r="C1812" s="70" t="s">
        <v>155</v>
      </c>
      <c r="D1812" s="70" t="s">
        <v>2614</v>
      </c>
      <c r="E1812" s="70"/>
      <c r="F1812" s="70"/>
      <c r="G1812" s="70" t="str">
        <f>IFERROR(VLOOKUP(A1812,[1]wms_iv_f!$A$1:$E$136,4,FALSE),"")</f>
        <v/>
      </c>
      <c r="H1812" s="95" t="str">
        <f>IFERROR(VLOOKUP(A1812,[2]wms_lc_f!$A$1:$B$156,2,FALSE),"")</f>
        <v/>
      </c>
    </row>
    <row r="1813" spans="1:8" hidden="1">
      <c r="A1813" s="71"/>
      <c r="B1813" s="69" t="s">
        <v>2609</v>
      </c>
      <c r="C1813" s="70" t="s">
        <v>197</v>
      </c>
      <c r="D1813" s="70" t="s">
        <v>2614</v>
      </c>
      <c r="E1813" s="70"/>
      <c r="F1813" s="70"/>
      <c r="G1813" s="70" t="str">
        <f>IFERROR(VLOOKUP(A1813,[1]wms_iv_f!$A$1:$E$136,4,FALSE),"")</f>
        <v/>
      </c>
      <c r="H1813" s="95" t="str">
        <f>IFERROR(VLOOKUP(A1813,[2]wms_lc_f!$A$1:$B$156,2,FALSE),"")</f>
        <v/>
      </c>
    </row>
    <row r="1814" spans="1:8" hidden="1">
      <c r="A1814" s="71"/>
      <c r="B1814" s="69" t="s">
        <v>2609</v>
      </c>
      <c r="C1814" s="70" t="s">
        <v>209</v>
      </c>
      <c r="D1814" s="70" t="s">
        <v>2614</v>
      </c>
      <c r="E1814" s="70"/>
      <c r="F1814" s="70"/>
      <c r="G1814" s="70" t="str">
        <f>IFERROR(VLOOKUP(A1814,[1]wms_iv_f!$A$1:$E$136,4,FALSE),"")</f>
        <v/>
      </c>
      <c r="H1814" s="95" t="str">
        <f>IFERROR(VLOOKUP(A1814,[2]wms_lc_f!$A$1:$B$156,2,FALSE),"")</f>
        <v/>
      </c>
    </row>
    <row r="1815" spans="1:8" hidden="1">
      <c r="A1815" s="71"/>
      <c r="B1815" s="69" t="s">
        <v>2609</v>
      </c>
      <c r="C1815" s="70" t="s">
        <v>262</v>
      </c>
      <c r="D1815" s="70" t="s">
        <v>2614</v>
      </c>
      <c r="E1815" s="70"/>
      <c r="F1815" s="70"/>
      <c r="G1815" s="70" t="str">
        <f>IFERROR(VLOOKUP(A1815,[1]wms_iv_f!$A$1:$E$136,4,FALSE),"")</f>
        <v/>
      </c>
      <c r="H1815" s="95" t="str">
        <f>IFERROR(VLOOKUP(A1815,[2]wms_lc_f!$A$1:$B$156,2,FALSE),"")</f>
        <v/>
      </c>
    </row>
    <row r="1816" spans="1:8" hidden="1">
      <c r="A1816" s="71"/>
      <c r="B1816" s="69" t="s">
        <v>2609</v>
      </c>
      <c r="C1816" s="70" t="s">
        <v>304</v>
      </c>
      <c r="D1816" s="70" t="s">
        <v>2614</v>
      </c>
      <c r="E1816" s="70"/>
      <c r="F1816" s="70"/>
      <c r="G1816" s="70" t="str">
        <f>IFERROR(VLOOKUP(A1816,[1]wms_iv_f!$A$1:$E$136,4,FALSE),"")</f>
        <v/>
      </c>
      <c r="H1816" s="95" t="str">
        <f>IFERROR(VLOOKUP(A1816,[2]wms_lc_f!$A$1:$B$156,2,FALSE),"")</f>
        <v/>
      </c>
    </row>
    <row r="1817" spans="1:8" hidden="1">
      <c r="A1817" s="71"/>
      <c r="B1817" s="69" t="s">
        <v>2609</v>
      </c>
      <c r="C1817" s="70" t="s">
        <v>313</v>
      </c>
      <c r="D1817" s="70" t="s">
        <v>2614</v>
      </c>
      <c r="E1817" s="70"/>
      <c r="F1817" s="70"/>
      <c r="G1817" s="70" t="str">
        <f>IFERROR(VLOOKUP(A1817,[1]wms_iv_f!$A$1:$E$136,4,FALSE),"")</f>
        <v/>
      </c>
      <c r="H1817" s="95" t="str">
        <f>IFERROR(VLOOKUP(A1817,[2]wms_lc_f!$A$1:$B$156,2,FALSE),"")</f>
        <v/>
      </c>
    </row>
    <row r="1818" spans="1:8" hidden="1">
      <c r="A1818" s="71" t="str">
        <f>IFERROR(VLOOKUP(C1818,[3]wms_iv_f!$A$1:$D$135,2,FALSE),"")</f>
        <v/>
      </c>
      <c r="B1818" s="69" t="s">
        <v>2609</v>
      </c>
      <c r="C1818" s="70" t="s">
        <v>47</v>
      </c>
      <c r="D1818" s="70" t="s">
        <v>2614</v>
      </c>
      <c r="E1818" s="70"/>
      <c r="F1818" s="70"/>
      <c r="G1818" s="70" t="str">
        <f>IFERROR(VLOOKUP(A1818,[1]wms_iv_f!$A$1:$E$136,4,FALSE),"")</f>
        <v/>
      </c>
      <c r="H1818" s="95" t="str">
        <f>IFERROR(VLOOKUP(A1818,[2]wms_lc_f!$A$1:$B$156,2,FALSE),"")</f>
        <v/>
      </c>
    </row>
    <row r="1819" spans="1:8" hidden="1">
      <c r="A1819" s="71" t="str">
        <f>IFERROR(VLOOKUP(C1819,[3]wms_iv_f!$A$1:$D$135,2,FALSE),"")</f>
        <v/>
      </c>
      <c r="B1819" s="69" t="s">
        <v>2609</v>
      </c>
      <c r="C1819" s="70" t="s">
        <v>91</v>
      </c>
      <c r="D1819" s="70" t="s">
        <v>2614</v>
      </c>
      <c r="E1819" s="70"/>
      <c r="F1819" s="70"/>
      <c r="G1819" s="70" t="str">
        <f>IFERROR(VLOOKUP(A1819,[1]wms_iv_f!$A$1:$E$136,4,FALSE),"")</f>
        <v/>
      </c>
      <c r="H1819" s="95" t="str">
        <f>IFERROR(VLOOKUP(A1819,[2]wms_lc_f!$A$1:$B$156,2,FALSE),"")</f>
        <v/>
      </c>
    </row>
    <row r="1820" spans="1:8" hidden="1">
      <c r="A1820" s="71" t="str">
        <f>IFERROR(VLOOKUP(C1820,[3]wms_iv_f!$A$1:$D$135,2,FALSE),"")</f>
        <v/>
      </c>
      <c r="B1820" s="69" t="s">
        <v>2609</v>
      </c>
      <c r="C1820" s="70" t="s">
        <v>103</v>
      </c>
      <c r="D1820" s="70" t="s">
        <v>2614</v>
      </c>
      <c r="E1820" s="70"/>
      <c r="F1820" s="70"/>
      <c r="G1820" s="70" t="str">
        <f>IFERROR(VLOOKUP(A1820,[1]wms_iv_f!$A$1:$E$136,4,FALSE),"")</f>
        <v/>
      </c>
      <c r="H1820" s="95" t="str">
        <f>IFERROR(VLOOKUP(A1820,[2]wms_lc_f!$A$1:$B$156,2,FALSE),"")</f>
        <v/>
      </c>
    </row>
    <row r="1821" spans="1:8" hidden="1">
      <c r="A1821" s="71" t="str">
        <f>IFERROR(VLOOKUP(C1821,[3]wms_iv_f!$A$1:$D$135,2,FALSE),"")</f>
        <v/>
      </c>
      <c r="B1821" s="69" t="s">
        <v>2609</v>
      </c>
      <c r="C1821" s="70" t="s">
        <v>156</v>
      </c>
      <c r="D1821" s="70" t="s">
        <v>2614</v>
      </c>
      <c r="E1821" s="70"/>
      <c r="F1821" s="70"/>
      <c r="G1821" s="70" t="str">
        <f>IFERROR(VLOOKUP(A1821,[1]wms_iv_f!$A$1:$E$136,4,FALSE),"")</f>
        <v/>
      </c>
      <c r="H1821" s="95" t="str">
        <f>IFERROR(VLOOKUP(A1821,[2]wms_lc_f!$A$1:$B$156,2,FALSE),"")</f>
        <v/>
      </c>
    </row>
    <row r="1822" spans="1:8" hidden="1">
      <c r="A1822" s="71" t="str">
        <f>IFERROR(VLOOKUP(C1822,[3]wms_iv_f!$A$1:$D$135,2,FALSE),"")</f>
        <v/>
      </c>
      <c r="B1822" s="69" t="s">
        <v>2609</v>
      </c>
      <c r="C1822" s="70" t="s">
        <v>198</v>
      </c>
      <c r="D1822" s="70" t="s">
        <v>2614</v>
      </c>
      <c r="E1822" s="70"/>
      <c r="F1822" s="70"/>
      <c r="G1822" s="70" t="str">
        <f>IFERROR(VLOOKUP(A1822,[1]wms_iv_f!$A$1:$E$136,4,FALSE),"")</f>
        <v/>
      </c>
      <c r="H1822" s="95" t="str">
        <f>IFERROR(VLOOKUP(A1822,[2]wms_lc_f!$A$1:$B$156,2,FALSE),"")</f>
        <v/>
      </c>
    </row>
    <row r="1823" spans="1:8" hidden="1">
      <c r="A1823" s="71" t="str">
        <f>IFERROR(VLOOKUP(C1823,[3]wms_iv_f!$A$1:$D$135,2,FALSE),"")</f>
        <v/>
      </c>
      <c r="B1823" s="69" t="s">
        <v>2609</v>
      </c>
      <c r="C1823" s="70" t="s">
        <v>210</v>
      </c>
      <c r="D1823" s="70" t="s">
        <v>2614</v>
      </c>
      <c r="E1823" s="70"/>
      <c r="F1823" s="70"/>
      <c r="G1823" s="70" t="str">
        <f>IFERROR(VLOOKUP(A1823,[1]wms_iv_f!$A$1:$E$136,4,FALSE),"")</f>
        <v/>
      </c>
      <c r="H1823" s="95" t="str">
        <f>IFERROR(VLOOKUP(A1823,[2]wms_lc_f!$A$1:$B$156,2,FALSE),"")</f>
        <v/>
      </c>
    </row>
    <row r="1824" spans="1:8" hidden="1">
      <c r="A1824" s="71" t="str">
        <f>IFERROR(VLOOKUP(C1824,[3]wms_iv_f!$A$1:$D$135,2,FALSE),"")</f>
        <v/>
      </c>
      <c r="B1824" s="69" t="s">
        <v>2609</v>
      </c>
      <c r="C1824" s="70" t="s">
        <v>263</v>
      </c>
      <c r="D1824" s="70" t="s">
        <v>2614</v>
      </c>
      <c r="E1824" s="70"/>
      <c r="F1824" s="70"/>
      <c r="G1824" s="70" t="str">
        <f>IFERROR(VLOOKUP(A1824,[1]wms_iv_f!$A$1:$E$136,4,FALSE),"")</f>
        <v/>
      </c>
      <c r="H1824" s="95" t="str">
        <f>IFERROR(VLOOKUP(A1824,[2]wms_lc_f!$A$1:$B$156,2,FALSE),"")</f>
        <v/>
      </c>
    </row>
    <row r="1825" spans="1:8" hidden="1">
      <c r="A1825" s="71" t="str">
        <f>IFERROR(VLOOKUP(C1825,[3]wms_iv_f!$A$1:$D$135,2,FALSE),"")</f>
        <v/>
      </c>
      <c r="B1825" s="69" t="s">
        <v>2609</v>
      </c>
      <c r="C1825" s="70" t="s">
        <v>48</v>
      </c>
      <c r="D1825" s="70" t="s">
        <v>2614</v>
      </c>
      <c r="E1825" s="70"/>
      <c r="F1825" s="70"/>
      <c r="G1825" s="70" t="str">
        <f>IFERROR(VLOOKUP(A1825,[1]wms_iv_f!$A$1:$E$136,4,FALSE),"")</f>
        <v/>
      </c>
      <c r="H1825" s="95" t="str">
        <f>IFERROR(VLOOKUP(A1825,[2]wms_lc_f!$A$1:$B$156,2,FALSE),"")</f>
        <v/>
      </c>
    </row>
    <row r="1826" spans="1:8" hidden="1">
      <c r="A1826" s="71" t="str">
        <f>IFERROR(VLOOKUP(C1826,[3]wms_iv_f!$A$1:$D$135,2,FALSE),"")</f>
        <v/>
      </c>
      <c r="B1826" s="69" t="s">
        <v>2609</v>
      </c>
      <c r="C1826" s="70" t="s">
        <v>92</v>
      </c>
      <c r="D1826" s="70" t="s">
        <v>2614</v>
      </c>
      <c r="E1826" s="70"/>
      <c r="F1826" s="70"/>
      <c r="G1826" s="70" t="str">
        <f>IFERROR(VLOOKUP(A1826,[1]wms_iv_f!$A$1:$E$136,4,FALSE),"")</f>
        <v/>
      </c>
      <c r="H1826" s="95" t="str">
        <f>IFERROR(VLOOKUP(A1826,[2]wms_lc_f!$A$1:$B$156,2,FALSE),"")</f>
        <v/>
      </c>
    </row>
    <row r="1827" spans="1:8" hidden="1">
      <c r="A1827" s="71" t="str">
        <f>IFERROR(VLOOKUP(C1827,[3]wms_iv_f!$A$1:$D$135,2,FALSE),"")</f>
        <v/>
      </c>
      <c r="B1827" s="69" t="s">
        <v>2609</v>
      </c>
      <c r="C1827" s="70" t="s">
        <v>104</v>
      </c>
      <c r="D1827" s="70" t="s">
        <v>2614</v>
      </c>
      <c r="E1827" s="70"/>
      <c r="F1827" s="70"/>
      <c r="G1827" s="70" t="str">
        <f>IFERROR(VLOOKUP(A1827,[1]wms_iv_f!$A$1:$E$136,4,FALSE),"")</f>
        <v/>
      </c>
      <c r="H1827" s="95" t="str">
        <f>IFERROR(VLOOKUP(A1827,[2]wms_lc_f!$A$1:$B$156,2,FALSE),"")</f>
        <v/>
      </c>
    </row>
    <row r="1828" spans="1:8" hidden="1">
      <c r="A1828" s="71" t="str">
        <f>IFERROR(VLOOKUP(C1828,[3]wms_iv_f!$A$1:$D$135,2,FALSE),"")</f>
        <v/>
      </c>
      <c r="B1828" s="69" t="s">
        <v>2609</v>
      </c>
      <c r="C1828" s="70" t="s">
        <v>157</v>
      </c>
      <c r="D1828" s="70" t="s">
        <v>2614</v>
      </c>
      <c r="E1828" s="70"/>
      <c r="F1828" s="70"/>
      <c r="G1828" s="70" t="str">
        <f>IFERROR(VLOOKUP(A1828,[1]wms_iv_f!$A$1:$E$136,4,FALSE),"")</f>
        <v/>
      </c>
      <c r="H1828" s="95" t="str">
        <f>IFERROR(VLOOKUP(A1828,[2]wms_lc_f!$A$1:$B$156,2,FALSE),"")</f>
        <v/>
      </c>
    </row>
    <row r="1829" spans="1:8" hidden="1">
      <c r="A1829" s="71" t="str">
        <f>IFERROR(VLOOKUP(C1829,[3]wms_iv_f!$A$1:$D$135,2,FALSE),"")</f>
        <v/>
      </c>
      <c r="B1829" s="69" t="s">
        <v>2609</v>
      </c>
      <c r="C1829" s="70" t="s">
        <v>199</v>
      </c>
      <c r="D1829" s="70" t="s">
        <v>2614</v>
      </c>
      <c r="E1829" s="70"/>
      <c r="F1829" s="70"/>
      <c r="G1829" s="70" t="str">
        <f>IFERROR(VLOOKUP(A1829,[1]wms_iv_f!$A$1:$E$136,4,FALSE),"")</f>
        <v/>
      </c>
      <c r="H1829" s="95" t="str">
        <f>IFERROR(VLOOKUP(A1829,[2]wms_lc_f!$A$1:$B$156,2,FALSE),"")</f>
        <v/>
      </c>
    </row>
    <row r="1830" spans="1:8" hidden="1">
      <c r="A1830" s="71" t="str">
        <f>IFERROR(VLOOKUP(C1830,[3]wms_iv_f!$A$1:$D$135,2,FALSE),"")</f>
        <v/>
      </c>
      <c r="B1830" s="69" t="s">
        <v>2609</v>
      </c>
      <c r="C1830" s="70" t="s">
        <v>211</v>
      </c>
      <c r="D1830" s="70" t="s">
        <v>2614</v>
      </c>
      <c r="E1830" s="70"/>
      <c r="F1830" s="70"/>
      <c r="G1830" s="70" t="str">
        <f>IFERROR(VLOOKUP(A1830,[1]wms_iv_f!$A$1:$E$136,4,FALSE),"")</f>
        <v/>
      </c>
      <c r="H1830" s="95" t="str">
        <f>IFERROR(VLOOKUP(A1830,[2]wms_lc_f!$A$1:$B$156,2,FALSE),"")</f>
        <v/>
      </c>
    </row>
    <row r="1831" spans="1:8" hidden="1">
      <c r="A1831" s="71" t="str">
        <f>IFERROR(VLOOKUP(C1831,[3]wms_iv_f!$A$1:$D$135,2,FALSE),"")</f>
        <v/>
      </c>
      <c r="B1831" s="69" t="s">
        <v>2609</v>
      </c>
      <c r="C1831" s="70" t="s">
        <v>264</v>
      </c>
      <c r="D1831" s="70" t="s">
        <v>2614</v>
      </c>
      <c r="E1831" s="70"/>
      <c r="F1831" s="70"/>
      <c r="G1831" s="70" t="str">
        <f>IFERROR(VLOOKUP(A1831,[1]wms_iv_f!$A$1:$E$136,4,FALSE),"")</f>
        <v/>
      </c>
      <c r="H1831" s="95" t="str">
        <f>IFERROR(VLOOKUP(A1831,[2]wms_lc_f!$A$1:$B$156,2,FALSE),"")</f>
        <v/>
      </c>
    </row>
    <row r="1832" spans="1:8" hidden="1">
      <c r="A1832" s="71" t="str">
        <f>IFERROR(VLOOKUP(C1832,[3]wms_iv_f!$A$1:$D$135,2,FALSE),"")</f>
        <v/>
      </c>
      <c r="B1832" s="69" t="s">
        <v>2609</v>
      </c>
      <c r="C1832" s="70" t="s">
        <v>49</v>
      </c>
      <c r="D1832" s="70" t="s">
        <v>2614</v>
      </c>
      <c r="E1832" s="70"/>
      <c r="F1832" s="70"/>
      <c r="G1832" s="70" t="str">
        <f>IFERROR(VLOOKUP(A1832,[1]wms_iv_f!$A$1:$E$136,4,FALSE),"")</f>
        <v/>
      </c>
      <c r="H1832" s="95" t="str">
        <f>IFERROR(VLOOKUP(A1832,[2]wms_lc_f!$A$1:$B$156,2,FALSE),"")</f>
        <v/>
      </c>
    </row>
    <row r="1833" spans="1:8" hidden="1">
      <c r="A1833" s="71" t="str">
        <f>IFERROR(VLOOKUP(C1833,[3]wms_iv_f!$A$1:$D$135,2,FALSE),"")</f>
        <v/>
      </c>
      <c r="B1833" s="69" t="s">
        <v>2609</v>
      </c>
      <c r="C1833" s="70" t="s">
        <v>93</v>
      </c>
      <c r="D1833" s="70" t="s">
        <v>2614</v>
      </c>
      <c r="E1833" s="70"/>
      <c r="F1833" s="70"/>
      <c r="G1833" s="70" t="str">
        <f>IFERROR(VLOOKUP(A1833,[1]wms_iv_f!$A$1:$E$136,4,FALSE),"")</f>
        <v/>
      </c>
      <c r="H1833" s="95" t="str">
        <f>IFERROR(VLOOKUP(A1833,[2]wms_lc_f!$A$1:$B$156,2,FALSE),"")</f>
        <v/>
      </c>
    </row>
    <row r="1834" spans="1:8" hidden="1">
      <c r="A1834" s="71" t="str">
        <f>IFERROR(VLOOKUP(C1834,[3]wms_iv_f!$A$1:$D$135,2,FALSE),"")</f>
        <v/>
      </c>
      <c r="B1834" s="69" t="s">
        <v>2609</v>
      </c>
      <c r="C1834" s="70" t="s">
        <v>105</v>
      </c>
      <c r="D1834" s="70" t="s">
        <v>2614</v>
      </c>
      <c r="E1834" s="70"/>
      <c r="F1834" s="70"/>
      <c r="G1834" s="70" t="str">
        <f>IFERROR(VLOOKUP(A1834,[1]wms_iv_f!$A$1:$E$136,4,FALSE),"")</f>
        <v/>
      </c>
      <c r="H1834" s="95" t="str">
        <f>IFERROR(VLOOKUP(A1834,[2]wms_lc_f!$A$1:$B$156,2,FALSE),"")</f>
        <v/>
      </c>
    </row>
    <row r="1835" spans="1:8" hidden="1">
      <c r="A1835" s="71" t="str">
        <f>IFERROR(VLOOKUP(C1835,[3]wms_iv_f!$A$1:$D$135,2,FALSE),"")</f>
        <v/>
      </c>
      <c r="B1835" s="69" t="s">
        <v>2609</v>
      </c>
      <c r="C1835" s="70" t="s">
        <v>158</v>
      </c>
      <c r="D1835" s="70" t="s">
        <v>2614</v>
      </c>
      <c r="E1835" s="70"/>
      <c r="F1835" s="70"/>
      <c r="G1835" s="70" t="str">
        <f>IFERROR(VLOOKUP(A1835,[1]wms_iv_f!$A$1:$E$136,4,FALSE),"")</f>
        <v/>
      </c>
      <c r="H1835" s="95" t="str">
        <f>IFERROR(VLOOKUP(A1835,[2]wms_lc_f!$A$1:$B$156,2,FALSE),"")</f>
        <v/>
      </c>
    </row>
    <row r="1836" spans="1:8" hidden="1">
      <c r="A1836" s="71" t="str">
        <f>IFERROR(VLOOKUP(C1836,[3]wms_iv_f!$A$1:$D$135,2,FALSE),"")</f>
        <v/>
      </c>
      <c r="B1836" s="69" t="s">
        <v>2609</v>
      </c>
      <c r="C1836" s="70" t="s">
        <v>200</v>
      </c>
      <c r="D1836" s="70" t="s">
        <v>2614</v>
      </c>
      <c r="E1836" s="70"/>
      <c r="F1836" s="70"/>
      <c r="G1836" s="70" t="str">
        <f>IFERROR(VLOOKUP(A1836,[1]wms_iv_f!$A$1:$E$136,4,FALSE),"")</f>
        <v/>
      </c>
      <c r="H1836" s="95" t="str">
        <f>IFERROR(VLOOKUP(A1836,[2]wms_lc_f!$A$1:$B$156,2,FALSE),"")</f>
        <v/>
      </c>
    </row>
    <row r="1837" spans="1:8" hidden="1">
      <c r="A1837" s="71" t="str">
        <f>IFERROR(VLOOKUP(C1837,[3]wms_iv_f!$A$1:$D$135,2,FALSE),"")</f>
        <v/>
      </c>
      <c r="B1837" s="69" t="s">
        <v>2609</v>
      </c>
      <c r="C1837" s="70" t="s">
        <v>212</v>
      </c>
      <c r="D1837" s="70" t="s">
        <v>2614</v>
      </c>
      <c r="E1837" s="70"/>
      <c r="F1837" s="70"/>
      <c r="G1837" s="70" t="str">
        <f>IFERROR(VLOOKUP(A1837,[1]wms_iv_f!$A$1:$E$136,4,FALSE),"")</f>
        <v/>
      </c>
      <c r="H1837" s="95" t="str">
        <f>IFERROR(VLOOKUP(A1837,[2]wms_lc_f!$A$1:$B$156,2,FALSE),"")</f>
        <v/>
      </c>
    </row>
    <row r="1838" spans="1:8" hidden="1">
      <c r="A1838" s="71" t="str">
        <f>IFERROR(VLOOKUP(C1838,[3]wms_iv_f!$A$1:$D$135,2,FALSE),"")</f>
        <v/>
      </c>
      <c r="B1838" s="69" t="s">
        <v>2609</v>
      </c>
      <c r="C1838" s="70" t="s">
        <v>265</v>
      </c>
      <c r="D1838" s="70" t="s">
        <v>2614</v>
      </c>
      <c r="E1838" s="70"/>
      <c r="F1838" s="70"/>
      <c r="G1838" s="70" t="str">
        <f>IFERROR(VLOOKUP(A1838,[1]wms_iv_f!$A$1:$E$136,4,FALSE),"")</f>
        <v/>
      </c>
      <c r="H1838" s="95" t="str">
        <f>IFERROR(VLOOKUP(A1838,[2]wms_lc_f!$A$1:$B$156,2,FALSE),"")</f>
        <v/>
      </c>
    </row>
    <row r="1839" spans="1:8" hidden="1">
      <c r="A1839" s="71" t="str">
        <f>IFERROR(VLOOKUP(C1839,[3]wms_iv_f!$A$1:$D$135,2,FALSE),"")</f>
        <v/>
      </c>
      <c r="B1839" s="69" t="s">
        <v>2609</v>
      </c>
      <c r="C1839" s="70" t="s">
        <v>306</v>
      </c>
      <c r="D1839" s="70" t="s">
        <v>2614</v>
      </c>
      <c r="E1839" s="70"/>
      <c r="F1839" s="70"/>
      <c r="G1839" s="70" t="str">
        <f>IFERROR(VLOOKUP(A1839,[1]wms_iv_f!$A$1:$E$136,4,FALSE),"")</f>
        <v/>
      </c>
      <c r="H1839" s="95" t="str">
        <f>IFERROR(VLOOKUP(A1839,[2]wms_lc_f!$A$1:$B$156,2,FALSE),"")</f>
        <v/>
      </c>
    </row>
    <row r="1840" spans="1:8" hidden="1">
      <c r="A1840" s="71" t="str">
        <f>IFERROR(VLOOKUP(C1840,[3]wms_iv_f!$A$1:$D$135,2,FALSE),"")</f>
        <v/>
      </c>
      <c r="B1840" s="69" t="s">
        <v>2609</v>
      </c>
      <c r="C1840" s="70" t="s">
        <v>314</v>
      </c>
      <c r="D1840" s="70" t="s">
        <v>2614</v>
      </c>
      <c r="E1840" s="70"/>
      <c r="F1840" s="70"/>
      <c r="G1840" s="70" t="str">
        <f>IFERROR(VLOOKUP(A1840,[1]wms_iv_f!$A$1:$E$136,4,FALSE),"")</f>
        <v/>
      </c>
      <c r="H1840" s="95" t="str">
        <f>IFERROR(VLOOKUP(A1840,[2]wms_lc_f!$A$1:$B$156,2,FALSE),"")</f>
        <v/>
      </c>
    </row>
    <row r="1841" spans="1:8" hidden="1">
      <c r="A1841" s="71" t="str">
        <f>IFERROR(VLOOKUP(C1841,[3]wms_iv_f!$A$1:$D$135,2,FALSE),"")</f>
        <v/>
      </c>
      <c r="B1841" s="69" t="s">
        <v>2609</v>
      </c>
      <c r="C1841" s="70" t="s">
        <v>50</v>
      </c>
      <c r="D1841" s="70" t="s">
        <v>2614</v>
      </c>
      <c r="E1841" s="70"/>
      <c r="F1841" s="70"/>
      <c r="G1841" s="70" t="str">
        <f>IFERROR(VLOOKUP(A1841,[1]wms_iv_f!$A$1:$E$136,4,FALSE),"")</f>
        <v/>
      </c>
      <c r="H1841" s="95" t="str">
        <f>IFERROR(VLOOKUP(A1841,[2]wms_lc_f!$A$1:$B$156,2,FALSE),"")</f>
        <v/>
      </c>
    </row>
    <row r="1842" spans="1:8" hidden="1">
      <c r="A1842" s="71" t="str">
        <f>IFERROR(VLOOKUP(C1842,[3]wms_iv_f!$A$1:$D$135,2,FALSE),"")</f>
        <v/>
      </c>
      <c r="B1842" s="69" t="s">
        <v>2609</v>
      </c>
      <c r="C1842" s="70" t="s">
        <v>94</v>
      </c>
      <c r="D1842" s="70" t="s">
        <v>2614</v>
      </c>
      <c r="E1842" s="70"/>
      <c r="F1842" s="70"/>
      <c r="G1842" s="70" t="str">
        <f>IFERROR(VLOOKUP(A1842,[1]wms_iv_f!$A$1:$E$136,4,FALSE),"")</f>
        <v/>
      </c>
      <c r="H1842" s="95" t="str">
        <f>IFERROR(VLOOKUP(A1842,[2]wms_lc_f!$A$1:$B$156,2,FALSE),"")</f>
        <v/>
      </c>
    </row>
    <row r="1843" spans="1:8" hidden="1">
      <c r="A1843" s="71" t="str">
        <f>IFERROR(VLOOKUP(C1843,[3]wms_iv_f!$A$1:$D$135,2,FALSE),"")</f>
        <v/>
      </c>
      <c r="B1843" s="69" t="s">
        <v>2609</v>
      </c>
      <c r="C1843" s="70" t="s">
        <v>106</v>
      </c>
      <c r="D1843" s="70" t="s">
        <v>2614</v>
      </c>
      <c r="E1843" s="70"/>
      <c r="F1843" s="70"/>
      <c r="G1843" s="70" t="str">
        <f>IFERROR(VLOOKUP(A1843,[1]wms_iv_f!$A$1:$E$136,4,FALSE),"")</f>
        <v/>
      </c>
      <c r="H1843" s="95" t="str">
        <f>IFERROR(VLOOKUP(A1843,[2]wms_lc_f!$A$1:$B$156,2,FALSE),"")</f>
        <v/>
      </c>
    </row>
    <row r="1844" spans="1:8" hidden="1">
      <c r="A1844" s="71" t="str">
        <f>IFERROR(VLOOKUP(C1844,[3]wms_iv_f!$A$1:$D$135,2,FALSE),"")</f>
        <v/>
      </c>
      <c r="B1844" s="69" t="s">
        <v>2609</v>
      </c>
      <c r="C1844" s="70" t="s">
        <v>159</v>
      </c>
      <c r="D1844" s="70" t="s">
        <v>2614</v>
      </c>
      <c r="E1844" s="70"/>
      <c r="F1844" s="70"/>
      <c r="G1844" s="70" t="str">
        <f>IFERROR(VLOOKUP(A1844,[1]wms_iv_f!$A$1:$E$136,4,FALSE),"")</f>
        <v/>
      </c>
      <c r="H1844" s="95" t="str">
        <f>IFERROR(VLOOKUP(A1844,[2]wms_lc_f!$A$1:$B$156,2,FALSE),"")</f>
        <v/>
      </c>
    </row>
    <row r="1845" spans="1:8" hidden="1">
      <c r="A1845" s="71" t="str">
        <f>IFERROR(VLOOKUP(C1845,[3]wms_iv_f!$A$1:$D$135,2,FALSE),"")</f>
        <v/>
      </c>
      <c r="B1845" s="69" t="s">
        <v>2609</v>
      </c>
      <c r="C1845" s="70" t="s">
        <v>201</v>
      </c>
      <c r="D1845" s="70" t="s">
        <v>2614</v>
      </c>
      <c r="E1845" s="70"/>
      <c r="F1845" s="70"/>
      <c r="G1845" s="70" t="str">
        <f>IFERROR(VLOOKUP(A1845,[1]wms_iv_f!$A$1:$E$136,4,FALSE),"")</f>
        <v/>
      </c>
      <c r="H1845" s="95" t="str">
        <f>IFERROR(VLOOKUP(A1845,[2]wms_lc_f!$A$1:$B$156,2,FALSE),"")</f>
        <v/>
      </c>
    </row>
    <row r="1846" spans="1:8" hidden="1">
      <c r="A1846" s="71" t="str">
        <f>IFERROR(VLOOKUP(C1846,[3]wms_iv_f!$A$1:$D$135,2,FALSE),"")</f>
        <v/>
      </c>
      <c r="B1846" s="69" t="s">
        <v>2609</v>
      </c>
      <c r="C1846" s="70" t="s">
        <v>213</v>
      </c>
      <c r="D1846" s="70" t="s">
        <v>2614</v>
      </c>
      <c r="E1846" s="70"/>
      <c r="F1846" s="70"/>
      <c r="G1846" s="70" t="str">
        <f>IFERROR(VLOOKUP(A1846,[1]wms_iv_f!$A$1:$E$136,4,FALSE),"")</f>
        <v/>
      </c>
      <c r="H1846" s="95" t="str">
        <f>IFERROR(VLOOKUP(A1846,[2]wms_lc_f!$A$1:$B$156,2,FALSE),"")</f>
        <v/>
      </c>
    </row>
    <row r="1847" spans="1:8" hidden="1">
      <c r="A1847" s="71" t="str">
        <f>IFERROR(VLOOKUP(C1847,[3]wms_iv_f!$A$1:$D$135,2,FALSE),"")</f>
        <v/>
      </c>
      <c r="B1847" s="69" t="s">
        <v>2609</v>
      </c>
      <c r="C1847" s="70" t="s">
        <v>266</v>
      </c>
      <c r="D1847" s="70" t="s">
        <v>2614</v>
      </c>
      <c r="E1847" s="70"/>
      <c r="F1847" s="70"/>
      <c r="G1847" s="70" t="str">
        <f>IFERROR(VLOOKUP(A1847,[1]wms_iv_f!$A$1:$E$136,4,FALSE),"")</f>
        <v/>
      </c>
      <c r="H1847" s="95" t="str">
        <f>IFERROR(VLOOKUP(A1847,[2]wms_lc_f!$A$1:$B$156,2,FALSE),"")</f>
        <v/>
      </c>
    </row>
    <row r="1848" spans="1:8" hidden="1">
      <c r="A1848" s="71" t="str">
        <f>IFERROR(VLOOKUP(C1848,[3]wms_iv_f!$A$1:$D$135,2,FALSE),"")</f>
        <v/>
      </c>
      <c r="B1848" s="69" t="s">
        <v>2609</v>
      </c>
      <c r="C1848" s="70" t="s">
        <v>307</v>
      </c>
      <c r="D1848" s="70" t="s">
        <v>2614</v>
      </c>
      <c r="E1848" s="70"/>
      <c r="F1848" s="70"/>
      <c r="G1848" s="70" t="str">
        <f>IFERROR(VLOOKUP(A1848,[1]wms_iv_f!$A$1:$E$136,4,FALSE),"")</f>
        <v/>
      </c>
      <c r="H1848" s="95" t="str">
        <f>IFERROR(VLOOKUP(A1848,[2]wms_lc_f!$A$1:$B$156,2,FALSE),"")</f>
        <v/>
      </c>
    </row>
    <row r="1849" spans="1:8" hidden="1">
      <c r="A1849" s="71" t="str">
        <f>IFERROR(VLOOKUP(C1849,[3]wms_iv_f!$A$1:$D$135,2,FALSE),"")</f>
        <v/>
      </c>
      <c r="B1849" s="69" t="s">
        <v>2609</v>
      </c>
      <c r="C1849" s="70" t="s">
        <v>315</v>
      </c>
      <c r="D1849" s="70" t="s">
        <v>2614</v>
      </c>
      <c r="E1849" s="70"/>
      <c r="F1849" s="70"/>
      <c r="G1849" s="70" t="str">
        <f>IFERROR(VLOOKUP(A1849,[1]wms_iv_f!$A$1:$E$136,4,FALSE),"")</f>
        <v/>
      </c>
      <c r="H1849" s="95" t="str">
        <f>IFERROR(VLOOKUP(A1849,[2]wms_lc_f!$A$1:$B$156,2,FALSE),"")</f>
        <v/>
      </c>
    </row>
    <row r="1850" spans="1:8" hidden="1">
      <c r="A1850" s="71" t="str">
        <f>IFERROR(VLOOKUP(C1850,[3]wms_iv_f!$A$1:$D$135,2,FALSE),"")</f>
        <v/>
      </c>
      <c r="B1850" s="69" t="s">
        <v>2609</v>
      </c>
      <c r="C1850" s="70" t="s">
        <v>328</v>
      </c>
      <c r="D1850" s="70" t="s">
        <v>2614</v>
      </c>
      <c r="E1850" s="70"/>
      <c r="F1850" s="70"/>
      <c r="G1850" s="70" t="str">
        <f>IFERROR(VLOOKUP(A1850,[1]wms_iv_f!$A$1:$E$136,4,FALSE),"")</f>
        <v/>
      </c>
      <c r="H1850" s="95" t="str">
        <f>IFERROR(VLOOKUP(A1850,[2]wms_lc_f!$A$1:$B$156,2,FALSE),"")</f>
        <v/>
      </c>
    </row>
    <row r="1851" spans="1:8" hidden="1">
      <c r="A1851" s="71" t="str">
        <f>IFERROR(VLOOKUP(C1851,[3]wms_iv_f!$A$1:$D$135,2,FALSE),"")</f>
        <v/>
      </c>
      <c r="B1851" s="69" t="s">
        <v>2609</v>
      </c>
      <c r="C1851" s="70" t="s">
        <v>336</v>
      </c>
      <c r="D1851" s="70" t="s">
        <v>2614</v>
      </c>
      <c r="E1851" s="70"/>
      <c r="F1851" s="70"/>
      <c r="G1851" s="70" t="str">
        <f>IFERROR(VLOOKUP(A1851,[1]wms_iv_f!$A$1:$E$136,4,FALSE),"")</f>
        <v/>
      </c>
      <c r="H1851" s="95" t="str">
        <f>IFERROR(VLOOKUP(A1851,[2]wms_lc_f!$A$1:$B$156,2,FALSE),"")</f>
        <v/>
      </c>
    </row>
    <row r="1852" spans="1:8" hidden="1">
      <c r="A1852" s="71" t="str">
        <f>IFERROR(VLOOKUP(C1852,[3]wms_iv_f!$A$1:$D$135,2,FALSE),"")</f>
        <v/>
      </c>
      <c r="B1852" s="69" t="s">
        <v>2609</v>
      </c>
      <c r="C1852" s="70" t="s">
        <v>421</v>
      </c>
      <c r="D1852" s="70" t="s">
        <v>2614</v>
      </c>
      <c r="E1852" s="70"/>
      <c r="F1852" s="70"/>
      <c r="G1852" s="70" t="str">
        <f>IFERROR(VLOOKUP(A1852,[1]wms_iv_f!$A$1:$E$136,4,FALSE),"")</f>
        <v/>
      </c>
      <c r="H1852" s="95" t="str">
        <f>IFERROR(VLOOKUP(A1852,[2]wms_lc_f!$A$1:$B$156,2,FALSE),"")</f>
        <v/>
      </c>
    </row>
    <row r="1853" spans="1:8" hidden="1">
      <c r="A1853" s="71" t="str">
        <f>IFERROR(VLOOKUP(C1853,[3]wms_iv_f!$A$1:$D$135,2,FALSE),"")</f>
        <v/>
      </c>
      <c r="B1853" s="69" t="s">
        <v>2609</v>
      </c>
      <c r="C1853" s="70" t="s">
        <v>433</v>
      </c>
      <c r="D1853" s="70" t="s">
        <v>2614</v>
      </c>
      <c r="E1853" s="70"/>
      <c r="F1853" s="70"/>
      <c r="G1853" s="70" t="str">
        <f>IFERROR(VLOOKUP(A1853,[1]wms_iv_f!$A$1:$E$136,4,FALSE),"")</f>
        <v/>
      </c>
      <c r="H1853" s="95" t="str">
        <f>IFERROR(VLOOKUP(A1853,[2]wms_lc_f!$A$1:$B$156,2,FALSE),"")</f>
        <v/>
      </c>
    </row>
    <row r="1854" spans="1:8" hidden="1">
      <c r="A1854" s="71" t="str">
        <f>IFERROR(VLOOKUP(C1854,[3]wms_iv_f!$A$1:$D$135,2,FALSE),"")</f>
        <v/>
      </c>
      <c r="B1854" s="69" t="s">
        <v>2609</v>
      </c>
      <c r="C1854" s="70" t="s">
        <v>445</v>
      </c>
      <c r="D1854" s="70" t="s">
        <v>2614</v>
      </c>
      <c r="E1854" s="70"/>
      <c r="F1854" s="70"/>
      <c r="G1854" s="70" t="str">
        <f>IFERROR(VLOOKUP(A1854,[1]wms_iv_f!$A$1:$E$136,4,FALSE),"")</f>
        <v/>
      </c>
      <c r="H1854" s="95" t="str">
        <f>IFERROR(VLOOKUP(A1854,[2]wms_lc_f!$A$1:$B$156,2,FALSE),"")</f>
        <v/>
      </c>
    </row>
    <row r="1855" spans="1:8" hidden="1">
      <c r="A1855" s="71" t="str">
        <f>IFERROR(VLOOKUP(C1855,[3]wms_iv_f!$A$1:$D$135,2,FALSE),"")</f>
        <v/>
      </c>
      <c r="B1855" s="69" t="s">
        <v>2609</v>
      </c>
      <c r="C1855" s="70" t="s">
        <v>532</v>
      </c>
      <c r="D1855" s="70" t="s">
        <v>2614</v>
      </c>
      <c r="E1855" s="70"/>
      <c r="F1855" s="70"/>
      <c r="G1855" s="70" t="str">
        <f>IFERROR(VLOOKUP(A1855,[1]wms_iv_f!$A$1:$E$136,4,FALSE),"")</f>
        <v/>
      </c>
      <c r="H1855" s="95" t="str">
        <f>IFERROR(VLOOKUP(A1855,[2]wms_lc_f!$A$1:$B$156,2,FALSE),"")</f>
        <v/>
      </c>
    </row>
    <row r="1856" spans="1:8" hidden="1">
      <c r="A1856" s="71" t="str">
        <f>IFERROR(VLOOKUP(C1856,[3]wms_iv_f!$A$1:$D$135,2,FALSE),"")</f>
        <v/>
      </c>
      <c r="B1856" s="69" t="s">
        <v>2609</v>
      </c>
      <c r="C1856" s="70" t="s">
        <v>544</v>
      </c>
      <c r="D1856" s="70" t="s">
        <v>2614</v>
      </c>
      <c r="E1856" s="70"/>
      <c r="F1856" s="70"/>
      <c r="G1856" s="70" t="str">
        <f>IFERROR(VLOOKUP(A1856,[1]wms_iv_f!$A$1:$E$136,4,FALSE),"")</f>
        <v/>
      </c>
      <c r="H1856" s="95" t="str">
        <f>IFERROR(VLOOKUP(A1856,[2]wms_lc_f!$A$1:$B$156,2,FALSE),"")</f>
        <v/>
      </c>
    </row>
    <row r="1857" spans="1:8" hidden="1">
      <c r="A1857" s="71" t="str">
        <f>IFERROR(VLOOKUP(C1857,[3]wms_iv_f!$A$1:$D$135,2,FALSE),"")</f>
        <v/>
      </c>
      <c r="B1857" s="69" t="s">
        <v>2609</v>
      </c>
      <c r="C1857" s="70" t="s">
        <v>556</v>
      </c>
      <c r="D1857" s="70" t="s">
        <v>2614</v>
      </c>
      <c r="E1857" s="70"/>
      <c r="F1857" s="70"/>
      <c r="G1857" s="70" t="str">
        <f>IFERROR(VLOOKUP(A1857,[1]wms_iv_f!$A$1:$E$136,4,FALSE),"")</f>
        <v/>
      </c>
      <c r="H1857" s="95" t="str">
        <f>IFERROR(VLOOKUP(A1857,[2]wms_lc_f!$A$1:$B$156,2,FALSE),"")</f>
        <v/>
      </c>
    </row>
    <row r="1858" spans="1:8" hidden="1">
      <c r="A1858" s="71" t="str">
        <f>IFERROR(VLOOKUP(C1858,[3]wms_iv_f!$A$1:$D$135,2,FALSE),"")</f>
        <v/>
      </c>
      <c r="B1858" s="69" t="s">
        <v>2609</v>
      </c>
      <c r="C1858" s="70" t="s">
        <v>643</v>
      </c>
      <c r="D1858" s="70" t="s">
        <v>2614</v>
      </c>
      <c r="E1858" s="70"/>
      <c r="F1858" s="70"/>
      <c r="G1858" s="70" t="str">
        <f>IFERROR(VLOOKUP(A1858,[1]wms_iv_f!$A$1:$E$136,4,FALSE),"")</f>
        <v/>
      </c>
      <c r="H1858" s="95" t="str">
        <f>IFERROR(VLOOKUP(A1858,[2]wms_lc_f!$A$1:$B$156,2,FALSE),"")</f>
        <v/>
      </c>
    </row>
    <row r="1859" spans="1:8" hidden="1">
      <c r="A1859" s="71" t="str">
        <f>IFERROR(VLOOKUP(C1859,[3]wms_iv_f!$A$1:$D$135,2,FALSE),"")</f>
        <v/>
      </c>
      <c r="B1859" s="69" t="s">
        <v>2609</v>
      </c>
      <c r="C1859" s="70" t="s">
        <v>329</v>
      </c>
      <c r="D1859" s="70" t="s">
        <v>2614</v>
      </c>
      <c r="E1859" s="70"/>
      <c r="F1859" s="70"/>
      <c r="G1859" s="70" t="str">
        <f>IFERROR(VLOOKUP(A1859,[1]wms_iv_f!$A$1:$E$136,4,FALSE),"")</f>
        <v/>
      </c>
      <c r="H1859" s="95" t="str">
        <f>IFERROR(VLOOKUP(A1859,[2]wms_lc_f!$A$1:$B$156,2,FALSE),"")</f>
        <v/>
      </c>
    </row>
    <row r="1860" spans="1:8" hidden="1">
      <c r="A1860" s="71" t="str">
        <f>IFERROR(VLOOKUP(C1860,[3]wms_iv_f!$A$1:$D$135,2,FALSE),"")</f>
        <v/>
      </c>
      <c r="B1860" s="69" t="s">
        <v>2609</v>
      </c>
      <c r="C1860" s="70" t="s">
        <v>337</v>
      </c>
      <c r="D1860" s="70" t="s">
        <v>2614</v>
      </c>
      <c r="E1860" s="70"/>
      <c r="F1860" s="70"/>
      <c r="G1860" s="70" t="str">
        <f>IFERROR(VLOOKUP(A1860,[1]wms_iv_f!$A$1:$E$136,4,FALSE),"")</f>
        <v/>
      </c>
      <c r="H1860" s="95" t="str">
        <f>IFERROR(VLOOKUP(A1860,[2]wms_lc_f!$A$1:$B$156,2,FALSE),"")</f>
        <v/>
      </c>
    </row>
    <row r="1861" spans="1:8" hidden="1">
      <c r="A1861" s="71" t="str">
        <f>IFERROR(VLOOKUP(C1861,[3]wms_iv_f!$A$1:$D$135,2,FALSE),"")</f>
        <v/>
      </c>
      <c r="B1861" s="69" t="s">
        <v>2609</v>
      </c>
      <c r="C1861" s="70" t="s">
        <v>422</v>
      </c>
      <c r="D1861" s="70" t="s">
        <v>2614</v>
      </c>
      <c r="E1861" s="70"/>
      <c r="F1861" s="70"/>
      <c r="G1861" s="70" t="str">
        <f>IFERROR(VLOOKUP(A1861,[1]wms_iv_f!$A$1:$E$136,4,FALSE),"")</f>
        <v/>
      </c>
      <c r="H1861" s="95" t="str">
        <f>IFERROR(VLOOKUP(A1861,[2]wms_lc_f!$A$1:$B$156,2,FALSE),"")</f>
        <v/>
      </c>
    </row>
    <row r="1862" spans="1:8" hidden="1">
      <c r="A1862" s="71" t="str">
        <f>IFERROR(VLOOKUP(C1862,[3]wms_iv_f!$A$1:$D$135,2,FALSE),"")</f>
        <v/>
      </c>
      <c r="B1862" s="69" t="s">
        <v>2609</v>
      </c>
      <c r="C1862" s="70" t="s">
        <v>434</v>
      </c>
      <c r="D1862" s="70" t="s">
        <v>2614</v>
      </c>
      <c r="E1862" s="70"/>
      <c r="F1862" s="70"/>
      <c r="G1862" s="70" t="str">
        <f>IFERROR(VLOOKUP(A1862,[1]wms_iv_f!$A$1:$E$136,4,FALSE),"")</f>
        <v/>
      </c>
      <c r="H1862" s="95" t="str">
        <f>IFERROR(VLOOKUP(A1862,[2]wms_lc_f!$A$1:$B$156,2,FALSE),"")</f>
        <v/>
      </c>
    </row>
    <row r="1863" spans="1:8" hidden="1">
      <c r="A1863" s="71" t="str">
        <f>IFERROR(VLOOKUP(C1863,[3]wms_iv_f!$A$1:$D$135,2,FALSE),"")</f>
        <v/>
      </c>
      <c r="B1863" s="69" t="s">
        <v>2609</v>
      </c>
      <c r="C1863" s="70" t="s">
        <v>446</v>
      </c>
      <c r="D1863" s="70" t="s">
        <v>2614</v>
      </c>
      <c r="E1863" s="70"/>
      <c r="F1863" s="70"/>
      <c r="G1863" s="70" t="str">
        <f>IFERROR(VLOOKUP(A1863,[1]wms_iv_f!$A$1:$E$136,4,FALSE),"")</f>
        <v/>
      </c>
      <c r="H1863" s="95" t="str">
        <f>IFERROR(VLOOKUP(A1863,[2]wms_lc_f!$A$1:$B$156,2,FALSE),"")</f>
        <v/>
      </c>
    </row>
    <row r="1864" spans="1:8" hidden="1">
      <c r="A1864" s="71" t="str">
        <f>IFERROR(VLOOKUP(C1864,[3]wms_iv_f!$A$1:$D$135,2,FALSE),"")</f>
        <v/>
      </c>
      <c r="B1864" s="69" t="s">
        <v>2609</v>
      </c>
      <c r="C1864" s="70" t="s">
        <v>533</v>
      </c>
      <c r="D1864" s="70" t="s">
        <v>2614</v>
      </c>
      <c r="E1864" s="70"/>
      <c r="F1864" s="70"/>
      <c r="G1864" s="70" t="str">
        <f>IFERROR(VLOOKUP(A1864,[1]wms_iv_f!$A$1:$E$136,4,FALSE),"")</f>
        <v/>
      </c>
      <c r="H1864" s="95" t="str">
        <f>IFERROR(VLOOKUP(A1864,[2]wms_lc_f!$A$1:$B$156,2,FALSE),"")</f>
        <v/>
      </c>
    </row>
    <row r="1865" spans="1:8" hidden="1">
      <c r="A1865" s="71" t="str">
        <f>IFERROR(VLOOKUP(C1865,[3]wms_iv_f!$A$1:$D$135,2,FALSE),"")</f>
        <v/>
      </c>
      <c r="B1865" s="69" t="s">
        <v>2609</v>
      </c>
      <c r="C1865" s="70" t="s">
        <v>545</v>
      </c>
      <c r="D1865" s="70" t="s">
        <v>2614</v>
      </c>
      <c r="E1865" s="70"/>
      <c r="F1865" s="70"/>
      <c r="G1865" s="70" t="str">
        <f>IFERROR(VLOOKUP(A1865,[1]wms_iv_f!$A$1:$E$136,4,FALSE),"")</f>
        <v/>
      </c>
      <c r="H1865" s="95" t="str">
        <f>IFERROR(VLOOKUP(A1865,[2]wms_lc_f!$A$1:$B$156,2,FALSE),"")</f>
        <v/>
      </c>
    </row>
    <row r="1866" spans="1:8" hidden="1">
      <c r="A1866" s="71" t="str">
        <f>IFERROR(VLOOKUP(C1866,[3]wms_iv_f!$A$1:$D$135,2,FALSE),"")</f>
        <v/>
      </c>
      <c r="B1866" s="69" t="s">
        <v>2609</v>
      </c>
      <c r="C1866" s="70" t="s">
        <v>557</v>
      </c>
      <c r="D1866" s="70" t="s">
        <v>2614</v>
      </c>
      <c r="E1866" s="70"/>
      <c r="F1866" s="70"/>
      <c r="G1866" s="70" t="str">
        <f>IFERROR(VLOOKUP(A1866,[1]wms_iv_f!$A$1:$E$136,4,FALSE),"")</f>
        <v/>
      </c>
      <c r="H1866" s="95" t="str">
        <f>IFERROR(VLOOKUP(A1866,[2]wms_lc_f!$A$1:$B$156,2,FALSE),"")</f>
        <v/>
      </c>
    </row>
    <row r="1867" spans="1:8" hidden="1">
      <c r="A1867" s="71" t="str">
        <f>IFERROR(VLOOKUP(C1867,[3]wms_iv_f!$A$1:$D$135,2,FALSE),"")</f>
        <v/>
      </c>
      <c r="B1867" s="69" t="s">
        <v>2609</v>
      </c>
      <c r="C1867" s="70" t="s">
        <v>644</v>
      </c>
      <c r="D1867" s="70" t="s">
        <v>2614</v>
      </c>
      <c r="E1867" s="70"/>
      <c r="F1867" s="70"/>
      <c r="G1867" s="70" t="str">
        <f>IFERROR(VLOOKUP(A1867,[1]wms_iv_f!$A$1:$E$136,4,FALSE),"")</f>
        <v/>
      </c>
      <c r="H1867" s="95" t="str">
        <f>IFERROR(VLOOKUP(A1867,[2]wms_lc_f!$A$1:$B$156,2,FALSE),"")</f>
        <v/>
      </c>
    </row>
    <row r="1868" spans="1:8" hidden="1">
      <c r="A1868" s="71" t="str">
        <f>IFERROR(VLOOKUP(C1868,[3]wms_iv_f!$A$1:$D$135,2,FALSE),"")</f>
        <v/>
      </c>
      <c r="B1868" s="69" t="s">
        <v>2609</v>
      </c>
      <c r="C1868" s="70" t="s">
        <v>423</v>
      </c>
      <c r="D1868" s="70" t="s">
        <v>2614</v>
      </c>
      <c r="E1868" s="70"/>
      <c r="F1868" s="70"/>
      <c r="G1868" s="70" t="str">
        <f>IFERROR(VLOOKUP(A1868,[1]wms_iv_f!$A$1:$E$136,4,FALSE),"")</f>
        <v/>
      </c>
      <c r="H1868" s="95" t="str">
        <f>IFERROR(VLOOKUP(A1868,[2]wms_lc_f!$A$1:$B$156,2,FALSE),"")</f>
        <v/>
      </c>
    </row>
    <row r="1869" spans="1:8" hidden="1">
      <c r="A1869" s="71" t="str">
        <f>IFERROR(VLOOKUP(C1869,[3]wms_iv_f!$A$1:$D$135,2,FALSE),"")</f>
        <v/>
      </c>
      <c r="B1869" s="69" t="s">
        <v>2609</v>
      </c>
      <c r="C1869" s="70" t="s">
        <v>435</v>
      </c>
      <c r="D1869" s="70" t="s">
        <v>2614</v>
      </c>
      <c r="E1869" s="70"/>
      <c r="F1869" s="70"/>
      <c r="G1869" s="70" t="str">
        <f>IFERROR(VLOOKUP(A1869,[1]wms_iv_f!$A$1:$E$136,4,FALSE),"")</f>
        <v/>
      </c>
      <c r="H1869" s="95" t="str">
        <f>IFERROR(VLOOKUP(A1869,[2]wms_lc_f!$A$1:$B$156,2,FALSE),"")</f>
        <v/>
      </c>
    </row>
    <row r="1870" spans="1:8" hidden="1">
      <c r="A1870" s="71" t="str">
        <f>IFERROR(VLOOKUP(C1870,[3]wms_iv_f!$A$1:$D$135,2,FALSE),"")</f>
        <v/>
      </c>
      <c r="B1870" s="69" t="s">
        <v>2609</v>
      </c>
      <c r="C1870" s="70" t="s">
        <v>447</v>
      </c>
      <c r="D1870" s="70" t="s">
        <v>2614</v>
      </c>
      <c r="E1870" s="70"/>
      <c r="F1870" s="70"/>
      <c r="G1870" s="70" t="str">
        <f>IFERROR(VLOOKUP(A1870,[1]wms_iv_f!$A$1:$E$136,4,FALSE),"")</f>
        <v/>
      </c>
      <c r="H1870" s="95" t="str">
        <f>IFERROR(VLOOKUP(A1870,[2]wms_lc_f!$A$1:$B$156,2,FALSE),"")</f>
        <v/>
      </c>
    </row>
    <row r="1871" spans="1:8" hidden="1">
      <c r="A1871" s="71" t="str">
        <f>IFERROR(VLOOKUP(C1871,[3]wms_iv_f!$A$1:$D$135,2,FALSE),"")</f>
        <v/>
      </c>
      <c r="B1871" s="69" t="s">
        <v>2609</v>
      </c>
      <c r="C1871" s="70" t="s">
        <v>534</v>
      </c>
      <c r="D1871" s="70" t="s">
        <v>2614</v>
      </c>
      <c r="E1871" s="70"/>
      <c r="F1871" s="70"/>
      <c r="G1871" s="70" t="str">
        <f>IFERROR(VLOOKUP(A1871,[1]wms_iv_f!$A$1:$E$136,4,FALSE),"")</f>
        <v/>
      </c>
      <c r="H1871" s="95" t="str">
        <f>IFERROR(VLOOKUP(A1871,[2]wms_lc_f!$A$1:$B$156,2,FALSE),"")</f>
        <v/>
      </c>
    </row>
    <row r="1872" spans="1:8" hidden="1">
      <c r="A1872" s="71" t="str">
        <f>IFERROR(VLOOKUP(C1872,[3]wms_iv_f!$A$1:$D$135,2,FALSE),"")</f>
        <v/>
      </c>
      <c r="B1872" s="69" t="s">
        <v>2609</v>
      </c>
      <c r="C1872" s="70" t="s">
        <v>546</v>
      </c>
      <c r="D1872" s="70" t="s">
        <v>2614</v>
      </c>
      <c r="E1872" s="70"/>
      <c r="F1872" s="70"/>
      <c r="G1872" s="70" t="str">
        <f>IFERROR(VLOOKUP(A1872,[1]wms_iv_f!$A$1:$E$136,4,FALSE),"")</f>
        <v/>
      </c>
      <c r="H1872" s="95" t="str">
        <f>IFERROR(VLOOKUP(A1872,[2]wms_lc_f!$A$1:$B$156,2,FALSE),"")</f>
        <v/>
      </c>
    </row>
    <row r="1873" spans="1:8" hidden="1">
      <c r="A1873" s="71" t="str">
        <f>IFERROR(VLOOKUP(C1873,[3]wms_iv_f!$A$1:$D$135,2,FALSE),"")</f>
        <v/>
      </c>
      <c r="B1873" s="69" t="s">
        <v>2609</v>
      </c>
      <c r="C1873" s="70" t="s">
        <v>558</v>
      </c>
      <c r="D1873" s="70" t="s">
        <v>2614</v>
      </c>
      <c r="E1873" s="70"/>
      <c r="F1873" s="70"/>
      <c r="G1873" s="70" t="str">
        <f>IFERROR(VLOOKUP(A1873,[1]wms_iv_f!$A$1:$E$136,4,FALSE),"")</f>
        <v/>
      </c>
      <c r="H1873" s="95" t="str">
        <f>IFERROR(VLOOKUP(A1873,[2]wms_lc_f!$A$1:$B$156,2,FALSE),"")</f>
        <v/>
      </c>
    </row>
    <row r="1874" spans="1:8" hidden="1">
      <c r="A1874" s="71" t="str">
        <f>IFERROR(VLOOKUP(C1874,[3]wms_iv_f!$A$1:$D$135,2,FALSE),"")</f>
        <v/>
      </c>
      <c r="B1874" s="69" t="s">
        <v>2609</v>
      </c>
      <c r="C1874" s="70" t="s">
        <v>645</v>
      </c>
      <c r="D1874" s="70" t="s">
        <v>2614</v>
      </c>
      <c r="E1874" s="70"/>
      <c r="F1874" s="70"/>
      <c r="G1874" s="70" t="str">
        <f>IFERROR(VLOOKUP(A1874,[1]wms_iv_f!$A$1:$E$136,4,FALSE),"")</f>
        <v/>
      </c>
      <c r="H1874" s="95" t="str">
        <f>IFERROR(VLOOKUP(A1874,[2]wms_lc_f!$A$1:$B$156,2,FALSE),"")</f>
        <v/>
      </c>
    </row>
    <row r="1875" spans="1:8" hidden="1">
      <c r="A1875" s="71" t="str">
        <f>IFERROR(VLOOKUP(C1875,[3]wms_iv_f!$A$1:$D$135,2,FALSE),"")</f>
        <v/>
      </c>
      <c r="B1875" s="69" t="s">
        <v>2609</v>
      </c>
      <c r="C1875" s="70" t="s">
        <v>424</v>
      </c>
      <c r="D1875" s="70" t="s">
        <v>2614</v>
      </c>
      <c r="E1875" s="70"/>
      <c r="F1875" s="70"/>
      <c r="G1875" s="70" t="str">
        <f>IFERROR(VLOOKUP(A1875,[1]wms_iv_f!$A$1:$E$136,4,FALSE),"")</f>
        <v/>
      </c>
      <c r="H1875" s="95" t="str">
        <f>IFERROR(VLOOKUP(A1875,[2]wms_lc_f!$A$1:$B$156,2,FALSE),"")</f>
        <v/>
      </c>
    </row>
    <row r="1876" spans="1:8" hidden="1">
      <c r="A1876" s="71" t="str">
        <f>IFERROR(VLOOKUP(C1876,[3]wms_iv_f!$A$1:$D$135,2,FALSE),"")</f>
        <v/>
      </c>
      <c r="B1876" s="69" t="s">
        <v>2609</v>
      </c>
      <c r="C1876" s="70" t="s">
        <v>436</v>
      </c>
      <c r="D1876" s="70" t="s">
        <v>2614</v>
      </c>
      <c r="E1876" s="70"/>
      <c r="F1876" s="70"/>
      <c r="G1876" s="70" t="str">
        <f>IFERROR(VLOOKUP(A1876,[1]wms_iv_f!$A$1:$E$136,4,FALSE),"")</f>
        <v/>
      </c>
      <c r="H1876" s="95" t="str">
        <f>IFERROR(VLOOKUP(A1876,[2]wms_lc_f!$A$1:$B$156,2,FALSE),"")</f>
        <v/>
      </c>
    </row>
    <row r="1877" spans="1:8" hidden="1">
      <c r="A1877" s="71" t="str">
        <f>IFERROR(VLOOKUP(C1877,[3]wms_iv_f!$A$1:$D$135,2,FALSE),"")</f>
        <v/>
      </c>
      <c r="B1877" s="69" t="s">
        <v>2609</v>
      </c>
      <c r="C1877" s="70" t="s">
        <v>448</v>
      </c>
      <c r="D1877" s="70" t="s">
        <v>2614</v>
      </c>
      <c r="E1877" s="70"/>
      <c r="F1877" s="70"/>
      <c r="G1877" s="70" t="str">
        <f>IFERROR(VLOOKUP(A1877,[1]wms_iv_f!$A$1:$E$136,4,FALSE),"")</f>
        <v/>
      </c>
      <c r="H1877" s="95" t="str">
        <f>IFERROR(VLOOKUP(A1877,[2]wms_lc_f!$A$1:$B$156,2,FALSE),"")</f>
        <v/>
      </c>
    </row>
    <row r="1878" spans="1:8" hidden="1">
      <c r="A1878" s="71" t="str">
        <f>IFERROR(VLOOKUP(C1878,[3]wms_iv_f!$A$1:$D$135,2,FALSE),"")</f>
        <v/>
      </c>
      <c r="B1878" s="69" t="s">
        <v>2609</v>
      </c>
      <c r="C1878" s="70" t="s">
        <v>535</v>
      </c>
      <c r="D1878" s="70" t="s">
        <v>2614</v>
      </c>
      <c r="E1878" s="70"/>
      <c r="F1878" s="70"/>
      <c r="G1878" s="70" t="str">
        <f>IFERROR(VLOOKUP(A1878,[1]wms_iv_f!$A$1:$E$136,4,FALSE),"")</f>
        <v/>
      </c>
      <c r="H1878" s="95" t="str">
        <f>IFERROR(VLOOKUP(A1878,[2]wms_lc_f!$A$1:$B$156,2,FALSE),"")</f>
        <v/>
      </c>
    </row>
    <row r="1879" spans="1:8" hidden="1">
      <c r="A1879" s="71" t="str">
        <f>IFERROR(VLOOKUP(C1879,[3]wms_iv_f!$A$1:$D$135,2,FALSE),"")</f>
        <v/>
      </c>
      <c r="B1879" s="69" t="s">
        <v>2609</v>
      </c>
      <c r="C1879" s="70" t="s">
        <v>547</v>
      </c>
      <c r="D1879" s="70" t="s">
        <v>2614</v>
      </c>
      <c r="E1879" s="70"/>
      <c r="F1879" s="70"/>
      <c r="G1879" s="70" t="str">
        <f>IFERROR(VLOOKUP(A1879,[1]wms_iv_f!$A$1:$E$136,4,FALSE),"")</f>
        <v/>
      </c>
      <c r="H1879" s="95" t="str">
        <f>IFERROR(VLOOKUP(A1879,[2]wms_lc_f!$A$1:$B$156,2,FALSE),"")</f>
        <v/>
      </c>
    </row>
    <row r="1880" spans="1:8" hidden="1">
      <c r="A1880" s="71" t="str">
        <f>IFERROR(VLOOKUP(C1880,[3]wms_iv_f!$A$1:$D$135,2,FALSE),"")</f>
        <v/>
      </c>
      <c r="B1880" s="69" t="s">
        <v>2609</v>
      </c>
      <c r="C1880" s="70" t="s">
        <v>559</v>
      </c>
      <c r="D1880" s="70" t="s">
        <v>2614</v>
      </c>
      <c r="E1880" s="70"/>
      <c r="F1880" s="70"/>
      <c r="G1880" s="70" t="str">
        <f>IFERROR(VLOOKUP(A1880,[1]wms_iv_f!$A$1:$E$136,4,FALSE),"")</f>
        <v/>
      </c>
      <c r="H1880" s="95" t="str">
        <f>IFERROR(VLOOKUP(A1880,[2]wms_lc_f!$A$1:$B$156,2,FALSE),"")</f>
        <v/>
      </c>
    </row>
    <row r="1881" spans="1:8" hidden="1">
      <c r="A1881" s="71" t="str">
        <f>IFERROR(VLOOKUP(C1881,[3]wms_iv_f!$A$1:$D$135,2,FALSE),"")</f>
        <v/>
      </c>
      <c r="B1881" s="69" t="s">
        <v>2609</v>
      </c>
      <c r="C1881" s="70" t="s">
        <v>646</v>
      </c>
      <c r="D1881" s="70" t="s">
        <v>2614</v>
      </c>
      <c r="E1881" s="70"/>
      <c r="F1881" s="70"/>
      <c r="G1881" s="70" t="str">
        <f>IFERROR(VLOOKUP(A1881,[1]wms_iv_f!$A$1:$E$136,4,FALSE),"")</f>
        <v/>
      </c>
      <c r="H1881" s="95" t="str">
        <f>IFERROR(VLOOKUP(A1881,[2]wms_lc_f!$A$1:$B$156,2,FALSE),"")</f>
        <v/>
      </c>
    </row>
    <row r="1882" spans="1:8" hidden="1">
      <c r="A1882" s="71" t="str">
        <f>IFERROR(VLOOKUP(C1882,[3]wms_iv_f!$A$1:$D$135,2,FALSE),"")</f>
        <v/>
      </c>
      <c r="B1882" s="69" t="s">
        <v>2609</v>
      </c>
      <c r="C1882" s="70" t="s">
        <v>330</v>
      </c>
      <c r="D1882" s="70" t="s">
        <v>2614</v>
      </c>
      <c r="E1882" s="70"/>
      <c r="F1882" s="70"/>
      <c r="G1882" s="70" t="str">
        <f>IFERROR(VLOOKUP(A1882,[1]wms_iv_f!$A$1:$E$136,4,FALSE),"")</f>
        <v/>
      </c>
      <c r="H1882" s="95" t="str">
        <f>IFERROR(VLOOKUP(A1882,[2]wms_lc_f!$A$1:$B$156,2,FALSE),"")</f>
        <v/>
      </c>
    </row>
    <row r="1883" spans="1:8" hidden="1">
      <c r="A1883" s="71" t="str">
        <f>IFERROR(VLOOKUP(C1883,[3]wms_iv_f!$A$1:$D$135,2,FALSE),"")</f>
        <v/>
      </c>
      <c r="B1883" s="69" t="s">
        <v>2609</v>
      </c>
      <c r="C1883" s="70" t="s">
        <v>338</v>
      </c>
      <c r="D1883" s="70" t="s">
        <v>2614</v>
      </c>
      <c r="E1883" s="70"/>
      <c r="F1883" s="70"/>
      <c r="G1883" s="70" t="str">
        <f>IFERROR(VLOOKUP(A1883,[1]wms_iv_f!$A$1:$E$136,4,FALSE),"")</f>
        <v/>
      </c>
      <c r="H1883" s="95" t="str">
        <f>IFERROR(VLOOKUP(A1883,[2]wms_lc_f!$A$1:$B$156,2,FALSE),"")</f>
        <v/>
      </c>
    </row>
    <row r="1884" spans="1:8" hidden="1">
      <c r="A1884" s="71" t="str">
        <f>IFERROR(VLOOKUP(C1884,[3]wms_iv_f!$A$1:$D$135,2,FALSE),"")</f>
        <v/>
      </c>
      <c r="B1884" s="69" t="s">
        <v>2609</v>
      </c>
      <c r="C1884" s="70" t="s">
        <v>425</v>
      </c>
      <c r="D1884" s="70" t="s">
        <v>2614</v>
      </c>
      <c r="E1884" s="70"/>
      <c r="F1884" s="70"/>
      <c r="G1884" s="70" t="str">
        <f>IFERROR(VLOOKUP(A1884,[1]wms_iv_f!$A$1:$E$136,4,FALSE),"")</f>
        <v/>
      </c>
      <c r="H1884" s="95" t="str">
        <f>IFERROR(VLOOKUP(A1884,[2]wms_lc_f!$A$1:$B$156,2,FALSE),"")</f>
        <v/>
      </c>
    </row>
    <row r="1885" spans="1:8" hidden="1">
      <c r="A1885" s="71" t="str">
        <f>IFERROR(VLOOKUP(C1885,[3]wms_iv_f!$A$1:$D$135,2,FALSE),"")</f>
        <v/>
      </c>
      <c r="B1885" s="69" t="s">
        <v>2609</v>
      </c>
      <c r="C1885" s="70" t="s">
        <v>437</v>
      </c>
      <c r="D1885" s="70" t="s">
        <v>2614</v>
      </c>
      <c r="E1885" s="70"/>
      <c r="F1885" s="70"/>
      <c r="G1885" s="70" t="str">
        <f>IFERROR(VLOOKUP(A1885,[1]wms_iv_f!$A$1:$E$136,4,FALSE),"")</f>
        <v/>
      </c>
      <c r="H1885" s="95" t="str">
        <f>IFERROR(VLOOKUP(A1885,[2]wms_lc_f!$A$1:$B$156,2,FALSE),"")</f>
        <v/>
      </c>
    </row>
    <row r="1886" spans="1:8" hidden="1">
      <c r="A1886" s="71" t="str">
        <f>IFERROR(VLOOKUP(C1886,[3]wms_iv_f!$A$1:$D$135,2,FALSE),"")</f>
        <v/>
      </c>
      <c r="B1886" s="69" t="s">
        <v>2609</v>
      </c>
      <c r="C1886" s="70" t="s">
        <v>449</v>
      </c>
      <c r="D1886" s="70" t="s">
        <v>2614</v>
      </c>
      <c r="E1886" s="70"/>
      <c r="F1886" s="70"/>
      <c r="G1886" s="70" t="str">
        <f>IFERROR(VLOOKUP(A1886,[1]wms_iv_f!$A$1:$E$136,4,FALSE),"")</f>
        <v/>
      </c>
      <c r="H1886" s="95" t="str">
        <f>IFERROR(VLOOKUP(A1886,[2]wms_lc_f!$A$1:$B$156,2,FALSE),"")</f>
        <v/>
      </c>
    </row>
    <row r="1887" spans="1:8" hidden="1">
      <c r="A1887" s="71" t="str">
        <f>IFERROR(VLOOKUP(C1887,[3]wms_iv_f!$A$1:$D$135,2,FALSE),"")</f>
        <v/>
      </c>
      <c r="B1887" s="69" t="s">
        <v>2609</v>
      </c>
      <c r="C1887" s="70" t="s">
        <v>536</v>
      </c>
      <c r="D1887" s="70" t="s">
        <v>2614</v>
      </c>
      <c r="E1887" s="70"/>
      <c r="F1887" s="70"/>
      <c r="G1887" s="70" t="str">
        <f>IFERROR(VLOOKUP(A1887,[1]wms_iv_f!$A$1:$E$136,4,FALSE),"")</f>
        <v/>
      </c>
      <c r="H1887" s="95" t="str">
        <f>IFERROR(VLOOKUP(A1887,[2]wms_lc_f!$A$1:$B$156,2,FALSE),"")</f>
        <v/>
      </c>
    </row>
    <row r="1888" spans="1:8" hidden="1">
      <c r="A1888" s="71" t="str">
        <f>IFERROR(VLOOKUP(C1888,[3]wms_iv_f!$A$1:$D$135,2,FALSE),"")</f>
        <v/>
      </c>
      <c r="B1888" s="69" t="s">
        <v>2609</v>
      </c>
      <c r="C1888" s="70" t="s">
        <v>548</v>
      </c>
      <c r="D1888" s="70" t="s">
        <v>2614</v>
      </c>
      <c r="E1888" s="70"/>
      <c r="F1888" s="70"/>
      <c r="G1888" s="70" t="str">
        <f>IFERROR(VLOOKUP(A1888,[1]wms_iv_f!$A$1:$E$136,4,FALSE),"")</f>
        <v/>
      </c>
      <c r="H1888" s="95" t="str">
        <f>IFERROR(VLOOKUP(A1888,[2]wms_lc_f!$A$1:$B$156,2,FALSE),"")</f>
        <v/>
      </c>
    </row>
    <row r="1889" spans="1:8" hidden="1">
      <c r="A1889" s="71" t="str">
        <f>IFERROR(VLOOKUP(C1889,[3]wms_iv_f!$A$1:$D$135,2,FALSE),"")</f>
        <v/>
      </c>
      <c r="B1889" s="69" t="s">
        <v>2609</v>
      </c>
      <c r="C1889" s="70" t="s">
        <v>560</v>
      </c>
      <c r="D1889" s="70" t="s">
        <v>2614</v>
      </c>
      <c r="E1889" s="70"/>
      <c r="F1889" s="70"/>
      <c r="G1889" s="70" t="str">
        <f>IFERROR(VLOOKUP(A1889,[1]wms_iv_f!$A$1:$E$136,4,FALSE),"")</f>
        <v/>
      </c>
      <c r="H1889" s="95" t="str">
        <f>IFERROR(VLOOKUP(A1889,[2]wms_lc_f!$A$1:$B$156,2,FALSE),"")</f>
        <v/>
      </c>
    </row>
    <row r="1890" spans="1:8" hidden="1">
      <c r="A1890" s="71" t="str">
        <f>IFERROR(VLOOKUP(C1890,[3]wms_iv_f!$A$1:$D$135,2,FALSE),"")</f>
        <v/>
      </c>
      <c r="B1890" s="69" t="s">
        <v>2609</v>
      </c>
      <c r="C1890" s="70" t="s">
        <v>647</v>
      </c>
      <c r="D1890" s="70" t="s">
        <v>2614</v>
      </c>
      <c r="E1890" s="70"/>
      <c r="F1890" s="70"/>
      <c r="G1890" s="70" t="str">
        <f>IFERROR(VLOOKUP(A1890,[1]wms_iv_f!$A$1:$E$136,4,FALSE),"")</f>
        <v/>
      </c>
      <c r="H1890" s="95" t="str">
        <f>IFERROR(VLOOKUP(A1890,[2]wms_lc_f!$A$1:$B$156,2,FALSE),"")</f>
        <v/>
      </c>
    </row>
    <row r="1891" spans="1:8" hidden="1">
      <c r="A1891" s="71" t="str">
        <f>IFERROR(VLOOKUP(C1891,[3]wms_iv_f!$A$1:$D$135,2,FALSE),"")</f>
        <v/>
      </c>
      <c r="B1891" s="69" t="s">
        <v>2609</v>
      </c>
      <c r="C1891" s="70" t="s">
        <v>331</v>
      </c>
      <c r="D1891" s="70" t="s">
        <v>2614</v>
      </c>
      <c r="E1891" s="70"/>
      <c r="F1891" s="70"/>
      <c r="G1891" s="70" t="str">
        <f>IFERROR(VLOOKUP(A1891,[1]wms_iv_f!$A$1:$E$136,4,FALSE),"")</f>
        <v/>
      </c>
      <c r="H1891" s="95" t="str">
        <f>IFERROR(VLOOKUP(A1891,[2]wms_lc_f!$A$1:$B$156,2,FALSE),"")</f>
        <v/>
      </c>
    </row>
    <row r="1892" spans="1:8" hidden="1">
      <c r="A1892" s="71" t="str">
        <f>IFERROR(VLOOKUP(C1892,[3]wms_iv_f!$A$1:$D$135,2,FALSE),"")</f>
        <v/>
      </c>
      <c r="B1892" s="69" t="s">
        <v>2609</v>
      </c>
      <c r="C1892" s="70" t="s">
        <v>339</v>
      </c>
      <c r="D1892" s="70" t="s">
        <v>2614</v>
      </c>
      <c r="E1892" s="70"/>
      <c r="F1892" s="70"/>
      <c r="G1892" s="70" t="str">
        <f>IFERROR(VLOOKUP(A1892,[1]wms_iv_f!$A$1:$E$136,4,FALSE),"")</f>
        <v/>
      </c>
      <c r="H1892" s="95" t="str">
        <f>IFERROR(VLOOKUP(A1892,[2]wms_lc_f!$A$1:$B$156,2,FALSE),"")</f>
        <v/>
      </c>
    </row>
    <row r="1893" spans="1:8" hidden="1">
      <c r="A1893" s="71" t="str">
        <f>IFERROR(VLOOKUP(C1893,[3]wms_iv_f!$A$1:$D$135,2,FALSE),"")</f>
        <v/>
      </c>
      <c r="B1893" s="69" t="s">
        <v>2609</v>
      </c>
      <c r="C1893" s="70" t="s">
        <v>426</v>
      </c>
      <c r="D1893" s="70" t="s">
        <v>2614</v>
      </c>
      <c r="E1893" s="70"/>
      <c r="F1893" s="70"/>
      <c r="G1893" s="70" t="str">
        <f>IFERROR(VLOOKUP(A1893,[1]wms_iv_f!$A$1:$E$136,4,FALSE),"")</f>
        <v/>
      </c>
      <c r="H1893" s="95" t="str">
        <f>IFERROR(VLOOKUP(A1893,[2]wms_lc_f!$A$1:$B$156,2,FALSE),"")</f>
        <v/>
      </c>
    </row>
    <row r="1894" spans="1:8" hidden="1">
      <c r="A1894" s="71" t="str">
        <f>IFERROR(VLOOKUP(C1894,[3]wms_iv_f!$A$1:$D$135,2,FALSE),"")</f>
        <v/>
      </c>
      <c r="B1894" s="69" t="s">
        <v>2609</v>
      </c>
      <c r="C1894" s="70" t="s">
        <v>438</v>
      </c>
      <c r="D1894" s="70" t="s">
        <v>2614</v>
      </c>
      <c r="E1894" s="70"/>
      <c r="F1894" s="70"/>
      <c r="G1894" s="70" t="str">
        <f>IFERROR(VLOOKUP(A1894,[1]wms_iv_f!$A$1:$E$136,4,FALSE),"")</f>
        <v/>
      </c>
      <c r="H1894" s="95" t="str">
        <f>IFERROR(VLOOKUP(A1894,[2]wms_lc_f!$A$1:$B$156,2,FALSE),"")</f>
        <v/>
      </c>
    </row>
    <row r="1895" spans="1:8" hidden="1">
      <c r="A1895" s="73" t="str">
        <f>IFERROR(VLOOKUP(C1895,[3]wms_iv_f!$A$1:$D$135,2,FALSE),"")</f>
        <v/>
      </c>
      <c r="B1895" s="69" t="s">
        <v>2609</v>
      </c>
      <c r="C1895" s="74" t="s">
        <v>450</v>
      </c>
      <c r="D1895" s="74" t="s">
        <v>2614</v>
      </c>
      <c r="E1895" s="74"/>
      <c r="F1895" s="70"/>
      <c r="G1895" s="70" t="str">
        <f>IFERROR(VLOOKUP(A1895,[1]wms_iv_f!$A$1:$E$136,4,FALSE),"")</f>
        <v/>
      </c>
      <c r="H1895" s="95" t="str">
        <f>IFERROR(VLOOKUP(A1895,[2]wms_lc_f!$A$1:$B$156,2,FALSE),"")</f>
        <v/>
      </c>
    </row>
    <row r="1896" spans="1:8" hidden="1">
      <c r="A1896" s="69" t="str">
        <f>IFERROR(VLOOKUP(C1896,[3]wms_iv_f!$A$1:$D$135,2,FALSE),"")</f>
        <v/>
      </c>
      <c r="B1896" s="69" t="s">
        <v>2609</v>
      </c>
      <c r="C1896" s="70" t="s">
        <v>537</v>
      </c>
      <c r="D1896" s="70" t="s">
        <v>2614</v>
      </c>
      <c r="E1896" s="70"/>
      <c r="F1896" s="70"/>
      <c r="G1896" s="70" t="str">
        <f>IFERROR(VLOOKUP(A1896,[1]wms_iv_f!$A$1:$E$136,4,FALSE),"")</f>
        <v/>
      </c>
      <c r="H1896" s="95" t="str">
        <f>IFERROR(VLOOKUP(A1896,[2]wms_lc_f!$A$1:$B$156,2,FALSE),"")</f>
        <v/>
      </c>
    </row>
    <row r="1897" spans="1:8" hidden="1">
      <c r="A1897" s="69" t="str">
        <f>IFERROR(VLOOKUP(C1897,[3]wms_iv_f!$A$1:$D$135,2,FALSE),"")</f>
        <v/>
      </c>
      <c r="B1897" s="69" t="s">
        <v>2609</v>
      </c>
      <c r="C1897" s="70" t="s">
        <v>549</v>
      </c>
      <c r="D1897" s="70" t="s">
        <v>2614</v>
      </c>
      <c r="E1897" s="70"/>
      <c r="F1897" s="70"/>
      <c r="G1897" s="70" t="str">
        <f>IFERROR(VLOOKUP(A1897,[1]wms_iv_f!$A$1:$E$136,4,FALSE),"")</f>
        <v/>
      </c>
      <c r="H1897" s="95" t="str">
        <f>IFERROR(VLOOKUP(A1897,[2]wms_lc_f!$A$1:$B$156,2,FALSE),"")</f>
        <v/>
      </c>
    </row>
    <row r="1898" spans="1:8" hidden="1">
      <c r="A1898" s="69" t="str">
        <f>IFERROR(VLOOKUP(C1898,[3]wms_iv_f!$A$1:$D$135,2,FALSE),"")</f>
        <v/>
      </c>
      <c r="B1898" s="69" t="s">
        <v>2609</v>
      </c>
      <c r="C1898" s="70" t="s">
        <v>561</v>
      </c>
      <c r="D1898" s="70" t="s">
        <v>2614</v>
      </c>
      <c r="E1898" s="70"/>
      <c r="F1898" s="70"/>
      <c r="G1898" s="70" t="str">
        <f>IFERROR(VLOOKUP(A1898,[1]wms_iv_f!$A$1:$E$136,4,FALSE),"")</f>
        <v/>
      </c>
      <c r="H1898" s="95" t="str">
        <f>IFERROR(VLOOKUP(A1898,[2]wms_lc_f!$A$1:$B$156,2,FALSE),"")</f>
        <v/>
      </c>
    </row>
    <row r="1899" spans="1:8" hidden="1">
      <c r="A1899" s="69" t="str">
        <f>IFERROR(VLOOKUP(C1899,[3]wms_iv_f!$A$1:$D$135,2,FALSE),"")</f>
        <v/>
      </c>
      <c r="B1899" s="69" t="s">
        <v>2609</v>
      </c>
      <c r="C1899" s="70" t="s">
        <v>648</v>
      </c>
      <c r="D1899" s="70" t="s">
        <v>2614</v>
      </c>
      <c r="E1899" s="70"/>
      <c r="F1899" s="70"/>
      <c r="G1899" s="70" t="str">
        <f>IFERROR(VLOOKUP(A1899,[1]wms_iv_f!$A$1:$E$136,4,FALSE),"")</f>
        <v/>
      </c>
      <c r="H1899" s="95" t="str">
        <f>IFERROR(VLOOKUP(A1899,[2]wms_lc_f!$A$1:$B$156,2,FALSE),"")</f>
        <v/>
      </c>
    </row>
    <row r="1900" spans="1:8" hidden="1">
      <c r="A1900" s="69"/>
      <c r="B1900" s="69" t="s">
        <v>2609</v>
      </c>
      <c r="C1900" s="70" t="s">
        <v>324</v>
      </c>
      <c r="D1900" s="70" t="s">
        <v>2614</v>
      </c>
      <c r="E1900" s="72"/>
      <c r="F1900" s="70"/>
      <c r="G1900" s="70" t="str">
        <f>IFERROR(VLOOKUP(A1900,[1]wms_iv_f!$A$1:$E$136,4,FALSE),"")</f>
        <v/>
      </c>
      <c r="H1900" s="95" t="str">
        <f>IFERROR(VLOOKUP(A1900,[2]wms_lc_f!$A$1:$B$156,2,FALSE),"")</f>
        <v/>
      </c>
    </row>
    <row r="1901" spans="1:8" hidden="1">
      <c r="A1901" s="69"/>
      <c r="B1901" s="69" t="s">
        <v>2609</v>
      </c>
      <c r="C1901" s="70" t="s">
        <v>332</v>
      </c>
      <c r="D1901" s="70" t="s">
        <v>2614</v>
      </c>
      <c r="E1901" s="72"/>
      <c r="F1901" s="70"/>
      <c r="G1901" s="70" t="str">
        <f>IFERROR(VLOOKUP(A1901,[1]wms_iv_f!$A$1:$E$136,4,FALSE),"")</f>
        <v/>
      </c>
      <c r="H1901" s="95" t="str">
        <f>IFERROR(VLOOKUP(A1901,[2]wms_lc_f!$A$1:$B$156,2,FALSE),"")</f>
        <v/>
      </c>
    </row>
    <row r="1902" spans="1:8" hidden="1">
      <c r="A1902" s="69"/>
      <c r="B1902" s="69" t="s">
        <v>2609</v>
      </c>
      <c r="C1902" s="70" t="s">
        <v>382</v>
      </c>
      <c r="D1902" s="70" t="s">
        <v>2614</v>
      </c>
      <c r="E1902" s="72"/>
      <c r="F1902" s="70"/>
      <c r="G1902" s="70" t="str">
        <f>IFERROR(VLOOKUP(A1902,[1]wms_iv_f!$A$1:$E$136,4,FALSE),"")</f>
        <v/>
      </c>
      <c r="H1902" s="95" t="str">
        <f>IFERROR(VLOOKUP(A1902,[2]wms_lc_f!$A$1:$B$156,2,FALSE),"")</f>
        <v/>
      </c>
    </row>
    <row r="1903" spans="1:8" hidden="1">
      <c r="A1903" s="69"/>
      <c r="B1903" s="69" t="s">
        <v>2609</v>
      </c>
      <c r="C1903" s="70" t="s">
        <v>427</v>
      </c>
      <c r="D1903" s="70" t="s">
        <v>2614</v>
      </c>
      <c r="E1903" s="72"/>
      <c r="F1903" s="70"/>
      <c r="G1903" s="70" t="str">
        <f>IFERROR(VLOOKUP(A1903,[1]wms_iv_f!$A$1:$E$136,4,FALSE),"")</f>
        <v/>
      </c>
      <c r="H1903" s="95" t="str">
        <f>IFERROR(VLOOKUP(A1903,[2]wms_lc_f!$A$1:$B$156,2,FALSE),"")</f>
        <v/>
      </c>
    </row>
    <row r="1904" spans="1:8" hidden="1">
      <c r="A1904" s="69"/>
      <c r="B1904" s="69" t="s">
        <v>2609</v>
      </c>
      <c r="C1904" s="70" t="s">
        <v>439</v>
      </c>
      <c r="D1904" s="70" t="s">
        <v>2614</v>
      </c>
      <c r="E1904" s="72"/>
      <c r="F1904" s="70"/>
      <c r="G1904" s="70" t="str">
        <f>IFERROR(VLOOKUP(A1904,[1]wms_iv_f!$A$1:$E$136,4,FALSE),"")</f>
        <v/>
      </c>
      <c r="H1904" s="95" t="str">
        <f>IFERROR(VLOOKUP(A1904,[2]wms_lc_f!$A$1:$B$156,2,FALSE),"")</f>
        <v/>
      </c>
    </row>
    <row r="1905" spans="1:8" hidden="1">
      <c r="A1905" s="69"/>
      <c r="B1905" s="69" t="s">
        <v>2609</v>
      </c>
      <c r="C1905" s="70" t="s">
        <v>493</v>
      </c>
      <c r="D1905" s="70" t="s">
        <v>2614</v>
      </c>
      <c r="E1905" s="72"/>
      <c r="F1905" s="70"/>
      <c r="G1905" s="70" t="str">
        <f>IFERROR(VLOOKUP(A1905,[1]wms_iv_f!$A$1:$E$136,4,FALSE),"")</f>
        <v/>
      </c>
      <c r="H1905" s="95" t="str">
        <f>IFERROR(VLOOKUP(A1905,[2]wms_lc_f!$A$1:$B$156,2,FALSE),"")</f>
        <v/>
      </c>
    </row>
    <row r="1906" spans="1:8" hidden="1">
      <c r="A1906" s="69"/>
      <c r="B1906" s="69" t="s">
        <v>2609</v>
      </c>
      <c r="C1906" s="70" t="s">
        <v>538</v>
      </c>
      <c r="D1906" s="70" t="s">
        <v>2614</v>
      </c>
      <c r="E1906" s="72"/>
      <c r="F1906" s="70"/>
      <c r="G1906" s="70" t="str">
        <f>IFERROR(VLOOKUP(A1906,[1]wms_iv_f!$A$1:$E$136,4,FALSE),"")</f>
        <v/>
      </c>
      <c r="H1906" s="95" t="str">
        <f>IFERROR(VLOOKUP(A1906,[2]wms_lc_f!$A$1:$B$156,2,FALSE),"")</f>
        <v/>
      </c>
    </row>
    <row r="1907" spans="1:8" hidden="1">
      <c r="A1907" s="69"/>
      <c r="B1907" s="69" t="s">
        <v>2609</v>
      </c>
      <c r="C1907" s="70" t="s">
        <v>550</v>
      </c>
      <c r="D1907" s="70" t="s">
        <v>2614</v>
      </c>
      <c r="E1907" s="72"/>
      <c r="F1907" s="70"/>
      <c r="G1907" s="70" t="str">
        <f>IFERROR(VLOOKUP(A1907,[1]wms_iv_f!$A$1:$E$136,4,FALSE),"")</f>
        <v/>
      </c>
      <c r="H1907" s="95" t="str">
        <f>IFERROR(VLOOKUP(A1907,[2]wms_lc_f!$A$1:$B$156,2,FALSE),"")</f>
        <v/>
      </c>
    </row>
    <row r="1908" spans="1:8" hidden="1">
      <c r="A1908" s="69"/>
      <c r="B1908" s="69" t="s">
        <v>2609</v>
      </c>
      <c r="C1908" s="70" t="s">
        <v>604</v>
      </c>
      <c r="D1908" s="70" t="s">
        <v>2614</v>
      </c>
      <c r="E1908" s="72"/>
      <c r="F1908" s="70"/>
      <c r="G1908" s="70" t="str">
        <f>IFERROR(VLOOKUP(A1908,[1]wms_iv_f!$A$1:$E$136,4,FALSE),"")</f>
        <v/>
      </c>
      <c r="H1908" s="95" t="str">
        <f>IFERROR(VLOOKUP(A1908,[2]wms_lc_f!$A$1:$B$156,2,FALSE),"")</f>
        <v/>
      </c>
    </row>
    <row r="1909" spans="1:8" hidden="1">
      <c r="A1909" s="69"/>
      <c r="B1909" s="69" t="s">
        <v>2609</v>
      </c>
      <c r="C1909" s="70" t="s">
        <v>325</v>
      </c>
      <c r="D1909" s="70" t="s">
        <v>2614</v>
      </c>
      <c r="E1909" s="72"/>
      <c r="F1909" s="70"/>
      <c r="G1909" s="70" t="str">
        <f>IFERROR(VLOOKUP(A1909,[1]wms_iv_f!$A$1:$E$136,4,FALSE),"")</f>
        <v/>
      </c>
      <c r="H1909" s="95" t="str">
        <f>IFERROR(VLOOKUP(A1909,[2]wms_lc_f!$A$1:$B$156,2,FALSE),"")</f>
        <v/>
      </c>
    </row>
    <row r="1910" spans="1:8" hidden="1">
      <c r="A1910" s="71"/>
      <c r="B1910" s="69" t="s">
        <v>2609</v>
      </c>
      <c r="C1910" s="70" t="s">
        <v>333</v>
      </c>
      <c r="D1910" s="70" t="s">
        <v>2614</v>
      </c>
      <c r="E1910" s="72"/>
      <c r="F1910" s="70"/>
      <c r="G1910" s="70" t="str">
        <f>IFERROR(VLOOKUP(A1910,[1]wms_iv_f!$A$1:$E$136,4,FALSE),"")</f>
        <v/>
      </c>
      <c r="H1910" s="95" t="str">
        <f>IFERROR(VLOOKUP(A1910,[2]wms_lc_f!$A$1:$B$156,2,FALSE),"")</f>
        <v/>
      </c>
    </row>
    <row r="1911" spans="1:8" hidden="1">
      <c r="A1911" s="71" t="str">
        <f>IFERROR(VLOOKUP(C1911,[3]wms_iv_f!$A$1:$D$135,2,FALSE),"")</f>
        <v/>
      </c>
      <c r="B1911" s="69" t="s">
        <v>2609</v>
      </c>
      <c r="C1911" s="70" t="s">
        <v>383</v>
      </c>
      <c r="D1911" s="70" t="s">
        <v>2614</v>
      </c>
      <c r="E1911" s="72"/>
      <c r="F1911" s="70"/>
      <c r="G1911" s="70" t="str">
        <f>IFERROR(VLOOKUP(A1911,[1]wms_iv_f!$A$1:$E$136,4,FALSE),"")</f>
        <v/>
      </c>
      <c r="H1911" s="95" t="str">
        <f>IFERROR(VLOOKUP(A1911,[2]wms_lc_f!$A$1:$B$156,2,FALSE),"")</f>
        <v/>
      </c>
    </row>
    <row r="1912" spans="1:8" hidden="1">
      <c r="A1912" s="71" t="str">
        <f>IFERROR(VLOOKUP(C1912,[3]wms_iv_f!$A$1:$D$135,2,FALSE),"")</f>
        <v/>
      </c>
      <c r="B1912" s="69" t="s">
        <v>2609</v>
      </c>
      <c r="C1912" s="70" t="s">
        <v>428</v>
      </c>
      <c r="D1912" s="70" t="s">
        <v>2614</v>
      </c>
      <c r="E1912" s="72"/>
      <c r="F1912" s="70"/>
      <c r="G1912" s="70" t="str">
        <f>IFERROR(VLOOKUP(A1912,[1]wms_iv_f!$A$1:$E$136,4,FALSE),"")</f>
        <v/>
      </c>
      <c r="H1912" s="95" t="str">
        <f>IFERROR(VLOOKUP(A1912,[2]wms_lc_f!$A$1:$B$156,2,FALSE),"")</f>
        <v/>
      </c>
    </row>
    <row r="1913" spans="1:8" hidden="1">
      <c r="A1913" s="71" t="str">
        <f>IFERROR(VLOOKUP(C1913,[3]wms_iv_f!$A$1:$D$135,2,FALSE),"")</f>
        <v/>
      </c>
      <c r="B1913" s="69" t="s">
        <v>2609</v>
      </c>
      <c r="C1913" s="70" t="s">
        <v>440</v>
      </c>
      <c r="D1913" s="70" t="s">
        <v>2614</v>
      </c>
      <c r="E1913" s="72"/>
      <c r="F1913" s="70"/>
      <c r="G1913" s="70" t="str">
        <f>IFERROR(VLOOKUP(A1913,[1]wms_iv_f!$A$1:$E$136,4,FALSE),"")</f>
        <v/>
      </c>
      <c r="H1913" s="95" t="str">
        <f>IFERROR(VLOOKUP(A1913,[2]wms_lc_f!$A$1:$B$156,2,FALSE),"")</f>
        <v/>
      </c>
    </row>
    <row r="1914" spans="1:8" hidden="1">
      <c r="A1914" s="71" t="str">
        <f>IFERROR(VLOOKUP(C1914,[3]wms_iv_f!$A$1:$D$135,2,FALSE),"")</f>
        <v/>
      </c>
      <c r="B1914" s="69" t="s">
        <v>2609</v>
      </c>
      <c r="C1914" s="70" t="s">
        <v>494</v>
      </c>
      <c r="D1914" s="70" t="s">
        <v>2614</v>
      </c>
      <c r="E1914" s="72"/>
      <c r="F1914" s="70"/>
      <c r="G1914" s="70" t="str">
        <f>IFERROR(VLOOKUP(A1914,[1]wms_iv_f!$A$1:$E$136,4,FALSE),"")</f>
        <v/>
      </c>
      <c r="H1914" s="95" t="str">
        <f>IFERROR(VLOOKUP(A1914,[2]wms_lc_f!$A$1:$B$156,2,FALSE),"")</f>
        <v/>
      </c>
    </row>
    <row r="1915" spans="1:8" hidden="1">
      <c r="A1915" s="71" t="str">
        <f>IFERROR(VLOOKUP(C1915,[3]wms_iv_f!$A$1:$D$135,2,FALSE),"")</f>
        <v/>
      </c>
      <c r="B1915" s="69" t="s">
        <v>2609</v>
      </c>
      <c r="C1915" s="70" t="s">
        <v>539</v>
      </c>
      <c r="D1915" s="70" t="s">
        <v>2614</v>
      </c>
      <c r="E1915" s="72"/>
      <c r="F1915" s="70"/>
      <c r="G1915" s="70" t="str">
        <f>IFERROR(VLOOKUP(A1915,[1]wms_iv_f!$A$1:$E$136,4,FALSE),"")</f>
        <v/>
      </c>
      <c r="H1915" s="95" t="str">
        <f>IFERROR(VLOOKUP(A1915,[2]wms_lc_f!$A$1:$B$156,2,FALSE),"")</f>
        <v/>
      </c>
    </row>
    <row r="1916" spans="1:8" hidden="1">
      <c r="A1916" s="71" t="str">
        <f>IFERROR(VLOOKUP(C1916,[3]wms_iv_f!$A$1:$D$135,2,FALSE),"")</f>
        <v/>
      </c>
      <c r="B1916" s="69" t="s">
        <v>2609</v>
      </c>
      <c r="C1916" s="70" t="s">
        <v>551</v>
      </c>
      <c r="D1916" s="70" t="s">
        <v>2614</v>
      </c>
      <c r="E1916" s="72"/>
      <c r="F1916" s="70"/>
      <c r="G1916" s="70" t="str">
        <f>IFERROR(VLOOKUP(A1916,[1]wms_iv_f!$A$1:$E$136,4,FALSE),"")</f>
        <v/>
      </c>
      <c r="H1916" s="95" t="str">
        <f>IFERROR(VLOOKUP(A1916,[2]wms_lc_f!$A$1:$B$156,2,FALSE),"")</f>
        <v/>
      </c>
    </row>
    <row r="1917" spans="1:8" hidden="1">
      <c r="A1917" s="71" t="str">
        <f>IFERROR(VLOOKUP(C1917,[3]wms_iv_f!$A$1:$D$135,2,FALSE),"")</f>
        <v/>
      </c>
      <c r="B1917" s="69" t="s">
        <v>2609</v>
      </c>
      <c r="C1917" s="70" t="s">
        <v>605</v>
      </c>
      <c r="D1917" s="70" t="s">
        <v>2614</v>
      </c>
      <c r="E1917" s="72"/>
      <c r="F1917" s="70"/>
      <c r="G1917" s="70" t="str">
        <f>IFERROR(VLOOKUP(A1917,[1]wms_iv_f!$A$1:$E$136,4,FALSE),"")</f>
        <v/>
      </c>
      <c r="H1917" s="95" t="str">
        <f>IFERROR(VLOOKUP(A1917,[2]wms_lc_f!$A$1:$B$156,2,FALSE),"")</f>
        <v/>
      </c>
    </row>
    <row r="1918" spans="1:8" hidden="1">
      <c r="A1918" s="71" t="str">
        <f>IFERROR(VLOOKUP(C1918,[3]wms_iv_f!$A$1:$D$135,2,FALSE),"")</f>
        <v/>
      </c>
      <c r="B1918" s="69" t="s">
        <v>2609</v>
      </c>
      <c r="C1918" s="70" t="s">
        <v>384</v>
      </c>
      <c r="D1918" s="70" t="s">
        <v>2614</v>
      </c>
      <c r="E1918" s="72"/>
      <c r="F1918" s="70"/>
      <c r="G1918" s="70" t="str">
        <f>IFERROR(VLOOKUP(A1918,[1]wms_iv_f!$A$1:$E$136,4,FALSE),"")</f>
        <v/>
      </c>
      <c r="H1918" s="95" t="str">
        <f>IFERROR(VLOOKUP(A1918,[2]wms_lc_f!$A$1:$B$156,2,FALSE),"")</f>
        <v/>
      </c>
    </row>
    <row r="1919" spans="1:8" hidden="1">
      <c r="A1919" s="71" t="str">
        <f>IFERROR(VLOOKUP(C1919,[3]wms_iv_f!$A$1:$D$135,2,FALSE),"")</f>
        <v/>
      </c>
      <c r="B1919" s="69" t="s">
        <v>2609</v>
      </c>
      <c r="C1919" s="70" t="s">
        <v>429</v>
      </c>
      <c r="D1919" s="70" t="s">
        <v>2614</v>
      </c>
      <c r="E1919" s="72"/>
      <c r="F1919" s="70"/>
      <c r="G1919" s="70" t="str">
        <f>IFERROR(VLOOKUP(A1919,[1]wms_iv_f!$A$1:$E$136,4,FALSE),"")</f>
        <v/>
      </c>
      <c r="H1919" s="95" t="str">
        <f>IFERROR(VLOOKUP(A1919,[2]wms_lc_f!$A$1:$B$156,2,FALSE),"")</f>
        <v/>
      </c>
    </row>
    <row r="1920" spans="1:8" hidden="1">
      <c r="A1920" s="71" t="str">
        <f>IFERROR(VLOOKUP(C1920,[3]wms_iv_f!$A$1:$D$135,2,FALSE),"")</f>
        <v/>
      </c>
      <c r="B1920" s="69" t="s">
        <v>2609</v>
      </c>
      <c r="C1920" s="70" t="s">
        <v>441</v>
      </c>
      <c r="D1920" s="70" t="s">
        <v>2614</v>
      </c>
      <c r="E1920" s="72"/>
      <c r="F1920" s="70"/>
      <c r="G1920" s="70" t="str">
        <f>IFERROR(VLOOKUP(A1920,[1]wms_iv_f!$A$1:$E$136,4,FALSE),"")</f>
        <v/>
      </c>
      <c r="H1920" s="95" t="str">
        <f>IFERROR(VLOOKUP(A1920,[2]wms_lc_f!$A$1:$B$156,2,FALSE),"")</f>
        <v/>
      </c>
    </row>
    <row r="1921" spans="1:8" hidden="1">
      <c r="A1921" s="71" t="str">
        <f>IFERROR(VLOOKUP(C1921,[3]wms_iv_f!$A$1:$D$135,2,FALSE),"")</f>
        <v/>
      </c>
      <c r="B1921" s="69" t="s">
        <v>2609</v>
      </c>
      <c r="C1921" s="70" t="s">
        <v>495</v>
      </c>
      <c r="D1921" s="70" t="s">
        <v>2614</v>
      </c>
      <c r="E1921" s="72"/>
      <c r="F1921" s="70"/>
      <c r="G1921" s="70" t="str">
        <f>IFERROR(VLOOKUP(A1921,[1]wms_iv_f!$A$1:$E$136,4,FALSE),"")</f>
        <v/>
      </c>
      <c r="H1921" s="95" t="str">
        <f>IFERROR(VLOOKUP(A1921,[2]wms_lc_f!$A$1:$B$156,2,FALSE),"")</f>
        <v/>
      </c>
    </row>
    <row r="1922" spans="1:8" hidden="1">
      <c r="A1922" s="71" t="str">
        <f>IFERROR(VLOOKUP(C1922,[3]wms_iv_f!$A$1:$D$135,2,FALSE),"")</f>
        <v/>
      </c>
      <c r="B1922" s="69" t="s">
        <v>2609</v>
      </c>
      <c r="C1922" s="70" t="s">
        <v>540</v>
      </c>
      <c r="D1922" s="70" t="s">
        <v>2614</v>
      </c>
      <c r="E1922" s="72"/>
      <c r="F1922" s="70"/>
      <c r="G1922" s="70" t="str">
        <f>IFERROR(VLOOKUP(A1922,[1]wms_iv_f!$A$1:$E$136,4,FALSE),"")</f>
        <v/>
      </c>
      <c r="H1922" s="95" t="str">
        <f>IFERROR(VLOOKUP(A1922,[2]wms_lc_f!$A$1:$B$156,2,FALSE),"")</f>
        <v/>
      </c>
    </row>
    <row r="1923" spans="1:8" hidden="1">
      <c r="A1923" s="71" t="str">
        <f>IFERROR(VLOOKUP(C1923,[3]wms_iv_f!$A$1:$D$135,2,FALSE),"")</f>
        <v/>
      </c>
      <c r="B1923" s="69" t="s">
        <v>2609</v>
      </c>
      <c r="C1923" s="70" t="s">
        <v>552</v>
      </c>
      <c r="D1923" s="70" t="s">
        <v>2614</v>
      </c>
      <c r="E1923" s="72"/>
      <c r="F1923" s="70"/>
      <c r="G1923" s="70" t="str">
        <f>IFERROR(VLOOKUP(A1923,[1]wms_iv_f!$A$1:$E$136,4,FALSE),"")</f>
        <v/>
      </c>
      <c r="H1923" s="95" t="str">
        <f>IFERROR(VLOOKUP(A1923,[2]wms_lc_f!$A$1:$B$156,2,FALSE),"")</f>
        <v/>
      </c>
    </row>
    <row r="1924" spans="1:8" hidden="1">
      <c r="A1924" s="71" t="str">
        <f>IFERROR(VLOOKUP(C1924,[3]wms_iv_f!$A$1:$D$135,2,FALSE),"")</f>
        <v/>
      </c>
      <c r="B1924" s="69" t="s">
        <v>2609</v>
      </c>
      <c r="C1924" s="70" t="s">
        <v>606</v>
      </c>
      <c r="D1924" s="70" t="s">
        <v>2614</v>
      </c>
      <c r="E1924" s="72"/>
      <c r="F1924" s="70"/>
      <c r="G1924" s="70" t="str">
        <f>IFERROR(VLOOKUP(A1924,[1]wms_iv_f!$A$1:$E$136,4,FALSE),"")</f>
        <v/>
      </c>
      <c r="H1924" s="95" t="str">
        <f>IFERROR(VLOOKUP(A1924,[2]wms_lc_f!$A$1:$B$156,2,FALSE),"")</f>
        <v/>
      </c>
    </row>
    <row r="1925" spans="1:8" hidden="1">
      <c r="A1925" s="71" t="str">
        <f>IFERROR(VLOOKUP(C1925,[3]wms_iv_f!$A$1:$D$135,2,FALSE),"")</f>
        <v/>
      </c>
      <c r="B1925" s="69" t="s">
        <v>2609</v>
      </c>
      <c r="C1925" s="70" t="s">
        <v>385</v>
      </c>
      <c r="D1925" s="70" t="s">
        <v>2614</v>
      </c>
      <c r="E1925" s="72"/>
      <c r="F1925" s="70"/>
      <c r="G1925" s="70" t="str">
        <f>IFERROR(VLOOKUP(A1925,[1]wms_iv_f!$A$1:$E$136,4,FALSE),"")</f>
        <v/>
      </c>
      <c r="H1925" s="95" t="str">
        <f>IFERROR(VLOOKUP(A1925,[2]wms_lc_f!$A$1:$B$156,2,FALSE),"")</f>
        <v/>
      </c>
    </row>
    <row r="1926" spans="1:8" hidden="1">
      <c r="A1926" s="71" t="str">
        <f>IFERROR(VLOOKUP(C1926,[3]wms_iv_f!$A$1:$D$135,2,FALSE),"")</f>
        <v/>
      </c>
      <c r="B1926" s="69" t="s">
        <v>2609</v>
      </c>
      <c r="C1926" s="70" t="s">
        <v>430</v>
      </c>
      <c r="D1926" s="70" t="s">
        <v>2614</v>
      </c>
      <c r="E1926" s="72"/>
      <c r="F1926" s="70"/>
      <c r="G1926" s="70" t="str">
        <f>IFERROR(VLOOKUP(A1926,[1]wms_iv_f!$A$1:$E$136,4,FALSE),"")</f>
        <v/>
      </c>
      <c r="H1926" s="95" t="str">
        <f>IFERROR(VLOOKUP(A1926,[2]wms_lc_f!$A$1:$B$156,2,FALSE),"")</f>
        <v/>
      </c>
    </row>
    <row r="1927" spans="1:8" hidden="1">
      <c r="A1927" s="71" t="str">
        <f>IFERROR(VLOOKUP(C1927,[3]wms_iv_f!$A$1:$D$135,2,FALSE),"")</f>
        <v/>
      </c>
      <c r="B1927" s="69" t="s">
        <v>2609</v>
      </c>
      <c r="C1927" s="70" t="s">
        <v>442</v>
      </c>
      <c r="D1927" s="70" t="s">
        <v>2614</v>
      </c>
      <c r="E1927" s="72"/>
      <c r="F1927" s="70"/>
      <c r="G1927" s="70" t="str">
        <f>IFERROR(VLOOKUP(A1927,[1]wms_iv_f!$A$1:$E$136,4,FALSE),"")</f>
        <v/>
      </c>
      <c r="H1927" s="95" t="str">
        <f>IFERROR(VLOOKUP(A1927,[2]wms_lc_f!$A$1:$B$156,2,FALSE),"")</f>
        <v/>
      </c>
    </row>
    <row r="1928" spans="1:8" hidden="1">
      <c r="A1928" s="69" t="str">
        <f>IFERROR(VLOOKUP(C1928,[3]wms_iv_f!$A$1:$D$135,2,FALSE),"")</f>
        <v/>
      </c>
      <c r="B1928" s="69" t="s">
        <v>2609</v>
      </c>
      <c r="C1928" s="70" t="s">
        <v>496</v>
      </c>
      <c r="D1928" s="70" t="s">
        <v>2614</v>
      </c>
      <c r="E1928" s="72"/>
      <c r="F1928" s="70"/>
      <c r="G1928" s="70" t="str">
        <f>IFERROR(VLOOKUP(A1928,[1]wms_iv_f!$A$1:$E$136,4,FALSE),"")</f>
        <v/>
      </c>
      <c r="H1928" s="95" t="str">
        <f>IFERROR(VLOOKUP(A1928,[2]wms_lc_f!$A$1:$B$156,2,FALSE),"")</f>
        <v/>
      </c>
    </row>
    <row r="1929" spans="1:8" hidden="1">
      <c r="A1929" s="69" t="str">
        <f>IFERROR(VLOOKUP(C1929,[3]wms_iv_f!$A$1:$D$135,2,FALSE),"")</f>
        <v/>
      </c>
      <c r="B1929" s="69" t="s">
        <v>2609</v>
      </c>
      <c r="C1929" s="70" t="s">
        <v>541</v>
      </c>
      <c r="D1929" s="70" t="s">
        <v>2614</v>
      </c>
      <c r="E1929" s="72"/>
      <c r="F1929" s="70"/>
      <c r="G1929" s="70" t="str">
        <f>IFERROR(VLOOKUP(A1929,[1]wms_iv_f!$A$1:$E$136,4,FALSE),"")</f>
        <v/>
      </c>
      <c r="H1929" s="95" t="str">
        <f>IFERROR(VLOOKUP(A1929,[2]wms_lc_f!$A$1:$B$156,2,FALSE),"")</f>
        <v/>
      </c>
    </row>
    <row r="1930" spans="1:8" hidden="1">
      <c r="A1930" s="69" t="str">
        <f>IFERROR(VLOOKUP(C1930,[3]wms_iv_f!$A$1:$D$135,2,FALSE),"")</f>
        <v/>
      </c>
      <c r="B1930" s="69" t="s">
        <v>2609</v>
      </c>
      <c r="C1930" s="70" t="s">
        <v>553</v>
      </c>
      <c r="D1930" s="70" t="s">
        <v>2614</v>
      </c>
      <c r="E1930" s="72"/>
      <c r="F1930" s="70"/>
      <c r="G1930" s="70" t="str">
        <f>IFERROR(VLOOKUP(A1930,[1]wms_iv_f!$A$1:$E$136,4,FALSE),"")</f>
        <v/>
      </c>
      <c r="H1930" s="95" t="str">
        <f>IFERROR(VLOOKUP(A1930,[2]wms_lc_f!$A$1:$B$156,2,FALSE),"")</f>
        <v/>
      </c>
    </row>
    <row r="1931" spans="1:8" hidden="1">
      <c r="A1931" s="69" t="str">
        <f>IFERROR(VLOOKUP(C1931,[3]wms_iv_f!$A$1:$D$135,2,FALSE),"")</f>
        <v/>
      </c>
      <c r="B1931" s="69" t="s">
        <v>2609</v>
      </c>
      <c r="C1931" s="70" t="s">
        <v>607</v>
      </c>
      <c r="D1931" s="70" t="s">
        <v>2614</v>
      </c>
      <c r="E1931" s="72"/>
      <c r="F1931" s="70"/>
      <c r="G1931" s="70" t="str">
        <f>IFERROR(VLOOKUP(A1931,[1]wms_iv_f!$A$1:$E$136,4,FALSE),"")</f>
        <v/>
      </c>
      <c r="H1931" s="95" t="str">
        <f>IFERROR(VLOOKUP(A1931,[2]wms_lc_f!$A$1:$B$156,2,FALSE),"")</f>
        <v/>
      </c>
    </row>
    <row r="1932" spans="1:8" hidden="1">
      <c r="A1932" s="69" t="str">
        <f>IFERROR(VLOOKUP(C1932,[3]wms_iv_f!$A$1:$D$135,2,FALSE),"")</f>
        <v/>
      </c>
      <c r="B1932" s="69" t="s">
        <v>2609</v>
      </c>
      <c r="C1932" s="70" t="s">
        <v>326</v>
      </c>
      <c r="D1932" s="70" t="s">
        <v>2614</v>
      </c>
      <c r="E1932" s="72"/>
      <c r="F1932" s="70"/>
      <c r="G1932" s="70" t="str">
        <f>IFERROR(VLOOKUP(A1932,[1]wms_iv_f!$A$1:$E$136,4,FALSE),"")</f>
        <v/>
      </c>
      <c r="H1932" s="95" t="str">
        <f>IFERROR(VLOOKUP(A1932,[2]wms_lc_f!$A$1:$B$156,2,FALSE),"")</f>
        <v/>
      </c>
    </row>
    <row r="1933" spans="1:8" hidden="1">
      <c r="A1933" s="69" t="str">
        <f>IFERROR(VLOOKUP(C1933,[3]wms_iv_f!$A$1:$D$135,2,FALSE),"")</f>
        <v/>
      </c>
      <c r="B1933" s="69" t="s">
        <v>2609</v>
      </c>
      <c r="C1933" s="70" t="s">
        <v>334</v>
      </c>
      <c r="D1933" s="70" t="s">
        <v>2614</v>
      </c>
      <c r="E1933" s="72"/>
      <c r="F1933" s="70"/>
      <c r="G1933" s="70" t="str">
        <f>IFERROR(VLOOKUP(A1933,[1]wms_iv_f!$A$1:$E$136,4,FALSE),"")</f>
        <v/>
      </c>
      <c r="H1933" s="95" t="str">
        <f>IFERROR(VLOOKUP(A1933,[2]wms_lc_f!$A$1:$B$156,2,FALSE),"")</f>
        <v/>
      </c>
    </row>
    <row r="1934" spans="1:8" hidden="1">
      <c r="A1934" s="69" t="str">
        <f>IFERROR(VLOOKUP(C1934,[3]wms_iv_f!$A$1:$D$135,2,FALSE),"")</f>
        <v/>
      </c>
      <c r="B1934" s="69" t="s">
        <v>2609</v>
      </c>
      <c r="C1934" s="70" t="s">
        <v>386</v>
      </c>
      <c r="D1934" s="70" t="s">
        <v>2614</v>
      </c>
      <c r="E1934" s="72"/>
      <c r="F1934" s="70"/>
      <c r="G1934" s="70" t="str">
        <f>IFERROR(VLOOKUP(A1934,[1]wms_iv_f!$A$1:$E$136,4,FALSE),"")</f>
        <v/>
      </c>
      <c r="H1934" s="95" t="str">
        <f>IFERROR(VLOOKUP(A1934,[2]wms_lc_f!$A$1:$B$156,2,FALSE),"")</f>
        <v/>
      </c>
    </row>
    <row r="1935" spans="1:8" hidden="1">
      <c r="A1935" s="69" t="str">
        <f>IFERROR(VLOOKUP(C1935,[3]wms_iv_f!$A$1:$D$135,2,FALSE),"")</f>
        <v/>
      </c>
      <c r="B1935" s="69" t="s">
        <v>2609</v>
      </c>
      <c r="C1935" s="70" t="s">
        <v>431</v>
      </c>
      <c r="D1935" s="70" t="s">
        <v>2614</v>
      </c>
      <c r="E1935" s="72"/>
      <c r="F1935" s="70"/>
      <c r="G1935" s="70" t="str">
        <f>IFERROR(VLOOKUP(A1935,[1]wms_iv_f!$A$1:$E$136,4,FALSE),"")</f>
        <v/>
      </c>
      <c r="H1935" s="95" t="str">
        <f>IFERROR(VLOOKUP(A1935,[2]wms_lc_f!$A$1:$B$156,2,FALSE),"")</f>
        <v/>
      </c>
    </row>
    <row r="1936" spans="1:8" hidden="1">
      <c r="A1936" s="69" t="str">
        <f>IFERROR(VLOOKUP(C1936,[3]wms_iv_f!$A$1:$D$135,2,FALSE),"")</f>
        <v/>
      </c>
      <c r="B1936" s="69" t="s">
        <v>2609</v>
      </c>
      <c r="C1936" s="70" t="s">
        <v>443</v>
      </c>
      <c r="D1936" s="70" t="s">
        <v>2614</v>
      </c>
      <c r="E1936" s="72"/>
      <c r="F1936" s="70"/>
      <c r="G1936" s="70" t="str">
        <f>IFERROR(VLOOKUP(A1936,[1]wms_iv_f!$A$1:$E$136,4,FALSE),"")</f>
        <v/>
      </c>
      <c r="H1936" s="95" t="str">
        <f>IFERROR(VLOOKUP(A1936,[2]wms_lc_f!$A$1:$B$156,2,FALSE),"")</f>
        <v/>
      </c>
    </row>
    <row r="1937" spans="1:8" hidden="1">
      <c r="A1937" s="69" t="str">
        <f>IFERROR(VLOOKUP(C1937,[3]wms_iv_f!$A$1:$D$135,2,FALSE),"")</f>
        <v/>
      </c>
      <c r="B1937" s="69" t="s">
        <v>2609</v>
      </c>
      <c r="C1937" s="70" t="s">
        <v>497</v>
      </c>
      <c r="D1937" s="70" t="s">
        <v>2614</v>
      </c>
      <c r="E1937" s="72"/>
      <c r="F1937" s="70"/>
      <c r="G1937" s="70" t="str">
        <f>IFERROR(VLOOKUP(A1937,[1]wms_iv_f!$A$1:$E$136,4,FALSE),"")</f>
        <v/>
      </c>
      <c r="H1937" s="95" t="str">
        <f>IFERROR(VLOOKUP(A1937,[2]wms_lc_f!$A$1:$B$156,2,FALSE),"")</f>
        <v/>
      </c>
    </row>
    <row r="1938" spans="1:8" hidden="1">
      <c r="A1938" s="69" t="str">
        <f>IFERROR(VLOOKUP(C1938,[3]wms_iv_f!$A$1:$D$135,2,FALSE),"")</f>
        <v/>
      </c>
      <c r="B1938" s="69" t="s">
        <v>2609</v>
      </c>
      <c r="C1938" s="70" t="s">
        <v>542</v>
      </c>
      <c r="D1938" s="70" t="s">
        <v>2614</v>
      </c>
      <c r="E1938" s="72"/>
      <c r="F1938" s="70"/>
      <c r="G1938" s="70" t="str">
        <f>IFERROR(VLOOKUP(A1938,[1]wms_iv_f!$A$1:$E$136,4,FALSE),"")</f>
        <v/>
      </c>
      <c r="H1938" s="95" t="str">
        <f>IFERROR(VLOOKUP(A1938,[2]wms_lc_f!$A$1:$B$156,2,FALSE),"")</f>
        <v/>
      </c>
    </row>
    <row r="1939" spans="1:8" hidden="1">
      <c r="A1939" s="69" t="str">
        <f>IFERROR(VLOOKUP(C1939,[3]wms_iv_f!$A$1:$D$135,2,FALSE),"")</f>
        <v/>
      </c>
      <c r="B1939" s="69" t="s">
        <v>2609</v>
      </c>
      <c r="C1939" s="70" t="s">
        <v>554</v>
      </c>
      <c r="D1939" s="70" t="s">
        <v>2614</v>
      </c>
      <c r="E1939" s="72"/>
      <c r="F1939" s="70"/>
      <c r="G1939" s="70" t="str">
        <f>IFERROR(VLOOKUP(A1939,[1]wms_iv_f!$A$1:$E$136,4,FALSE),"")</f>
        <v/>
      </c>
      <c r="H1939" s="95" t="str">
        <f>IFERROR(VLOOKUP(A1939,[2]wms_lc_f!$A$1:$B$156,2,FALSE),"")</f>
        <v/>
      </c>
    </row>
    <row r="1940" spans="1:8" hidden="1">
      <c r="A1940" s="69" t="str">
        <f>IFERROR(VLOOKUP(C1940,[3]wms_iv_f!$A$1:$D$135,2,FALSE),"")</f>
        <v/>
      </c>
      <c r="B1940" s="69" t="s">
        <v>2609</v>
      </c>
      <c r="C1940" s="70" t="s">
        <v>608</v>
      </c>
      <c r="D1940" s="70" t="s">
        <v>2614</v>
      </c>
      <c r="E1940" s="72"/>
      <c r="F1940" s="70"/>
      <c r="G1940" s="70" t="str">
        <f>IFERROR(VLOOKUP(A1940,[1]wms_iv_f!$A$1:$E$136,4,FALSE),"")</f>
        <v/>
      </c>
      <c r="H1940" s="95" t="str">
        <f>IFERROR(VLOOKUP(A1940,[2]wms_lc_f!$A$1:$B$156,2,FALSE),"")</f>
        <v/>
      </c>
    </row>
    <row r="1941" spans="1:8" hidden="1">
      <c r="A1941" s="69" t="str">
        <f>IFERROR(VLOOKUP(C1941,[3]wms_iv_f!$A$1:$D$135,2,FALSE),"")</f>
        <v/>
      </c>
      <c r="B1941" s="69" t="s">
        <v>2609</v>
      </c>
      <c r="C1941" s="70" t="s">
        <v>327</v>
      </c>
      <c r="D1941" s="70" t="s">
        <v>2614</v>
      </c>
      <c r="E1941" s="72"/>
      <c r="F1941" s="70"/>
      <c r="G1941" s="70" t="str">
        <f>IFERROR(VLOOKUP(A1941,[1]wms_iv_f!$A$1:$E$136,4,FALSE),"")</f>
        <v/>
      </c>
      <c r="H1941" s="95" t="str">
        <f>IFERROR(VLOOKUP(A1941,[2]wms_lc_f!$A$1:$B$156,2,FALSE),"")</f>
        <v/>
      </c>
    </row>
    <row r="1942" spans="1:8" hidden="1">
      <c r="A1942" s="69" t="str">
        <f>IFERROR(VLOOKUP(C1942,[3]wms_iv_f!$A$1:$D$135,2,FALSE),"")</f>
        <v/>
      </c>
      <c r="B1942" s="69" t="s">
        <v>2609</v>
      </c>
      <c r="C1942" s="70" t="s">
        <v>335</v>
      </c>
      <c r="D1942" s="70" t="s">
        <v>2614</v>
      </c>
      <c r="E1942" s="72"/>
      <c r="F1942" s="70"/>
      <c r="G1942" s="70" t="str">
        <f>IFERROR(VLOOKUP(A1942,[1]wms_iv_f!$A$1:$E$136,4,FALSE),"")</f>
        <v/>
      </c>
      <c r="H1942" s="95" t="str">
        <f>IFERROR(VLOOKUP(A1942,[2]wms_lc_f!$A$1:$B$156,2,FALSE),"")</f>
        <v/>
      </c>
    </row>
    <row r="1943" spans="1:8" hidden="1">
      <c r="A1943" s="69" t="str">
        <f>IFERROR(VLOOKUP(C1943,[3]wms_iv_f!$A$1:$D$135,2,FALSE),"")</f>
        <v/>
      </c>
      <c r="B1943" s="69" t="s">
        <v>2609</v>
      </c>
      <c r="C1943" s="70" t="s">
        <v>387</v>
      </c>
      <c r="D1943" s="70" t="s">
        <v>2614</v>
      </c>
      <c r="E1943" s="72"/>
      <c r="F1943" s="70"/>
      <c r="G1943" s="70" t="str">
        <f>IFERROR(VLOOKUP(A1943,[1]wms_iv_f!$A$1:$E$136,4,FALSE),"")</f>
        <v/>
      </c>
      <c r="H1943" s="95" t="str">
        <f>IFERROR(VLOOKUP(A1943,[2]wms_lc_f!$A$1:$B$156,2,FALSE),"")</f>
        <v/>
      </c>
    </row>
    <row r="1944" spans="1:8" hidden="1">
      <c r="A1944" s="69" t="str">
        <f>IFERROR(VLOOKUP(C1944,[3]wms_iv_f!$A$1:$D$135,2,FALSE),"")</f>
        <v/>
      </c>
      <c r="B1944" s="69" t="s">
        <v>2609</v>
      </c>
      <c r="C1944" s="70" t="s">
        <v>432</v>
      </c>
      <c r="D1944" s="70" t="s">
        <v>2614</v>
      </c>
      <c r="E1944" s="72"/>
      <c r="F1944" s="70"/>
      <c r="G1944" s="70" t="str">
        <f>IFERROR(VLOOKUP(A1944,[1]wms_iv_f!$A$1:$E$136,4,FALSE),"")</f>
        <v/>
      </c>
      <c r="H1944" s="95" t="str">
        <f>IFERROR(VLOOKUP(A1944,[2]wms_lc_f!$A$1:$B$156,2,FALSE),"")</f>
        <v/>
      </c>
    </row>
    <row r="1945" spans="1:8" hidden="1">
      <c r="A1945" s="69" t="str">
        <f>IFERROR(VLOOKUP(C1945,[3]wms_iv_f!$A$1:$D$135,2,FALSE),"")</f>
        <v/>
      </c>
      <c r="B1945" s="69" t="s">
        <v>2609</v>
      </c>
      <c r="C1945" s="70" t="s">
        <v>444</v>
      </c>
      <c r="D1945" s="70" t="s">
        <v>2614</v>
      </c>
      <c r="E1945" s="72"/>
      <c r="F1945" s="70"/>
      <c r="G1945" s="70" t="str">
        <f>IFERROR(VLOOKUP(A1945,[1]wms_iv_f!$A$1:$E$136,4,FALSE),"")</f>
        <v/>
      </c>
      <c r="H1945" s="95" t="str">
        <f>IFERROR(VLOOKUP(A1945,[2]wms_lc_f!$A$1:$B$156,2,FALSE),"")</f>
        <v/>
      </c>
    </row>
    <row r="1946" spans="1:8" hidden="1">
      <c r="A1946" s="68" t="str">
        <f>IFERROR(VLOOKUP(C1946,[3]wms_iv_f!$A$1:$D$135,2,FALSE),"")</f>
        <v/>
      </c>
      <c r="B1946" s="69" t="s">
        <v>2609</v>
      </c>
      <c r="C1946" s="76" t="s">
        <v>498</v>
      </c>
      <c r="D1946" s="76" t="s">
        <v>2614</v>
      </c>
      <c r="E1946" s="80"/>
      <c r="F1946" s="70"/>
      <c r="G1946" s="70" t="str">
        <f>IFERROR(VLOOKUP(A1946,[1]wms_iv_f!$A$1:$E$136,4,FALSE),"")</f>
        <v/>
      </c>
      <c r="H1946" s="95" t="str">
        <f>IFERROR(VLOOKUP(A1946,[2]wms_lc_f!$A$1:$B$156,2,FALSE),"")</f>
        <v/>
      </c>
    </row>
    <row r="1947" spans="1:8" hidden="1">
      <c r="A1947" s="71" t="str">
        <f>IFERROR(VLOOKUP(C1947,[3]wms_iv_f!$A$1:$D$135,2,FALSE),"")</f>
        <v/>
      </c>
      <c r="B1947" s="69" t="s">
        <v>2609</v>
      </c>
      <c r="C1947" s="70" t="s">
        <v>543</v>
      </c>
      <c r="D1947" s="70" t="s">
        <v>2614</v>
      </c>
      <c r="E1947" s="72"/>
      <c r="F1947" s="70"/>
      <c r="G1947" s="70" t="str">
        <f>IFERROR(VLOOKUP(A1947,[1]wms_iv_f!$A$1:$E$136,4,FALSE),"")</f>
        <v/>
      </c>
      <c r="H1947" s="95" t="str">
        <f>IFERROR(VLOOKUP(A1947,[2]wms_lc_f!$A$1:$B$156,2,FALSE),"")</f>
        <v/>
      </c>
    </row>
    <row r="1948" spans="1:8" hidden="1">
      <c r="A1948" s="71" t="str">
        <f>IFERROR(VLOOKUP(C1948,[3]wms_iv_f!$A$1:$D$135,2,FALSE),"")</f>
        <v/>
      </c>
      <c r="B1948" s="69" t="s">
        <v>2609</v>
      </c>
      <c r="C1948" s="70" t="s">
        <v>555</v>
      </c>
      <c r="D1948" s="70" t="s">
        <v>2614</v>
      </c>
      <c r="E1948" s="72"/>
      <c r="F1948" s="70"/>
      <c r="G1948" s="70" t="str">
        <f>IFERROR(VLOOKUP(A1948,[1]wms_iv_f!$A$1:$E$136,4,FALSE),"")</f>
        <v/>
      </c>
      <c r="H1948" s="95" t="str">
        <f>IFERROR(VLOOKUP(A1948,[2]wms_lc_f!$A$1:$B$156,2,FALSE),"")</f>
        <v/>
      </c>
    </row>
    <row r="1949" spans="1:8" hidden="1">
      <c r="A1949" s="71" t="str">
        <f>IFERROR(VLOOKUP(C1949,[3]wms_iv_f!$A$1:$D$135,2,FALSE),"")</f>
        <v/>
      </c>
      <c r="B1949" s="69" t="s">
        <v>2609</v>
      </c>
      <c r="C1949" s="70" t="s">
        <v>609</v>
      </c>
      <c r="D1949" s="70" t="s">
        <v>2614</v>
      </c>
      <c r="E1949" s="72"/>
      <c r="F1949" s="70"/>
      <c r="G1949" s="70" t="str">
        <f>IFERROR(VLOOKUP(A1949,[1]wms_iv_f!$A$1:$E$136,4,FALSE),"")</f>
        <v/>
      </c>
      <c r="H1949" s="95" t="str">
        <f>IFERROR(VLOOKUP(A1949,[2]wms_lc_f!$A$1:$B$156,2,FALSE),"")</f>
        <v/>
      </c>
    </row>
    <row r="1950" spans="1:8" hidden="1">
      <c r="A1950" s="71">
        <v>65257</v>
      </c>
      <c r="B1950" s="69" t="s">
        <v>2613</v>
      </c>
      <c r="C1950" s="70" t="s">
        <v>979</v>
      </c>
      <c r="D1950" s="70" t="s">
        <v>2614</v>
      </c>
      <c r="E1950" s="70"/>
      <c r="F1950" s="70"/>
      <c r="G1950" s="70" t="str">
        <f>IFERROR(VLOOKUP(A1950,[1]wms_iv_f!$A$1:$E$136,4,FALSE),"")</f>
        <v/>
      </c>
      <c r="H1950" s="95" t="str">
        <f>IFERROR(VLOOKUP(A1950,[2]wms_lc_f!$A$1:$B$156,2,FALSE),"")</f>
        <v/>
      </c>
    </row>
    <row r="1951" spans="1:8" hidden="1">
      <c r="A1951" s="71">
        <v>11118</v>
      </c>
      <c r="B1951" s="69" t="s">
        <v>2613</v>
      </c>
      <c r="C1951" s="70" t="s">
        <v>987</v>
      </c>
      <c r="D1951" s="70" t="s">
        <v>2614</v>
      </c>
      <c r="E1951" s="70"/>
      <c r="F1951" s="70"/>
      <c r="G1951" s="70" t="str">
        <f>IFERROR(VLOOKUP(A1951,[1]wms_iv_f!$A$1:$E$136,4,FALSE),"")</f>
        <v/>
      </c>
      <c r="H1951" s="95" t="str">
        <f>IFERROR(VLOOKUP(A1951,[2]wms_lc_f!$A$1:$B$156,2,FALSE),"")</f>
        <v/>
      </c>
    </row>
    <row r="1952" spans="1:8" hidden="1">
      <c r="A1952" s="71">
        <v>78475</v>
      </c>
      <c r="B1952" s="69" t="s">
        <v>2613</v>
      </c>
      <c r="C1952" s="70" t="s">
        <v>1035</v>
      </c>
      <c r="D1952" s="70" t="s">
        <v>2614</v>
      </c>
      <c r="E1952" s="70"/>
      <c r="F1952" s="70"/>
      <c r="G1952" s="70" t="str">
        <f>IFERROR(VLOOKUP(A1952,[1]wms_iv_f!$A$1:$E$136,4,FALSE),"")</f>
        <v/>
      </c>
      <c r="H1952" s="95" t="str">
        <f>IFERROR(VLOOKUP(A1952,[2]wms_lc_f!$A$1:$B$156,2,FALSE),"")</f>
        <v/>
      </c>
    </row>
    <row r="1953" spans="1:8" hidden="1">
      <c r="A1953" s="71">
        <v>12645</v>
      </c>
      <c r="B1953" s="69" t="s">
        <v>2613</v>
      </c>
      <c r="C1953" s="70" t="s">
        <v>1089</v>
      </c>
      <c r="D1953" s="70" t="s">
        <v>2614</v>
      </c>
      <c r="E1953" s="70"/>
      <c r="F1953" s="70"/>
      <c r="G1953" s="70" t="str">
        <f>IFERROR(VLOOKUP(A1953,[1]wms_iv_f!$A$1:$E$136,4,FALSE),"")</f>
        <v/>
      </c>
      <c r="H1953" s="95" t="str">
        <f>IFERROR(VLOOKUP(A1953,[2]wms_lc_f!$A$1:$B$156,2,FALSE),"")</f>
        <v/>
      </c>
    </row>
    <row r="1954" spans="1:8" hidden="1">
      <c r="A1954" s="71">
        <v>13576</v>
      </c>
      <c r="B1954" s="69" t="s">
        <v>2613</v>
      </c>
      <c r="C1954" s="70" t="s">
        <v>1101</v>
      </c>
      <c r="D1954" s="70" t="s">
        <v>2614</v>
      </c>
      <c r="E1954" s="70"/>
      <c r="F1954" s="70"/>
      <c r="G1954" s="70" t="str">
        <f>IFERROR(VLOOKUP(A1954,[1]wms_iv_f!$A$1:$E$136,4,FALSE),"")</f>
        <v/>
      </c>
      <c r="H1954" s="95" t="str">
        <f>IFERROR(VLOOKUP(A1954,[2]wms_lc_f!$A$1:$B$156,2,FALSE),"")</f>
        <v/>
      </c>
    </row>
    <row r="1955" spans="1:8" hidden="1">
      <c r="A1955" s="71">
        <v>89400</v>
      </c>
      <c r="B1955" s="69" t="s">
        <v>2613</v>
      </c>
      <c r="C1955" s="70" t="s">
        <v>1149</v>
      </c>
      <c r="D1955" s="70" t="s">
        <v>2614</v>
      </c>
      <c r="E1955" s="70"/>
      <c r="F1955" s="70"/>
      <c r="G1955" s="70" t="str">
        <f>IFERROR(VLOOKUP(A1955,[1]wms_iv_f!$A$1:$E$136,4,FALSE),"")</f>
        <v/>
      </c>
      <c r="H1955" s="95" t="str">
        <f>IFERROR(VLOOKUP(A1955,[2]wms_lc_f!$A$1:$B$156,2,FALSE),"")</f>
        <v/>
      </c>
    </row>
    <row r="1956" spans="1:8" hidden="1">
      <c r="A1956" s="71">
        <v>47658</v>
      </c>
      <c r="B1956" s="69" t="s">
        <v>2613</v>
      </c>
      <c r="C1956" s="70" t="s">
        <v>1203</v>
      </c>
      <c r="D1956" s="70" t="s">
        <v>2614</v>
      </c>
      <c r="E1956" s="70"/>
      <c r="F1956" s="70"/>
      <c r="G1956" s="70" t="str">
        <f>IFERROR(VLOOKUP(A1956,[1]wms_iv_f!$A$1:$E$136,4,FALSE),"")</f>
        <v/>
      </c>
      <c r="H1956" s="95" t="str">
        <f>IFERROR(VLOOKUP(A1956,[2]wms_lc_f!$A$1:$B$156,2,FALSE),"")</f>
        <v/>
      </c>
    </row>
    <row r="1957" spans="1:8" hidden="1">
      <c r="A1957" s="71">
        <v>115041</v>
      </c>
      <c r="B1957" s="69" t="s">
        <v>2613</v>
      </c>
      <c r="C1957" s="70" t="s">
        <v>1215</v>
      </c>
      <c r="D1957" s="70" t="s">
        <v>2614</v>
      </c>
      <c r="E1957" s="70"/>
      <c r="F1957" s="70"/>
      <c r="G1957" s="70" t="str">
        <f>IFERROR(VLOOKUP(A1957,[1]wms_iv_f!$A$1:$E$136,4,FALSE),"")</f>
        <v/>
      </c>
      <c r="H1957" s="95" t="str">
        <f>IFERROR(VLOOKUP(A1957,[2]wms_lc_f!$A$1:$B$156,2,FALSE),"")</f>
        <v/>
      </c>
    </row>
    <row r="1958" spans="1:8" hidden="1">
      <c r="A1958" s="71">
        <v>110040</v>
      </c>
      <c r="B1958" s="69" t="s">
        <v>2613</v>
      </c>
      <c r="C1958" s="70" t="s">
        <v>1263</v>
      </c>
      <c r="D1958" s="70" t="s">
        <v>2614</v>
      </c>
      <c r="E1958" s="70"/>
      <c r="F1958" s="70"/>
      <c r="G1958" s="70" t="str">
        <f>IFERROR(VLOOKUP(A1958,[1]wms_iv_f!$A$1:$E$136,4,FALSE),"")</f>
        <v/>
      </c>
      <c r="H1958" s="95" t="str">
        <f>IFERROR(VLOOKUP(A1958,[2]wms_lc_f!$A$1:$B$156,2,FALSE),"")</f>
        <v/>
      </c>
    </row>
    <row r="1959" spans="1:8" hidden="1">
      <c r="A1959" s="71">
        <v>105034</v>
      </c>
      <c r="B1959" s="69" t="s">
        <v>2613</v>
      </c>
      <c r="C1959" s="70" t="s">
        <v>980</v>
      </c>
      <c r="D1959" s="70" t="s">
        <v>2614</v>
      </c>
      <c r="E1959" s="70"/>
      <c r="F1959" s="70"/>
      <c r="G1959" s="70" t="str">
        <f>IFERROR(VLOOKUP(A1959,[1]wms_iv_f!$A$1:$E$136,4,FALSE),"")</f>
        <v/>
      </c>
      <c r="H1959" s="95" t="str">
        <f>IFERROR(VLOOKUP(A1959,[2]wms_lc_f!$A$1:$B$156,2,FALSE),"")</f>
        <v/>
      </c>
    </row>
    <row r="1960" spans="1:8" hidden="1">
      <c r="A1960" s="71">
        <v>109790</v>
      </c>
      <c r="B1960" s="69" t="s">
        <v>2613</v>
      </c>
      <c r="C1960" s="70" t="s">
        <v>988</v>
      </c>
      <c r="D1960" s="70" t="s">
        <v>2614</v>
      </c>
      <c r="E1960" s="70"/>
      <c r="F1960" s="70"/>
      <c r="G1960" s="70" t="str">
        <f>IFERROR(VLOOKUP(A1960,[1]wms_iv_f!$A$1:$E$136,4,FALSE),"")</f>
        <v/>
      </c>
      <c r="H1960" s="95" t="str">
        <f>IFERROR(VLOOKUP(A1960,[2]wms_lc_f!$A$1:$B$156,2,FALSE),"")</f>
        <v/>
      </c>
    </row>
    <row r="1961" spans="1:8" hidden="1">
      <c r="A1961" s="71">
        <v>9339</v>
      </c>
      <c r="B1961" s="69" t="s">
        <v>2613</v>
      </c>
      <c r="C1961" s="70" t="s">
        <v>1036</v>
      </c>
      <c r="D1961" s="70" t="s">
        <v>2614</v>
      </c>
      <c r="E1961" s="70"/>
      <c r="F1961" s="70"/>
      <c r="G1961" s="70" t="str">
        <f>IFERROR(VLOOKUP(A1961,[1]wms_iv_f!$A$1:$E$136,4,FALSE),"")</f>
        <v/>
      </c>
      <c r="H1961" s="95" t="str">
        <f>IFERROR(VLOOKUP(A1961,[2]wms_lc_f!$A$1:$B$156,2,FALSE),"")</f>
        <v/>
      </c>
    </row>
    <row r="1962" spans="1:8" hidden="1">
      <c r="A1962" s="71">
        <v>157092</v>
      </c>
      <c r="B1962" s="69" t="s">
        <v>2613</v>
      </c>
      <c r="C1962" s="70" t="s">
        <v>1090</v>
      </c>
      <c r="D1962" s="70" t="s">
        <v>2614</v>
      </c>
      <c r="E1962" s="70"/>
      <c r="F1962" s="70"/>
      <c r="G1962" s="70" t="str">
        <f>IFERROR(VLOOKUP(A1962,[1]wms_iv_f!$A$1:$E$136,4,FALSE),"")</f>
        <v/>
      </c>
      <c r="H1962" s="95" t="str">
        <f>IFERROR(VLOOKUP(A1962,[2]wms_lc_f!$A$1:$B$156,2,FALSE),"")</f>
        <v/>
      </c>
    </row>
    <row r="1963" spans="1:8" hidden="1">
      <c r="A1963" s="73">
        <v>10451</v>
      </c>
      <c r="B1963" s="69" t="s">
        <v>2613</v>
      </c>
      <c r="C1963" s="74" t="s">
        <v>1102</v>
      </c>
      <c r="D1963" s="74" t="s">
        <v>2614</v>
      </c>
      <c r="E1963" s="74"/>
      <c r="F1963" s="70"/>
      <c r="G1963" s="70" t="str">
        <f>IFERROR(VLOOKUP(A1963,[1]wms_iv_f!$A$1:$E$136,4,FALSE),"")</f>
        <v/>
      </c>
      <c r="H1963" s="95" t="str">
        <f>IFERROR(VLOOKUP(A1963,[2]wms_lc_f!$A$1:$B$156,2,FALSE),"")</f>
        <v/>
      </c>
    </row>
    <row r="1964" spans="1:8" hidden="1">
      <c r="A1964" s="69">
        <v>116204</v>
      </c>
      <c r="B1964" s="69" t="s">
        <v>2613</v>
      </c>
      <c r="C1964" s="70" t="s">
        <v>1150</v>
      </c>
      <c r="D1964" s="70" t="s">
        <v>2614</v>
      </c>
      <c r="E1964" s="70"/>
      <c r="F1964" s="70"/>
      <c r="G1964" s="70" t="str">
        <f>IFERROR(VLOOKUP(A1964,[1]wms_iv_f!$A$1:$E$136,4,FALSE),"")</f>
        <v/>
      </c>
      <c r="H1964" s="95" t="str">
        <f>IFERROR(VLOOKUP(A1964,[2]wms_lc_f!$A$1:$B$156,2,FALSE),"")</f>
        <v/>
      </c>
    </row>
    <row r="1965" spans="1:8" hidden="1">
      <c r="A1965" s="69">
        <v>104614</v>
      </c>
      <c r="B1965" s="69" t="s">
        <v>2613</v>
      </c>
      <c r="C1965" s="70" t="s">
        <v>1204</v>
      </c>
      <c r="D1965" s="70" t="s">
        <v>2614</v>
      </c>
      <c r="E1965" s="70"/>
      <c r="F1965" s="70"/>
      <c r="G1965" s="70" t="str">
        <f>IFERROR(VLOOKUP(A1965,[1]wms_iv_f!$A$1:$E$136,4,FALSE),"")</f>
        <v/>
      </c>
      <c r="H1965" s="95" t="str">
        <f>IFERROR(VLOOKUP(A1965,[2]wms_lc_f!$A$1:$B$156,2,FALSE),"")</f>
        <v/>
      </c>
    </row>
    <row r="1966" spans="1:8" hidden="1">
      <c r="A1966" s="69">
        <v>7399</v>
      </c>
      <c r="B1966" s="69" t="s">
        <v>2613</v>
      </c>
      <c r="C1966" s="70" t="s">
        <v>1216</v>
      </c>
      <c r="D1966" s="70" t="s">
        <v>2614</v>
      </c>
      <c r="E1966" s="70"/>
      <c r="F1966" s="70"/>
      <c r="G1966" s="70" t="str">
        <f>IFERROR(VLOOKUP(A1966,[1]wms_iv_f!$A$1:$E$136,4,FALSE),"")</f>
        <v/>
      </c>
      <c r="H1966" s="95" t="str">
        <f>IFERROR(VLOOKUP(A1966,[2]wms_lc_f!$A$1:$B$156,2,FALSE),"")</f>
        <v/>
      </c>
    </row>
    <row r="1967" spans="1:8" hidden="1">
      <c r="A1967" s="69">
        <v>97053</v>
      </c>
      <c r="B1967" s="69" t="s">
        <v>2613</v>
      </c>
      <c r="C1967" s="70" t="s">
        <v>1264</v>
      </c>
      <c r="D1967" s="70" t="s">
        <v>2614</v>
      </c>
      <c r="E1967" s="70"/>
      <c r="F1967" s="70"/>
      <c r="G1967" s="70" t="str">
        <f>IFERROR(VLOOKUP(A1967,[1]wms_iv_f!$A$1:$E$136,4,FALSE),"")</f>
        <v/>
      </c>
      <c r="H1967" s="95" t="str">
        <f>IFERROR(VLOOKUP(A1967,[2]wms_lc_f!$A$1:$B$156,2,FALSE),"")</f>
        <v/>
      </c>
    </row>
    <row r="1968" spans="1:8" hidden="1">
      <c r="A1968" s="69">
        <v>35148</v>
      </c>
      <c r="B1968" s="69" t="s">
        <v>2613</v>
      </c>
      <c r="C1968" s="70" t="s">
        <v>1155</v>
      </c>
      <c r="D1968" s="70" t="s">
        <v>2610</v>
      </c>
      <c r="E1968" s="72"/>
      <c r="F1968" s="70" t="s">
        <v>2612</v>
      </c>
      <c r="G1968" s="70" t="str">
        <f>IFERROR(VLOOKUP(A1968,[1]wms_iv_f!$A$1:$E$136,4,FALSE),"")</f>
        <v/>
      </c>
      <c r="H1968" s="95" t="str">
        <f>IFERROR(VLOOKUP(A1968,[2]wms_lc_f!$A$1:$B$156,2,FALSE),"")</f>
        <v/>
      </c>
    </row>
    <row r="1969" spans="1:8" hidden="1">
      <c r="A1969" s="69">
        <v>63150</v>
      </c>
      <c r="B1969" s="69" t="s">
        <v>2613</v>
      </c>
      <c r="C1969" s="70" t="s">
        <v>1269</v>
      </c>
      <c r="D1969" s="70" t="s">
        <v>2610</v>
      </c>
      <c r="E1969" s="72"/>
      <c r="F1969" s="70"/>
      <c r="G1969" s="70" t="str">
        <f>IFERROR(VLOOKUP(A1969,[1]wms_iv_f!$A$1:$E$136,4,FALSE),"")</f>
        <v/>
      </c>
      <c r="H1969" s="95" t="str">
        <f>IFERROR(VLOOKUP(A1969,[2]wms_lc_f!$A$1:$B$156,2,FALSE),"")</f>
        <v/>
      </c>
    </row>
    <row r="1970" spans="1:8" hidden="1">
      <c r="A1970" s="69">
        <v>35286</v>
      </c>
      <c r="B1970" s="69" t="s">
        <v>2613</v>
      </c>
      <c r="C1970" s="70" t="s">
        <v>1158</v>
      </c>
      <c r="D1970" s="70" t="s">
        <v>2610</v>
      </c>
      <c r="E1970" s="72"/>
      <c r="F1970" s="70" t="s">
        <v>2612</v>
      </c>
      <c r="G1970" s="70" t="str">
        <f>IFERROR(VLOOKUP(A1970,[1]wms_iv_f!$A$1:$E$136,4,FALSE),"")</f>
        <v/>
      </c>
      <c r="H1970" s="95" t="str">
        <f>IFERROR(VLOOKUP(A1970,[2]wms_lc_f!$A$1:$B$156,2,FALSE),"")</f>
        <v/>
      </c>
    </row>
    <row r="1971" spans="1:8" hidden="1">
      <c r="A1971" s="69">
        <v>110451</v>
      </c>
      <c r="B1971" s="69" t="s">
        <v>2613</v>
      </c>
      <c r="C1971" s="70" t="s">
        <v>1161</v>
      </c>
      <c r="D1971" s="70" t="s">
        <v>2610</v>
      </c>
      <c r="E1971" s="72"/>
      <c r="F1971" s="70" t="s">
        <v>2612</v>
      </c>
      <c r="G1971" s="70" t="str">
        <f>IFERROR(VLOOKUP(A1971,[1]wms_iv_f!$A$1:$E$136,4,FALSE),"")</f>
        <v/>
      </c>
      <c r="H1971" s="95" t="str">
        <f>IFERROR(VLOOKUP(A1971,[2]wms_lc_f!$A$1:$B$156,2,FALSE),"")</f>
        <v/>
      </c>
    </row>
    <row r="1972" spans="1:8" hidden="1">
      <c r="A1972" s="69">
        <v>133946</v>
      </c>
      <c r="B1972" s="69" t="s">
        <v>2613</v>
      </c>
      <c r="C1972" s="70" t="s">
        <v>1273</v>
      </c>
      <c r="D1972" s="70" t="s">
        <v>2610</v>
      </c>
      <c r="E1972" s="72"/>
      <c r="F1972" s="70"/>
      <c r="G1972" s="70" t="str">
        <f>IFERROR(VLOOKUP(A1972,[1]wms_iv_f!$A$1:$E$136,4,FALSE),"")</f>
        <v/>
      </c>
      <c r="H1972" s="95" t="str">
        <f>IFERROR(VLOOKUP(A1972,[2]wms_lc_f!$A$1:$B$156,2,FALSE),"")</f>
        <v/>
      </c>
    </row>
    <row r="1973" spans="1:8" hidden="1">
      <c r="A1973" s="69">
        <v>124946</v>
      </c>
      <c r="B1973" s="69" t="s">
        <v>2613</v>
      </c>
      <c r="C1973" s="70" t="s">
        <v>1276</v>
      </c>
      <c r="D1973" s="70" t="s">
        <v>2610</v>
      </c>
      <c r="E1973" s="72"/>
      <c r="F1973" s="70"/>
      <c r="G1973" s="70" t="str">
        <f>IFERROR(VLOOKUP(A1973,[1]wms_iv_f!$A$1:$E$136,4,FALSE),"")</f>
        <v/>
      </c>
      <c r="H1973" s="95" t="str">
        <f>IFERROR(VLOOKUP(A1973,[2]wms_lc_f!$A$1:$B$156,2,FALSE),"")</f>
        <v/>
      </c>
    </row>
    <row r="1974" spans="1:8" hidden="1">
      <c r="A1974" s="69">
        <v>28410</v>
      </c>
      <c r="B1974" s="69" t="s">
        <v>2613</v>
      </c>
      <c r="C1974" s="70" t="s">
        <v>1280</v>
      </c>
      <c r="D1974" s="70" t="s">
        <v>2610</v>
      </c>
      <c r="E1974" s="72"/>
      <c r="F1974" s="70"/>
      <c r="G1974" s="70" t="str">
        <f>IFERROR(VLOOKUP(A1974,[1]wms_iv_f!$A$1:$E$136,4,FALSE),"")</f>
        <v/>
      </c>
      <c r="H1974" s="95" t="str">
        <f>IFERROR(VLOOKUP(A1974,[2]wms_lc_f!$A$1:$B$156,2,FALSE),"")</f>
        <v/>
      </c>
    </row>
    <row r="1975" spans="1:8" hidden="1">
      <c r="A1975" s="69">
        <v>58278</v>
      </c>
      <c r="B1975" s="69" t="s">
        <v>2613</v>
      </c>
      <c r="C1975" s="70" t="s">
        <v>691</v>
      </c>
      <c r="D1975" s="70" t="s">
        <v>2614</v>
      </c>
      <c r="E1975" s="70"/>
      <c r="F1975" s="70"/>
      <c r="G1975" s="70" t="str">
        <f>IFERROR(VLOOKUP(A1975,[1]wms_iv_f!$A$1:$E$136,4,FALSE),"")</f>
        <v/>
      </c>
      <c r="H1975" s="95" t="str">
        <f>IFERROR(VLOOKUP(A1975,[2]wms_lc_f!$A$1:$B$156,2,FALSE),"")</f>
        <v/>
      </c>
    </row>
    <row r="1976" spans="1:8" hidden="1">
      <c r="A1976" s="69">
        <v>28560</v>
      </c>
      <c r="B1976" s="69" t="s">
        <v>2613</v>
      </c>
      <c r="C1976" s="70" t="s">
        <v>741</v>
      </c>
      <c r="D1976" s="70" t="s">
        <v>2614</v>
      </c>
      <c r="E1976" s="70"/>
      <c r="F1976" s="70"/>
      <c r="G1976" s="70" t="str">
        <f>IFERROR(VLOOKUP(A1976,[1]wms_iv_f!$A$1:$E$136,4,FALSE),"")</f>
        <v/>
      </c>
      <c r="H1976" s="95" t="str">
        <f>IFERROR(VLOOKUP(A1976,[2]wms_lc_f!$A$1:$B$156,2,FALSE),"")</f>
        <v/>
      </c>
    </row>
    <row r="1977" spans="1:8" hidden="1">
      <c r="A1977" s="69">
        <v>58568</v>
      </c>
      <c r="B1977" s="69" t="s">
        <v>2613</v>
      </c>
      <c r="C1977" s="70" t="s">
        <v>753</v>
      </c>
      <c r="D1977" s="70" t="s">
        <v>2614</v>
      </c>
      <c r="E1977" s="70"/>
      <c r="F1977" s="70"/>
      <c r="G1977" s="70" t="str">
        <f>IFERROR(VLOOKUP(A1977,[1]wms_iv_f!$A$1:$E$136,4,FALSE),"")</f>
        <v/>
      </c>
      <c r="H1977" s="95" t="str">
        <f>IFERROR(VLOOKUP(A1977,[2]wms_lc_f!$A$1:$B$156,2,FALSE),"")</f>
        <v/>
      </c>
    </row>
    <row r="1978" spans="1:8" hidden="1">
      <c r="A1978" s="69">
        <v>73353</v>
      </c>
      <c r="B1978" s="69" t="s">
        <v>2613</v>
      </c>
      <c r="C1978" s="70" t="s">
        <v>800</v>
      </c>
      <c r="D1978" s="70" t="s">
        <v>2614</v>
      </c>
      <c r="E1978" s="70"/>
      <c r="F1978" s="70"/>
      <c r="G1978" s="70" t="str">
        <f>IFERROR(VLOOKUP(A1978,[1]wms_iv_f!$A$1:$E$136,4,FALSE),"")</f>
        <v/>
      </c>
      <c r="H1978" s="95" t="str">
        <f>IFERROR(VLOOKUP(A1978,[2]wms_lc_f!$A$1:$B$156,2,FALSE),"")</f>
        <v/>
      </c>
    </row>
    <row r="1979" spans="1:8" hidden="1">
      <c r="A1979" s="69">
        <v>61250</v>
      </c>
      <c r="B1979" s="69" t="s">
        <v>2613</v>
      </c>
      <c r="C1979" s="70" t="s">
        <v>850</v>
      </c>
      <c r="D1979" s="70" t="s">
        <v>2614</v>
      </c>
      <c r="E1979" s="70"/>
      <c r="F1979" s="70"/>
      <c r="G1979" s="70" t="str">
        <f>IFERROR(VLOOKUP(A1979,[1]wms_iv_f!$A$1:$E$136,4,FALSE),"")</f>
        <v/>
      </c>
      <c r="H1979" s="95" t="str">
        <f>IFERROR(VLOOKUP(A1979,[2]wms_lc_f!$A$1:$B$156,2,FALSE),"")</f>
        <v/>
      </c>
    </row>
    <row r="1980" spans="1:8" hidden="1">
      <c r="A1980" s="69">
        <v>62556</v>
      </c>
      <c r="B1980" s="69" t="s">
        <v>2613</v>
      </c>
      <c r="C1980" s="70" t="s">
        <v>862</v>
      </c>
      <c r="D1980" s="70" t="s">
        <v>2614</v>
      </c>
      <c r="E1980" s="70"/>
      <c r="F1980" s="70"/>
      <c r="G1980" s="70" t="str">
        <f>IFERROR(VLOOKUP(A1980,[1]wms_iv_f!$A$1:$E$136,4,FALSE),"")</f>
        <v/>
      </c>
      <c r="H1980" s="95" t="str">
        <f>IFERROR(VLOOKUP(A1980,[2]wms_lc_f!$A$1:$B$156,2,FALSE),"")</f>
        <v/>
      </c>
    </row>
    <row r="1981" spans="1:8" hidden="1">
      <c r="A1981" s="69">
        <v>35258</v>
      </c>
      <c r="B1981" s="69" t="s">
        <v>2613</v>
      </c>
      <c r="C1981" s="70" t="s">
        <v>909</v>
      </c>
      <c r="D1981" s="70" t="s">
        <v>2614</v>
      </c>
      <c r="E1981" s="70"/>
      <c r="F1981" s="70"/>
      <c r="G1981" s="70" t="str">
        <f>IFERROR(VLOOKUP(A1981,[1]wms_iv_f!$A$1:$E$136,4,FALSE),"")</f>
        <v/>
      </c>
      <c r="H1981" s="95" t="str">
        <f>IFERROR(VLOOKUP(A1981,[2]wms_lc_f!$A$1:$B$156,2,FALSE),"")</f>
        <v/>
      </c>
    </row>
    <row r="1982" spans="1:8" hidden="1">
      <c r="A1982" s="69">
        <v>116983</v>
      </c>
      <c r="B1982" s="69" t="s">
        <v>2613</v>
      </c>
      <c r="C1982" s="70" t="s">
        <v>957</v>
      </c>
      <c r="D1982" s="70" t="s">
        <v>2614</v>
      </c>
      <c r="E1982" s="70"/>
      <c r="F1982" s="70"/>
      <c r="G1982" s="70" t="str">
        <f>IFERROR(VLOOKUP(A1982,[1]wms_iv_f!$A$1:$E$136,4,FALSE),"")</f>
        <v/>
      </c>
      <c r="H1982" s="95" t="str">
        <f>IFERROR(VLOOKUP(A1982,[2]wms_lc_f!$A$1:$B$156,2,FALSE),"")</f>
        <v/>
      </c>
    </row>
    <row r="1983" spans="1:8" hidden="1">
      <c r="A1983" s="69">
        <f>IFERROR(VLOOKUP(C1983,[3]wms_iv_f!$A$1:$D$135,2,FALSE),"")</f>
        <v>82664</v>
      </c>
      <c r="B1983" s="69" t="s">
        <v>2613</v>
      </c>
      <c r="C1983" s="70" t="s">
        <v>965</v>
      </c>
      <c r="D1983" s="70" t="s">
        <v>2614</v>
      </c>
      <c r="E1983" s="70"/>
      <c r="F1983" s="70"/>
      <c r="G1983" s="70" t="str">
        <f>IFERROR(VLOOKUP(A1983,[1]wms_iv_f!$A$1:$E$136,4,FALSE),"")</f>
        <v>M16-2-1A09</v>
      </c>
      <c r="H1983" s="95" t="str">
        <f>IFERROR(VLOOKUP(A1983,[2]wms_lc_f!$A$1:$B$156,2,FALSE),"")</f>
        <v/>
      </c>
    </row>
    <row r="1984" spans="1:8" hidden="1">
      <c r="A1984" s="69">
        <f>IFERROR(VLOOKUP(C1984,[3]wms_iv_f!$A$1:$D$135,2,FALSE),"")</f>
        <v>7411</v>
      </c>
      <c r="B1984" s="69" t="s">
        <v>2613</v>
      </c>
      <c r="C1984" s="70" t="s">
        <v>692</v>
      </c>
      <c r="D1984" s="70" t="s">
        <v>2614</v>
      </c>
      <c r="E1984" s="70"/>
      <c r="F1984" s="70"/>
      <c r="G1984" s="70" t="str">
        <f>IFERROR(VLOOKUP(A1984,[1]wms_iv_f!$A$1:$E$136,4,FALSE),"")</f>
        <v>M16-2-1A10</v>
      </c>
      <c r="H1984" s="95" t="str">
        <f>IFERROR(VLOOKUP(A1984,[2]wms_lc_f!$A$1:$B$156,2,FALSE),"")</f>
        <v/>
      </c>
    </row>
    <row r="1985" spans="1:8" hidden="1">
      <c r="A1985" s="69">
        <f>IFERROR(VLOOKUP(C1985,[3]wms_iv_f!$A$1:$D$135,2,FALSE),"")</f>
        <v>364</v>
      </c>
      <c r="B1985" s="69" t="s">
        <v>2613</v>
      </c>
      <c r="C1985" s="70" t="s">
        <v>742</v>
      </c>
      <c r="D1985" s="70" t="s">
        <v>2614</v>
      </c>
      <c r="E1985" s="70"/>
      <c r="F1985" s="70"/>
      <c r="G1985" s="70" t="str">
        <f>IFERROR(VLOOKUP(A1985,[1]wms_iv_f!$A$1:$E$136,4,FALSE),"")</f>
        <v>M16-2-1B01</v>
      </c>
      <c r="H1985" s="95" t="str">
        <f>IFERROR(VLOOKUP(A1985,[2]wms_lc_f!$A$1:$B$156,2,FALSE),"")</f>
        <v/>
      </c>
    </row>
    <row r="1986" spans="1:8" hidden="1">
      <c r="A1986" s="69">
        <f>IFERROR(VLOOKUP(C1986,[3]wms_iv_f!$A$1:$D$135,2,FALSE),"")</f>
        <v>138285</v>
      </c>
      <c r="B1986" s="69" t="s">
        <v>2613</v>
      </c>
      <c r="C1986" s="70" t="s">
        <v>754</v>
      </c>
      <c r="D1986" s="70" t="s">
        <v>2614</v>
      </c>
      <c r="E1986" s="70"/>
      <c r="F1986" s="70"/>
      <c r="G1986" s="70" t="str">
        <f>IFERROR(VLOOKUP(A1986,[1]wms_iv_f!$A$1:$E$136,4,FALSE),"")</f>
        <v>M16-2-1B02</v>
      </c>
      <c r="H1986" s="95" t="str">
        <f>IFERROR(VLOOKUP(A1986,[2]wms_lc_f!$A$1:$B$156,2,FALSE),"")</f>
        <v/>
      </c>
    </row>
    <row r="1987" spans="1:8" hidden="1">
      <c r="A1987" s="69">
        <f>IFERROR(VLOOKUP(C1987,[3]wms_iv_f!$A$1:$D$135,2,FALSE),"")</f>
        <v>156679</v>
      </c>
      <c r="B1987" s="69" t="s">
        <v>2613</v>
      </c>
      <c r="C1987" s="70" t="s">
        <v>801</v>
      </c>
      <c r="D1987" s="70" t="s">
        <v>2614</v>
      </c>
      <c r="E1987" s="70"/>
      <c r="F1987" s="70"/>
      <c r="G1987" s="70" t="str">
        <f>IFERROR(VLOOKUP(A1987,[1]wms_iv_f!$A$1:$E$136,4,FALSE),"")</f>
        <v>M16-2-1B03</v>
      </c>
      <c r="H1987" s="95" t="str">
        <f>IFERROR(VLOOKUP(A1987,[2]wms_lc_f!$A$1:$B$156,2,FALSE),"")</f>
        <v/>
      </c>
    </row>
    <row r="1988" spans="1:8" hidden="1">
      <c r="A1988" s="69">
        <f>IFERROR(VLOOKUP(C1988,[3]wms_iv_f!$A$1:$D$135,2,FALSE),"")</f>
        <v>61046</v>
      </c>
      <c r="B1988" s="69" t="s">
        <v>2613</v>
      </c>
      <c r="C1988" s="70" t="s">
        <v>851</v>
      </c>
      <c r="D1988" s="70" t="s">
        <v>2614</v>
      </c>
      <c r="E1988" s="70"/>
      <c r="F1988" s="70"/>
      <c r="G1988" s="70" t="str">
        <f>IFERROR(VLOOKUP(A1988,[1]wms_iv_f!$A$1:$E$136,4,FALSE),"")</f>
        <v>M16-2-1B04</v>
      </c>
      <c r="H1988" s="95" t="str">
        <f>IFERROR(VLOOKUP(A1988,[2]wms_lc_f!$A$1:$B$156,2,FALSE),"")</f>
        <v/>
      </c>
    </row>
    <row r="1989" spans="1:8" hidden="1">
      <c r="A1989" s="69">
        <v>20100</v>
      </c>
      <c r="B1989" s="69" t="s">
        <v>2613</v>
      </c>
      <c r="C1989" s="70" t="s">
        <v>863</v>
      </c>
      <c r="D1989" s="70" t="s">
        <v>2614</v>
      </c>
      <c r="E1989" s="70"/>
      <c r="F1989" s="70"/>
      <c r="G1989" s="70" t="str">
        <f>IFERROR(VLOOKUP(A1989,[1]wms_iv_f!$A$1:$E$136,4,FALSE),"")</f>
        <v/>
      </c>
      <c r="H1989" s="95" t="str">
        <f>IFERROR(VLOOKUP(A1989,[2]wms_lc_f!$A$1:$B$156,2,FALSE),"")</f>
        <v/>
      </c>
    </row>
    <row r="1990" spans="1:8" hidden="1">
      <c r="A1990" s="69">
        <v>133859</v>
      </c>
      <c r="B1990" s="69" t="s">
        <v>2613</v>
      </c>
      <c r="C1990" s="70" t="s">
        <v>910</v>
      </c>
      <c r="D1990" s="70" t="s">
        <v>2614</v>
      </c>
      <c r="E1990" s="70"/>
      <c r="F1990" s="70"/>
      <c r="G1990" s="70" t="str">
        <f>IFERROR(VLOOKUP(A1990,[1]wms_iv_f!$A$1:$E$136,4,FALSE),"")</f>
        <v/>
      </c>
      <c r="H1990" s="95" t="str">
        <f>IFERROR(VLOOKUP(A1990,[2]wms_lc_f!$A$1:$B$156,2,FALSE),"")</f>
        <v/>
      </c>
    </row>
    <row r="1991" spans="1:8" hidden="1">
      <c r="A1991" s="69">
        <v>31580</v>
      </c>
      <c r="B1991" s="69" t="s">
        <v>2613</v>
      </c>
      <c r="C1991" s="70" t="s">
        <v>958</v>
      </c>
      <c r="D1991" s="70" t="s">
        <v>2614</v>
      </c>
      <c r="E1991" s="70"/>
      <c r="F1991" s="70"/>
      <c r="G1991" s="70" t="str">
        <f>IFERROR(VLOOKUP(A1991,[1]wms_iv_f!$A$1:$E$136,4,FALSE),"")</f>
        <v/>
      </c>
      <c r="H1991" s="95" t="str">
        <f>IFERROR(VLOOKUP(A1991,[2]wms_lc_f!$A$1:$B$156,2,FALSE),"")</f>
        <v/>
      </c>
    </row>
    <row r="1992" spans="1:8" hidden="1">
      <c r="A1992" s="69">
        <v>268</v>
      </c>
      <c r="B1992" s="69" t="s">
        <v>2613</v>
      </c>
      <c r="C1992" s="70" t="s">
        <v>966</v>
      </c>
      <c r="D1992" s="70" t="s">
        <v>2614</v>
      </c>
      <c r="E1992" s="70"/>
      <c r="F1992" s="70"/>
      <c r="G1992" s="70" t="str">
        <f>IFERROR(VLOOKUP(A1992,[1]wms_iv_f!$A$1:$E$136,4,FALSE),"")</f>
        <v/>
      </c>
      <c r="H1992" s="95" t="str">
        <f>IFERROR(VLOOKUP(A1992,[2]wms_lc_f!$A$1:$B$156,2,FALSE),"")</f>
        <v/>
      </c>
    </row>
    <row r="1993" spans="1:8" hidden="1">
      <c r="A1993" s="69">
        <v>100772</v>
      </c>
      <c r="B1993" s="69" t="s">
        <v>2613</v>
      </c>
      <c r="C1993" s="70" t="s">
        <v>693</v>
      </c>
      <c r="D1993" s="70" t="s">
        <v>2614</v>
      </c>
      <c r="E1993" s="70"/>
      <c r="F1993" s="70"/>
      <c r="G1993" s="70" t="str">
        <f>IFERROR(VLOOKUP(A1993,[1]wms_iv_f!$A$1:$E$136,4,FALSE),"")</f>
        <v/>
      </c>
      <c r="H1993" s="95" t="str">
        <f>IFERROR(VLOOKUP(A1993,[2]wms_lc_f!$A$1:$B$156,2,FALSE),"")</f>
        <v/>
      </c>
    </row>
    <row r="1994" spans="1:8" hidden="1">
      <c r="A1994" s="69">
        <v>62520</v>
      </c>
      <c r="B1994" s="69" t="s">
        <v>2613</v>
      </c>
      <c r="C1994" s="70" t="s">
        <v>743</v>
      </c>
      <c r="D1994" s="70" t="s">
        <v>2614</v>
      </c>
      <c r="E1994" s="70"/>
      <c r="F1994" s="70"/>
      <c r="G1994" s="70" t="str">
        <f>IFERROR(VLOOKUP(A1994,[1]wms_iv_f!$A$1:$E$136,4,FALSE),"")</f>
        <v/>
      </c>
      <c r="H1994" s="95" t="str">
        <f>IFERROR(VLOOKUP(A1994,[2]wms_lc_f!$A$1:$B$156,2,FALSE),"")</f>
        <v/>
      </c>
    </row>
    <row r="1995" spans="1:8" hidden="1">
      <c r="A1995" s="69">
        <f>IFERROR(VLOOKUP(C1995,[3]wms_iv_f!$A$1:$D$135,2,FALSE),"")</f>
        <v>116639</v>
      </c>
      <c r="B1995" s="69" t="s">
        <v>2613</v>
      </c>
      <c r="C1995" s="70" t="s">
        <v>755</v>
      </c>
      <c r="D1995" s="70" t="s">
        <v>2614</v>
      </c>
      <c r="E1995" s="70"/>
      <c r="F1995" s="70"/>
      <c r="G1995" s="70" t="str">
        <f>IFERROR(VLOOKUP(A1995,[1]wms_iv_f!$A$1:$E$136,4,FALSE),"")</f>
        <v>M16-2-1C01</v>
      </c>
      <c r="H1995" s="95" t="str">
        <f>IFERROR(VLOOKUP(A1995,[2]wms_lc_f!$A$1:$B$156,2,FALSE),"")</f>
        <v/>
      </c>
    </row>
    <row r="1996" spans="1:8" hidden="1">
      <c r="A1996" s="69">
        <f>IFERROR(VLOOKUP(C1996,[3]wms_iv_f!$A$1:$D$135,2,FALSE),"")</f>
        <v>91</v>
      </c>
      <c r="B1996" s="69" t="s">
        <v>2613</v>
      </c>
      <c r="C1996" s="70" t="s">
        <v>802</v>
      </c>
      <c r="D1996" s="70" t="s">
        <v>2614</v>
      </c>
      <c r="E1996" s="70"/>
      <c r="F1996" s="70"/>
      <c r="G1996" s="70" t="str">
        <f>IFERROR(VLOOKUP(A1996,[1]wms_iv_f!$A$1:$E$136,4,FALSE),"")</f>
        <v>M16-2-1C02</v>
      </c>
      <c r="H1996" s="95" t="str">
        <f>IFERROR(VLOOKUP(A1996,[2]wms_lc_f!$A$1:$B$156,2,FALSE),"")</f>
        <v/>
      </c>
    </row>
    <row r="1997" spans="1:8" hidden="1">
      <c r="A1997" s="69">
        <f>IFERROR(VLOOKUP(C1997,[3]wms_iv_f!$A$1:$D$135,2,FALSE),"")</f>
        <v>35103</v>
      </c>
      <c r="B1997" s="69" t="s">
        <v>2613</v>
      </c>
      <c r="C1997" s="70" t="s">
        <v>852</v>
      </c>
      <c r="D1997" s="70" t="s">
        <v>2614</v>
      </c>
      <c r="E1997" s="70"/>
      <c r="F1997" s="70"/>
      <c r="G1997" s="70" t="str">
        <f>IFERROR(VLOOKUP(A1997,[1]wms_iv_f!$A$1:$E$136,4,FALSE),"")</f>
        <v>M16-2-1C03</v>
      </c>
      <c r="H1997" s="95" t="str">
        <f>IFERROR(VLOOKUP(A1997,[2]wms_lc_f!$A$1:$B$156,2,FALSE),"")</f>
        <v/>
      </c>
    </row>
    <row r="1998" spans="1:8" hidden="1">
      <c r="A1998" s="69">
        <f>IFERROR(VLOOKUP(C1998,[3]wms_iv_f!$A$1:$D$135,2,FALSE),"")</f>
        <v>101442</v>
      </c>
      <c r="B1998" s="69" t="s">
        <v>2613</v>
      </c>
      <c r="C1998" s="70" t="s">
        <v>864</v>
      </c>
      <c r="D1998" s="70" t="s">
        <v>2614</v>
      </c>
      <c r="E1998" s="70"/>
      <c r="F1998" s="70"/>
      <c r="G1998" s="70" t="str">
        <f>IFERROR(VLOOKUP(A1998,[1]wms_iv_f!$A$1:$E$136,4,FALSE),"")</f>
        <v>M16-2-1C04</v>
      </c>
      <c r="H1998" s="95" t="str">
        <f>IFERROR(VLOOKUP(A1998,[2]wms_lc_f!$A$1:$B$156,2,FALSE),"")</f>
        <v/>
      </c>
    </row>
    <row r="1999" spans="1:8" hidden="1">
      <c r="A1999" s="69">
        <v>113301</v>
      </c>
      <c r="B1999" s="69" t="s">
        <v>2613</v>
      </c>
      <c r="C1999" s="70" t="s">
        <v>911</v>
      </c>
      <c r="D1999" s="70" t="s">
        <v>2614</v>
      </c>
      <c r="E1999" s="70"/>
      <c r="F1999" s="70"/>
      <c r="G1999" s="70" t="str">
        <f>IFERROR(VLOOKUP(A1999,[1]wms_iv_f!$A$1:$E$136,4,FALSE),"")</f>
        <v/>
      </c>
      <c r="H1999" s="95" t="str">
        <f>IFERROR(VLOOKUP(A1999,[2]wms_lc_f!$A$1:$B$156,2,FALSE),"")</f>
        <v/>
      </c>
    </row>
    <row r="2000" spans="1:8" hidden="1">
      <c r="A2000" s="69">
        <v>157988</v>
      </c>
      <c r="B2000" s="69" t="s">
        <v>2613</v>
      </c>
      <c r="C2000" s="70" t="s">
        <v>694</v>
      </c>
      <c r="D2000" s="70" t="s">
        <v>2614</v>
      </c>
      <c r="E2000" s="70"/>
      <c r="F2000" s="70"/>
      <c r="G2000" s="70" t="str">
        <f>IFERROR(VLOOKUP(A2000,[1]wms_iv_f!$A$1:$E$136,4,FALSE),"")</f>
        <v/>
      </c>
      <c r="H2000" s="95" t="str">
        <f>IFERROR(VLOOKUP(A2000,[2]wms_lc_f!$A$1:$B$156,2,FALSE),"")</f>
        <v/>
      </c>
    </row>
    <row r="2001" spans="1:8" hidden="1">
      <c r="A2001" s="69">
        <v>136008</v>
      </c>
      <c r="B2001" s="69" t="s">
        <v>2613</v>
      </c>
      <c r="C2001" s="70" t="s">
        <v>744</v>
      </c>
      <c r="D2001" s="70" t="s">
        <v>2614</v>
      </c>
      <c r="E2001" s="70"/>
      <c r="F2001" s="70"/>
      <c r="G2001" s="70" t="str">
        <f>IFERROR(VLOOKUP(A2001,[1]wms_iv_f!$A$1:$E$136,4,FALSE),"")</f>
        <v/>
      </c>
      <c r="H2001" s="95" t="str">
        <f>IFERROR(VLOOKUP(A2001,[2]wms_lc_f!$A$1:$B$156,2,FALSE),"")</f>
        <v/>
      </c>
    </row>
    <row r="2002" spans="1:8" hidden="1">
      <c r="A2002" s="69">
        <v>81</v>
      </c>
      <c r="B2002" s="69" t="s">
        <v>2613</v>
      </c>
      <c r="C2002" s="70" t="s">
        <v>756</v>
      </c>
      <c r="D2002" s="70" t="s">
        <v>2614</v>
      </c>
      <c r="E2002" s="70"/>
      <c r="F2002" s="70"/>
      <c r="G2002" s="70" t="str">
        <f>IFERROR(VLOOKUP(A2002,[1]wms_iv_f!$A$1:$E$136,4,FALSE),"")</f>
        <v/>
      </c>
      <c r="H2002" s="95" t="str">
        <f>IFERROR(VLOOKUP(A2002,[2]wms_lc_f!$A$1:$B$156,2,FALSE),"")</f>
        <v/>
      </c>
    </row>
    <row r="2003" spans="1:8" hidden="1">
      <c r="A2003" s="69">
        <f>IFERROR(VLOOKUP(C2003,[3]wms_iv_f!$A$1:$D$135,2,FALSE),"")</f>
        <v>2948</v>
      </c>
      <c r="B2003" s="69" t="s">
        <v>2613</v>
      </c>
      <c r="C2003" s="70" t="s">
        <v>803</v>
      </c>
      <c r="D2003" s="70" t="s">
        <v>2614</v>
      </c>
      <c r="E2003" s="70"/>
      <c r="F2003" s="70"/>
      <c r="G2003" s="70" t="str">
        <f>IFERROR(VLOOKUP(A2003,[1]wms_iv_f!$A$1:$E$136,4,FALSE),"")</f>
        <v>M16-2-1C09</v>
      </c>
      <c r="H2003" s="95" t="str">
        <f>IFERROR(VLOOKUP(A2003,[2]wms_lc_f!$A$1:$B$156,2,FALSE),"")</f>
        <v/>
      </c>
    </row>
    <row r="2004" spans="1:8" hidden="1">
      <c r="A2004" s="69">
        <f>IFERROR(VLOOKUP(C2004,[3]wms_iv_f!$A$1:$D$135,2,FALSE),"")</f>
        <v>13892</v>
      </c>
      <c r="B2004" s="69" t="s">
        <v>2613</v>
      </c>
      <c r="C2004" s="70" t="s">
        <v>853</v>
      </c>
      <c r="D2004" s="70" t="s">
        <v>2614</v>
      </c>
      <c r="E2004" s="70"/>
      <c r="F2004" s="70"/>
      <c r="G2004" s="70" t="str">
        <f>IFERROR(VLOOKUP(A2004,[1]wms_iv_f!$A$1:$E$136,4,FALSE),"")</f>
        <v>M16-2-1C10</v>
      </c>
      <c r="H2004" s="95" t="str">
        <f>IFERROR(VLOOKUP(A2004,[2]wms_lc_f!$A$1:$B$156,2,FALSE),"")</f>
        <v/>
      </c>
    </row>
    <row r="2005" spans="1:8" hidden="1">
      <c r="A2005" s="69">
        <v>144227</v>
      </c>
      <c r="B2005" s="69" t="s">
        <v>2613</v>
      </c>
      <c r="C2005" s="70" t="s">
        <v>865</v>
      </c>
      <c r="D2005" s="70" t="s">
        <v>2614</v>
      </c>
      <c r="E2005" s="70"/>
      <c r="F2005" s="70"/>
      <c r="G2005" s="70" t="str">
        <f>IFERROR(VLOOKUP(A2005,[1]wms_iv_f!$A$1:$E$136,4,FALSE),"")</f>
        <v/>
      </c>
      <c r="H2005" s="95" t="str">
        <f>IFERROR(VLOOKUP(A2005,[2]wms_lc_f!$A$1:$B$156,2,FALSE),"")</f>
        <v/>
      </c>
    </row>
    <row r="2006" spans="1:8" hidden="1">
      <c r="A2006" s="69">
        <v>96429</v>
      </c>
      <c r="B2006" s="69" t="s">
        <v>2613</v>
      </c>
      <c r="C2006" s="70" t="s">
        <v>912</v>
      </c>
      <c r="D2006" s="70" t="s">
        <v>2614</v>
      </c>
      <c r="E2006" s="70"/>
      <c r="F2006" s="70"/>
      <c r="G2006" s="70" t="str">
        <f>IFERROR(VLOOKUP(A2006,[1]wms_iv_f!$A$1:$E$136,4,FALSE),"")</f>
        <v/>
      </c>
      <c r="H2006" s="95" t="str">
        <f>IFERROR(VLOOKUP(A2006,[2]wms_lc_f!$A$1:$B$156,2,FALSE),"")</f>
        <v/>
      </c>
    </row>
    <row r="2007" spans="1:8" hidden="1">
      <c r="A2007" s="69">
        <v>13048</v>
      </c>
      <c r="B2007" s="69" t="s">
        <v>2613</v>
      </c>
      <c r="C2007" s="70" t="s">
        <v>695</v>
      </c>
      <c r="D2007" s="70" t="s">
        <v>2614</v>
      </c>
      <c r="E2007" s="70"/>
      <c r="F2007" s="70"/>
      <c r="G2007" s="70" t="str">
        <f>IFERROR(VLOOKUP(A2007,[1]wms_iv_f!$A$1:$E$136,4,FALSE),"")</f>
        <v/>
      </c>
      <c r="H2007" s="95" t="str">
        <f>IFERROR(VLOOKUP(A2007,[2]wms_lc_f!$A$1:$B$156,2,FALSE),"")</f>
        <v/>
      </c>
    </row>
    <row r="2008" spans="1:8" hidden="1">
      <c r="A2008" s="69">
        <v>6827</v>
      </c>
      <c r="B2008" s="69" t="s">
        <v>2613</v>
      </c>
      <c r="C2008" s="70" t="s">
        <v>745</v>
      </c>
      <c r="D2008" s="70" t="s">
        <v>2614</v>
      </c>
      <c r="E2008" s="70"/>
      <c r="F2008" s="70"/>
      <c r="G2008" s="70" t="str">
        <f>IFERROR(VLOOKUP(A2008,[1]wms_iv_f!$A$1:$E$136,4,FALSE),"")</f>
        <v/>
      </c>
      <c r="H2008" s="95" t="str">
        <f>IFERROR(VLOOKUP(A2008,[2]wms_lc_f!$A$1:$B$156,2,FALSE),"")</f>
        <v/>
      </c>
    </row>
    <row r="2009" spans="1:8" hidden="1">
      <c r="A2009" s="69">
        <v>3738</v>
      </c>
      <c r="B2009" s="69" t="s">
        <v>2613</v>
      </c>
      <c r="C2009" s="70" t="s">
        <v>757</v>
      </c>
      <c r="D2009" s="70" t="s">
        <v>2614</v>
      </c>
      <c r="E2009" s="70"/>
      <c r="F2009" s="70"/>
      <c r="G2009" s="70" t="str">
        <f>IFERROR(VLOOKUP(A2009,[1]wms_iv_f!$A$1:$E$136,4,FALSE),"")</f>
        <v/>
      </c>
      <c r="H2009" s="95" t="str">
        <f>IFERROR(VLOOKUP(A2009,[2]wms_lc_f!$A$1:$B$156,2,FALSE),"")</f>
        <v/>
      </c>
    </row>
    <row r="2010" spans="1:8" hidden="1">
      <c r="A2010" s="81">
        <v>62520</v>
      </c>
      <c r="B2010" s="69" t="s">
        <v>2613</v>
      </c>
      <c r="C2010" s="70" t="s">
        <v>804</v>
      </c>
      <c r="D2010" s="70" t="s">
        <v>2614</v>
      </c>
      <c r="E2010" s="70"/>
      <c r="F2010" s="70"/>
      <c r="G2010" s="70" t="str">
        <f>IFERROR(VLOOKUP(A2010,[1]wms_iv_f!$A$1:$E$136,4,FALSE),"")</f>
        <v/>
      </c>
      <c r="H2010" s="95" t="str">
        <f>IFERROR(VLOOKUP(A2010,[2]wms_lc_f!$A$1:$B$156,2,FALSE),"")</f>
        <v/>
      </c>
    </row>
    <row r="2011" spans="1:8" hidden="1">
      <c r="A2011" s="69">
        <v>7284</v>
      </c>
      <c r="B2011" s="69" t="s">
        <v>2613</v>
      </c>
      <c r="C2011" s="70" t="s">
        <v>854</v>
      </c>
      <c r="D2011" s="70" t="s">
        <v>2614</v>
      </c>
      <c r="E2011" s="70"/>
      <c r="F2011" s="70"/>
      <c r="G2011" s="70" t="str">
        <f>IFERROR(VLOOKUP(A2011,[1]wms_iv_f!$A$1:$E$136,4,FALSE),"")</f>
        <v/>
      </c>
      <c r="H2011" s="95" t="str">
        <f>IFERROR(VLOOKUP(A2011,[2]wms_lc_f!$A$1:$B$156,2,FALSE),"")</f>
        <v/>
      </c>
    </row>
    <row r="2012" spans="1:8" hidden="1">
      <c r="A2012" s="69">
        <v>85118</v>
      </c>
      <c r="B2012" s="69" t="s">
        <v>2613</v>
      </c>
      <c r="C2012" s="70" t="s">
        <v>866</v>
      </c>
      <c r="D2012" s="70" t="s">
        <v>2614</v>
      </c>
      <c r="E2012" s="70"/>
      <c r="F2012" s="70"/>
      <c r="G2012" s="70" t="str">
        <f>IFERROR(VLOOKUP(A2012,[1]wms_iv_f!$A$1:$E$136,4,FALSE),"")</f>
        <v/>
      </c>
      <c r="H2012" s="95" t="str">
        <f>IFERROR(VLOOKUP(A2012,[2]wms_lc_f!$A$1:$B$156,2,FALSE),"")</f>
        <v/>
      </c>
    </row>
    <row r="2013" spans="1:8" hidden="1">
      <c r="A2013" s="69">
        <v>28728</v>
      </c>
      <c r="B2013" s="69" t="s">
        <v>2613</v>
      </c>
      <c r="C2013" s="70" t="s">
        <v>913</v>
      </c>
      <c r="D2013" s="70" t="s">
        <v>2614</v>
      </c>
      <c r="E2013" s="70"/>
      <c r="F2013" s="70"/>
      <c r="G2013" s="70" t="str">
        <f>IFERROR(VLOOKUP(A2013,[1]wms_iv_f!$A$1:$E$136,4,FALSE),"")</f>
        <v/>
      </c>
      <c r="H2013" s="95" t="str">
        <f>IFERROR(VLOOKUP(A2013,[2]wms_lc_f!$A$1:$B$156,2,FALSE),"")</f>
        <v/>
      </c>
    </row>
    <row r="2014" spans="1:8" hidden="1">
      <c r="A2014" s="69">
        <v>60925</v>
      </c>
      <c r="B2014" s="69" t="s">
        <v>2613</v>
      </c>
      <c r="C2014" s="76" t="s">
        <v>959</v>
      </c>
      <c r="D2014" s="76" t="s">
        <v>2614</v>
      </c>
      <c r="E2014" s="70"/>
      <c r="F2014" s="70"/>
      <c r="G2014" s="70" t="str">
        <f>IFERROR(VLOOKUP(A2014,[1]wms_iv_f!$A$1:$E$136,4,FALSE),"")</f>
        <v/>
      </c>
      <c r="H2014" s="95" t="str">
        <f>IFERROR(VLOOKUP(A2014,[2]wms_lc_f!$A$1:$B$156,2,FALSE),"")</f>
        <v/>
      </c>
    </row>
    <row r="2015" spans="1:8" hidden="1">
      <c r="A2015" s="69">
        <v>73462</v>
      </c>
      <c r="B2015" s="69" t="s">
        <v>2613</v>
      </c>
      <c r="C2015" s="70" t="s">
        <v>967</v>
      </c>
      <c r="D2015" s="70" t="s">
        <v>2614</v>
      </c>
      <c r="E2015" s="70"/>
      <c r="F2015" s="70"/>
      <c r="G2015" s="70" t="str">
        <f>IFERROR(VLOOKUP(A2015,[1]wms_iv_f!$A$1:$E$136,4,FALSE),"")</f>
        <v/>
      </c>
      <c r="H2015" s="95" t="str">
        <f>IFERROR(VLOOKUP(A2015,[2]wms_lc_f!$A$1:$B$156,2,FALSE),"")</f>
        <v/>
      </c>
    </row>
    <row r="2016" spans="1:8" hidden="1">
      <c r="A2016" s="69">
        <v>116906</v>
      </c>
      <c r="B2016" s="69" t="s">
        <v>2613</v>
      </c>
      <c r="C2016" s="70" t="s">
        <v>696</v>
      </c>
      <c r="D2016" s="70" t="s">
        <v>2614</v>
      </c>
      <c r="E2016" s="70"/>
      <c r="F2016" s="70"/>
      <c r="G2016" s="70" t="str">
        <f>IFERROR(VLOOKUP(A2016,[1]wms_iv_f!$A$1:$E$136,4,FALSE),"")</f>
        <v/>
      </c>
      <c r="H2016" s="95" t="str">
        <f>IFERROR(VLOOKUP(A2016,[2]wms_lc_f!$A$1:$B$156,2,FALSE),"")</f>
        <v/>
      </c>
    </row>
    <row r="2017" spans="1:8" hidden="1">
      <c r="A2017" s="68">
        <v>9662</v>
      </c>
      <c r="B2017" s="69" t="s">
        <v>2613</v>
      </c>
      <c r="C2017" s="70" t="s">
        <v>746</v>
      </c>
      <c r="D2017" s="70" t="s">
        <v>2614</v>
      </c>
      <c r="E2017" s="70"/>
      <c r="F2017" s="70"/>
      <c r="G2017" s="70" t="str">
        <f>IFERROR(VLOOKUP(A2017,[1]wms_iv_f!$A$1:$E$136,4,FALSE),"")</f>
        <v/>
      </c>
      <c r="H2017" s="95" t="str">
        <f>IFERROR(VLOOKUP(A2017,[2]wms_lc_f!$A$1:$B$156,2,FALSE),"")</f>
        <v/>
      </c>
    </row>
    <row r="2018" spans="1:8" hidden="1">
      <c r="A2018" s="71">
        <v>13348</v>
      </c>
      <c r="B2018" s="69" t="s">
        <v>2613</v>
      </c>
      <c r="C2018" s="70" t="s">
        <v>758</v>
      </c>
      <c r="D2018" s="70" t="s">
        <v>2614</v>
      </c>
      <c r="E2018" s="70"/>
      <c r="F2018" s="70"/>
      <c r="G2018" s="70" t="str">
        <f>IFERROR(VLOOKUP(A2018,[1]wms_iv_f!$A$1:$E$136,4,FALSE),"")</f>
        <v/>
      </c>
      <c r="H2018" s="95" t="str">
        <f>IFERROR(VLOOKUP(A2018,[2]wms_lc_f!$A$1:$B$156,2,FALSE),"")</f>
        <v/>
      </c>
    </row>
    <row r="2019" spans="1:8" hidden="1">
      <c r="A2019" s="73">
        <v>13877</v>
      </c>
      <c r="B2019" s="69" t="s">
        <v>2613</v>
      </c>
      <c r="C2019" s="70" t="s">
        <v>805</v>
      </c>
      <c r="D2019" s="70" t="s">
        <v>2614</v>
      </c>
      <c r="E2019" s="74"/>
      <c r="F2019" s="70"/>
      <c r="G2019" s="70" t="str">
        <f>IFERROR(VLOOKUP(A2019,[1]wms_iv_f!$A$1:$E$136,4,FALSE),"")</f>
        <v/>
      </c>
      <c r="H2019" s="95" t="str">
        <f>IFERROR(VLOOKUP(A2019,[2]wms_lc_f!$A$1:$B$156,2,FALSE),"")</f>
        <v/>
      </c>
    </row>
    <row r="2020" spans="1:8" hidden="1">
      <c r="A2020" s="69">
        <v>96650</v>
      </c>
      <c r="B2020" s="69" t="s">
        <v>2613</v>
      </c>
      <c r="C2020" s="70" t="s">
        <v>855</v>
      </c>
      <c r="D2020" s="70" t="s">
        <v>2614</v>
      </c>
      <c r="E2020" s="70"/>
      <c r="F2020" s="70"/>
      <c r="G2020" s="70" t="str">
        <f>IFERROR(VLOOKUP(A2020,[1]wms_iv_f!$A$1:$E$136,4,FALSE),"")</f>
        <v/>
      </c>
      <c r="H2020" s="95" t="str">
        <f>IFERROR(VLOOKUP(A2020,[2]wms_lc_f!$A$1:$B$156,2,FALSE),"")</f>
        <v/>
      </c>
    </row>
    <row r="2021" spans="1:8" hidden="1">
      <c r="A2021" s="69">
        <v>93323</v>
      </c>
      <c r="B2021" s="69" t="s">
        <v>2613</v>
      </c>
      <c r="C2021" s="70" t="s">
        <v>867</v>
      </c>
      <c r="D2021" s="70" t="s">
        <v>2614</v>
      </c>
      <c r="E2021" s="70"/>
      <c r="F2021" s="70"/>
      <c r="G2021" s="70" t="str">
        <f>IFERROR(VLOOKUP(A2021,[1]wms_iv_f!$A$1:$E$136,4,FALSE),"")</f>
        <v/>
      </c>
      <c r="H2021" s="95" t="str">
        <f>IFERROR(VLOOKUP(A2021,[2]wms_lc_f!$A$1:$B$156,2,FALSE),"")</f>
        <v/>
      </c>
    </row>
    <row r="2022" spans="1:8" hidden="1">
      <c r="A2022" s="69">
        <v>11557</v>
      </c>
      <c r="B2022" s="69" t="s">
        <v>2613</v>
      </c>
      <c r="C2022" s="70" t="s">
        <v>914</v>
      </c>
      <c r="D2022" s="70" t="s">
        <v>2614</v>
      </c>
      <c r="E2022" s="70"/>
      <c r="F2022" s="70"/>
      <c r="G2022" s="70" t="str">
        <f>IFERROR(VLOOKUP(A2022,[1]wms_iv_f!$A$1:$E$136,4,FALSE),"")</f>
        <v/>
      </c>
      <c r="H2022" s="95" t="str">
        <f>IFERROR(VLOOKUP(A2022,[2]wms_lc_f!$A$1:$B$156,2,FALSE),"")</f>
        <v/>
      </c>
    </row>
    <row r="2023" spans="1:8" hidden="1">
      <c r="A2023" s="68">
        <v>116911</v>
      </c>
      <c r="B2023" s="69" t="s">
        <v>2613</v>
      </c>
      <c r="C2023" s="70" t="s">
        <v>960</v>
      </c>
      <c r="D2023" s="70" t="s">
        <v>2614</v>
      </c>
      <c r="E2023" s="76"/>
      <c r="F2023" s="70"/>
      <c r="G2023" s="70" t="str">
        <f>IFERROR(VLOOKUP(A2023,[1]wms_iv_f!$A$1:$E$136,4,FALSE),"")</f>
        <v/>
      </c>
      <c r="H2023" s="95" t="str">
        <f>IFERROR(VLOOKUP(A2023,[2]wms_lc_f!$A$1:$B$156,2,FALSE),"")</f>
        <v/>
      </c>
    </row>
    <row r="2024" spans="1:8" hidden="1">
      <c r="A2024" s="73">
        <v>58129</v>
      </c>
      <c r="B2024" s="69" t="s">
        <v>2613</v>
      </c>
      <c r="C2024" s="70" t="s">
        <v>968</v>
      </c>
      <c r="D2024" s="70" t="s">
        <v>2614</v>
      </c>
      <c r="E2024" s="74"/>
      <c r="F2024" s="70"/>
      <c r="G2024" s="70" t="str">
        <f>IFERROR(VLOOKUP(A2024,[1]wms_iv_f!$A$1:$E$136,4,FALSE),"")</f>
        <v/>
      </c>
      <c r="H2024" s="95" t="str">
        <f>IFERROR(VLOOKUP(A2024,[2]wms_lc_f!$A$1:$B$156,2,FALSE),"")</f>
        <v/>
      </c>
    </row>
    <row r="2025" spans="1:8" hidden="1">
      <c r="A2025" s="69">
        <v>142829</v>
      </c>
      <c r="B2025" s="69" t="s">
        <v>2613</v>
      </c>
      <c r="C2025" s="70" t="s">
        <v>916</v>
      </c>
      <c r="D2025" s="70" t="s">
        <v>2610</v>
      </c>
      <c r="E2025" s="72"/>
      <c r="F2025" s="70"/>
      <c r="G2025" s="70" t="str">
        <f>IFERROR(VLOOKUP(A2025,[1]wms_iv_f!$A$1:$E$136,4,FALSE),"")</f>
        <v/>
      </c>
      <c r="H2025" s="95" t="str">
        <f>IFERROR(VLOOKUP(A2025,[2]wms_lc_f!$A$1:$B$156,2,FALSE),"")</f>
        <v/>
      </c>
    </row>
    <row r="2026" spans="1:8" hidden="1">
      <c r="A2026" s="69">
        <v>142829</v>
      </c>
      <c r="B2026" s="69" t="s">
        <v>2613</v>
      </c>
      <c r="C2026" s="70" t="s">
        <v>917</v>
      </c>
      <c r="D2026" s="70" t="s">
        <v>2610</v>
      </c>
      <c r="E2026" s="72"/>
      <c r="F2026" s="70"/>
      <c r="G2026" s="70" t="str">
        <f>IFERROR(VLOOKUP(A2026,[1]wms_iv_f!$A$1:$E$136,4,FALSE),"")</f>
        <v/>
      </c>
      <c r="H2026" s="95" t="str">
        <f>IFERROR(VLOOKUP(A2026,[2]wms_lc_f!$A$1:$B$156,2,FALSE),"")</f>
        <v/>
      </c>
    </row>
    <row r="2027" spans="1:8" hidden="1">
      <c r="A2027" s="68">
        <v>136683</v>
      </c>
      <c r="B2027" s="69" t="s">
        <v>2613</v>
      </c>
      <c r="C2027" s="70" t="s">
        <v>806</v>
      </c>
      <c r="D2027" s="70" t="s">
        <v>2610</v>
      </c>
      <c r="E2027" s="80"/>
      <c r="F2027" s="70" t="s">
        <v>2612</v>
      </c>
      <c r="G2027" s="70" t="str">
        <f>IFERROR(VLOOKUP(A2027,[1]wms_iv_f!$A$1:$E$136,4,FALSE),"")</f>
        <v/>
      </c>
      <c r="H2027" s="95" t="str">
        <f>IFERROR(VLOOKUP(A2027,[2]wms_lc_f!$A$1:$B$156,2,FALSE),"")</f>
        <v>12-117-C1</v>
      </c>
    </row>
    <row r="2028" spans="1:8" hidden="1">
      <c r="A2028" s="71">
        <v>132592</v>
      </c>
      <c r="B2028" s="69" t="s">
        <v>2613</v>
      </c>
      <c r="C2028" s="70" t="s">
        <v>698</v>
      </c>
      <c r="D2028" s="70" t="s">
        <v>2610</v>
      </c>
      <c r="E2028" s="72"/>
      <c r="F2028" s="70"/>
      <c r="G2028" s="70" t="str">
        <f>IFERROR(VLOOKUP(A2028,[1]wms_iv_f!$A$1:$E$136,4,FALSE),"")</f>
        <v/>
      </c>
      <c r="H2028" s="95" t="str">
        <f>IFERROR(VLOOKUP(A2028,[2]wms_lc_f!$A$1:$B$156,2,FALSE),"")</f>
        <v/>
      </c>
    </row>
    <row r="2029" spans="1:8" hidden="1">
      <c r="A2029" s="71">
        <v>132592</v>
      </c>
      <c r="B2029" s="69" t="s">
        <v>2613</v>
      </c>
      <c r="C2029" s="70" t="s">
        <v>699</v>
      </c>
      <c r="D2029" s="70" t="s">
        <v>2610</v>
      </c>
      <c r="E2029" s="72"/>
      <c r="F2029" s="70"/>
      <c r="G2029" s="70" t="str">
        <f>IFERROR(VLOOKUP(A2029,[1]wms_iv_f!$A$1:$E$136,4,FALSE),"")</f>
        <v/>
      </c>
      <c r="H2029" s="95" t="str">
        <f>IFERROR(VLOOKUP(A2029,[2]wms_lc_f!$A$1:$B$156,2,FALSE),"")</f>
        <v/>
      </c>
    </row>
    <row r="2030" spans="1:8" hidden="1">
      <c r="A2030" s="71">
        <v>113610</v>
      </c>
      <c r="B2030" s="69" t="s">
        <v>2613</v>
      </c>
      <c r="C2030" s="70" t="s">
        <v>919</v>
      </c>
      <c r="D2030" s="70" t="s">
        <v>2610</v>
      </c>
      <c r="E2030" s="72"/>
      <c r="F2030" s="70"/>
      <c r="G2030" s="70" t="str">
        <f>IFERROR(VLOOKUP(A2030,[1]wms_iv_f!$A$1:$E$136,4,FALSE),"")</f>
        <v/>
      </c>
      <c r="H2030" s="95" t="str">
        <f>IFERROR(VLOOKUP(A2030,[2]wms_lc_f!$A$1:$B$156,2,FALSE),"")</f>
        <v/>
      </c>
    </row>
    <row r="2031" spans="1:8" hidden="1">
      <c r="A2031" s="71"/>
      <c r="B2031" s="69" t="s">
        <v>2613</v>
      </c>
      <c r="C2031" s="70" t="s">
        <v>920</v>
      </c>
      <c r="D2031" s="70" t="s">
        <v>2610</v>
      </c>
      <c r="E2031" s="72"/>
      <c r="F2031" s="70"/>
      <c r="G2031" s="70" t="str">
        <f>IFERROR(VLOOKUP(A2031,[1]wms_iv_f!$A$1:$E$136,4,FALSE),"")</f>
        <v/>
      </c>
      <c r="H2031" s="95" t="str">
        <f>IFERROR(VLOOKUP(A2031,[2]wms_lc_f!$A$1:$B$156,2,FALSE),"")</f>
        <v/>
      </c>
    </row>
    <row r="2032" spans="1:8" hidden="1">
      <c r="A2032" s="73">
        <v>106272</v>
      </c>
      <c r="B2032" s="69" t="s">
        <v>2613</v>
      </c>
      <c r="C2032" s="70" t="s">
        <v>814</v>
      </c>
      <c r="D2032" s="70" t="s">
        <v>2610</v>
      </c>
      <c r="E2032" s="79"/>
      <c r="F2032" s="70" t="s">
        <v>2612</v>
      </c>
      <c r="G2032" s="70" t="str">
        <f>IFERROR(VLOOKUP(A2032,[1]wms_iv_f!$A$1:$E$136,4,FALSE),"")</f>
        <v/>
      </c>
      <c r="H2032" s="95" t="str">
        <f>IFERROR(VLOOKUP(A2032,[2]wms_lc_f!$A$1:$B$156,2,FALSE),"")</f>
        <v/>
      </c>
    </row>
    <row r="2033" spans="1:8" hidden="1">
      <c r="A2033" s="69"/>
      <c r="B2033" s="69" t="s">
        <v>2613</v>
      </c>
      <c r="C2033" s="70" t="s">
        <v>701</v>
      </c>
      <c r="D2033" s="70" t="s">
        <v>2610</v>
      </c>
      <c r="E2033" s="72"/>
      <c r="F2033" s="70"/>
      <c r="G2033" s="70" t="str">
        <f>IFERROR(VLOOKUP(A2033,[1]wms_iv_f!$A$1:$E$136,4,FALSE),"")</f>
        <v/>
      </c>
      <c r="H2033" s="95" t="str">
        <f>IFERROR(VLOOKUP(A2033,[2]wms_lc_f!$A$1:$B$156,2,FALSE),"")</f>
        <v/>
      </c>
    </row>
    <row r="2034" spans="1:8" hidden="1">
      <c r="A2034" s="69"/>
      <c r="B2034" s="69" t="s">
        <v>2613</v>
      </c>
      <c r="C2034" s="70" t="s">
        <v>702</v>
      </c>
      <c r="D2034" s="70" t="s">
        <v>2610</v>
      </c>
      <c r="E2034" s="72"/>
      <c r="F2034" s="70"/>
      <c r="G2034" s="70" t="str">
        <f>IFERROR(VLOOKUP(A2034,[1]wms_iv_f!$A$1:$E$136,4,FALSE),"")</f>
        <v/>
      </c>
      <c r="H2034" s="95" t="str">
        <f>IFERROR(VLOOKUP(A2034,[2]wms_lc_f!$A$1:$B$156,2,FALSE),"")</f>
        <v/>
      </c>
    </row>
    <row r="2035" spans="1:8" hidden="1">
      <c r="A2035" s="68">
        <v>129752</v>
      </c>
      <c r="B2035" s="69" t="s">
        <v>2613</v>
      </c>
      <c r="C2035" s="70" t="s">
        <v>816</v>
      </c>
      <c r="D2035" s="70" t="s">
        <v>2610</v>
      </c>
      <c r="E2035" s="80"/>
      <c r="F2035" s="70" t="s">
        <v>2612</v>
      </c>
      <c r="G2035" s="70" t="str">
        <f>IFERROR(VLOOKUP(A2035,[1]wms_iv_f!$A$1:$E$136,4,FALSE),"")</f>
        <v/>
      </c>
      <c r="H2035" s="95" t="str">
        <f>IFERROR(VLOOKUP(A2035,[2]wms_lc_f!$A$1:$B$156,2,FALSE),"")</f>
        <v>12-119-A2</v>
      </c>
    </row>
    <row r="2036" spans="1:8" hidden="1">
      <c r="A2036" s="71">
        <v>101245</v>
      </c>
      <c r="B2036" s="69" t="s">
        <v>2613</v>
      </c>
      <c r="C2036" s="70" t="s">
        <v>819</v>
      </c>
      <c r="D2036" s="70" t="s">
        <v>2610</v>
      </c>
      <c r="E2036" s="72"/>
      <c r="F2036" s="70" t="s">
        <v>2612</v>
      </c>
      <c r="G2036" s="70" t="str">
        <f>IFERROR(VLOOKUP(A2036,[1]wms_iv_f!$A$1:$E$136,4,FALSE),"")</f>
        <v/>
      </c>
      <c r="H2036" s="95" t="str">
        <f>IFERROR(VLOOKUP(A2036,[2]wms_lc_f!$A$1:$B$156,2,FALSE),"")</f>
        <v/>
      </c>
    </row>
    <row r="2037" spans="1:8" hidden="1">
      <c r="A2037" s="71">
        <v>101245</v>
      </c>
      <c r="B2037" s="69" t="s">
        <v>2613</v>
      </c>
      <c r="C2037" s="70" t="s">
        <v>820</v>
      </c>
      <c r="D2037" s="70" t="s">
        <v>2610</v>
      </c>
      <c r="E2037" s="72"/>
      <c r="F2037" s="70" t="s">
        <v>2612</v>
      </c>
      <c r="G2037" s="70" t="str">
        <f>IFERROR(VLOOKUP(A2037,[1]wms_iv_f!$A$1:$E$136,4,FALSE),"")</f>
        <v/>
      </c>
      <c r="H2037" s="95" t="str">
        <f>IFERROR(VLOOKUP(A2037,[2]wms_lc_f!$A$1:$B$156,2,FALSE),"")</f>
        <v/>
      </c>
    </row>
    <row r="2038" spans="1:8" hidden="1">
      <c r="A2038" s="71">
        <v>48962</v>
      </c>
      <c r="B2038" s="69" t="s">
        <v>2613</v>
      </c>
      <c r="C2038" s="70" t="s">
        <v>825</v>
      </c>
      <c r="D2038" s="70" t="s">
        <v>2610</v>
      </c>
      <c r="E2038" s="72"/>
      <c r="F2038" s="70"/>
      <c r="G2038" s="70" t="str">
        <f>IFERROR(VLOOKUP(A2038,[1]wms_iv_f!$A$1:$E$136,4,FALSE),"")</f>
        <v/>
      </c>
      <c r="H2038" s="95" t="str">
        <f>IFERROR(VLOOKUP(A2038,[2]wms_lc_f!$A$1:$B$156,2,FALSE),"")</f>
        <v/>
      </c>
    </row>
    <row r="2039" spans="1:8" hidden="1">
      <c r="A2039" s="71">
        <v>48962</v>
      </c>
      <c r="B2039" s="69" t="s">
        <v>2613</v>
      </c>
      <c r="C2039" s="70" t="s">
        <v>826</v>
      </c>
      <c r="D2039" s="70" t="s">
        <v>2610</v>
      </c>
      <c r="E2039" s="72"/>
      <c r="F2039" s="70"/>
      <c r="G2039" s="70" t="str">
        <f>IFERROR(VLOOKUP(A2039,[1]wms_iv_f!$A$1:$E$136,4,FALSE),"")</f>
        <v/>
      </c>
      <c r="H2039" s="95" t="str">
        <f>IFERROR(VLOOKUP(A2039,[2]wms_lc_f!$A$1:$B$156,2,FALSE),"")</f>
        <v/>
      </c>
    </row>
    <row r="2040" spans="1:8" hidden="1">
      <c r="A2040" s="71">
        <v>804</v>
      </c>
      <c r="B2040" s="69" t="s">
        <v>2613</v>
      </c>
      <c r="C2040" s="70" t="s">
        <v>713</v>
      </c>
      <c r="D2040" s="70" t="s">
        <v>2610</v>
      </c>
      <c r="E2040" s="72"/>
      <c r="F2040" s="70"/>
      <c r="G2040" s="70" t="str">
        <f>IFERROR(VLOOKUP(A2040,[1]wms_iv_f!$A$1:$E$136,4,FALSE),"")</f>
        <v/>
      </c>
      <c r="H2040" s="95" t="str">
        <f>IFERROR(VLOOKUP(A2040,[2]wms_lc_f!$A$1:$B$156,2,FALSE),"")</f>
        <v/>
      </c>
    </row>
    <row r="2041" spans="1:8" hidden="1">
      <c r="A2041" s="71">
        <v>804</v>
      </c>
      <c r="B2041" s="69" t="s">
        <v>2613</v>
      </c>
      <c r="C2041" s="70" t="s">
        <v>714</v>
      </c>
      <c r="D2041" s="70" t="s">
        <v>2610</v>
      </c>
      <c r="E2041" s="72"/>
      <c r="F2041" s="70"/>
      <c r="G2041" s="70" t="str">
        <f>IFERROR(VLOOKUP(A2041,[1]wms_iv_f!$A$1:$E$136,4,FALSE),"")</f>
        <v/>
      </c>
      <c r="H2041" s="95" t="str">
        <f>IFERROR(VLOOKUP(A2041,[2]wms_lc_f!$A$1:$B$156,2,FALSE),"")</f>
        <v/>
      </c>
    </row>
    <row r="2042" spans="1:8" hidden="1">
      <c r="A2042" s="71"/>
      <c r="B2042" s="69" t="s">
        <v>2613</v>
      </c>
      <c r="C2042" s="70" t="s">
        <v>839</v>
      </c>
      <c r="D2042" s="70" t="s">
        <v>2610</v>
      </c>
      <c r="E2042" s="72"/>
      <c r="F2042" s="70"/>
      <c r="G2042" s="70" t="str">
        <f>IFERROR(VLOOKUP(A2042,[1]wms_iv_f!$A$1:$E$136,4,FALSE),"")</f>
        <v/>
      </c>
      <c r="H2042" s="95" t="str">
        <f>IFERROR(VLOOKUP(A2042,[2]wms_lc_f!$A$1:$B$156,2,FALSE),"")</f>
        <v/>
      </c>
    </row>
    <row r="2043" spans="1:8" hidden="1">
      <c r="A2043" s="71">
        <v>43</v>
      </c>
      <c r="B2043" s="69" t="s">
        <v>2613</v>
      </c>
      <c r="C2043" s="70" t="s">
        <v>1095</v>
      </c>
      <c r="D2043" s="70" t="s">
        <v>2614</v>
      </c>
      <c r="E2043" s="70"/>
      <c r="F2043" s="70"/>
      <c r="G2043" s="70" t="str">
        <f>IFERROR(VLOOKUP(A2043,[1]wms_iv_f!$A$1:$E$136,4,FALSE),"")</f>
        <v/>
      </c>
      <c r="H2043" s="95" t="str">
        <f>IFERROR(VLOOKUP(A2043,[2]wms_lc_f!$A$1:$B$156,2,FALSE),"")</f>
        <v/>
      </c>
    </row>
    <row r="2044" spans="1:8" hidden="1">
      <c r="A2044" s="71">
        <v>154</v>
      </c>
      <c r="B2044" s="69" t="s">
        <v>2613</v>
      </c>
      <c r="C2044" s="70" t="s">
        <v>984</v>
      </c>
      <c r="D2044" s="70" t="s">
        <v>2614</v>
      </c>
      <c r="E2044" s="70"/>
      <c r="F2044" s="70"/>
      <c r="G2044" s="70" t="str">
        <f>IFERROR(VLOOKUP(A2044,[1]wms_iv_f!$A$1:$E$136,4,FALSE),"")</f>
        <v/>
      </c>
      <c r="H2044" s="95" t="str">
        <f>IFERROR(VLOOKUP(A2044,[2]wms_lc_f!$A$1:$B$156,2,FALSE),"")</f>
        <v/>
      </c>
    </row>
    <row r="2045" spans="1:8" hidden="1">
      <c r="A2045" s="71">
        <f>IFERROR(VLOOKUP(C2045,[3]wms_iv_f!$A$1:$D$135,2,FALSE),"")</f>
        <v>325</v>
      </c>
      <c r="B2045" s="69" t="s">
        <v>2613</v>
      </c>
      <c r="C2045" s="70" t="s">
        <v>982</v>
      </c>
      <c r="D2045" s="70" t="s">
        <v>2614</v>
      </c>
      <c r="E2045" s="70"/>
      <c r="F2045" s="70"/>
      <c r="G2045" s="70" t="str">
        <f>IFERROR(VLOOKUP(A2045,[1]wms_iv_f!$A$1:$E$136,4,FALSE),"")</f>
        <v>M17-2-1B01</v>
      </c>
      <c r="H2045" s="95" t="str">
        <f>IFERROR(VLOOKUP(A2045,[2]wms_lc_f!$A$1:$B$156,2,FALSE),"")</f>
        <v/>
      </c>
    </row>
    <row r="2046" spans="1:8" hidden="1">
      <c r="A2046" s="73">
        <v>340</v>
      </c>
      <c r="B2046" s="69" t="s">
        <v>2613</v>
      </c>
      <c r="C2046" s="70" t="s">
        <v>981</v>
      </c>
      <c r="D2046" s="70" t="s">
        <v>2614</v>
      </c>
      <c r="E2046" s="74"/>
      <c r="F2046" s="70"/>
      <c r="G2046" s="70" t="str">
        <f>IFERROR(VLOOKUP(A2046,[1]wms_iv_f!$A$1:$E$136,4,FALSE),"")</f>
        <v/>
      </c>
      <c r="H2046" s="95" t="str">
        <f>IFERROR(VLOOKUP(A2046,[2]wms_lc_f!$A$1:$B$156,2,FALSE),"")</f>
        <v/>
      </c>
    </row>
    <row r="2047" spans="1:8" hidden="1">
      <c r="A2047" s="69">
        <v>1290</v>
      </c>
      <c r="B2047" s="69" t="s">
        <v>2613</v>
      </c>
      <c r="C2047" s="70" t="s">
        <v>1210</v>
      </c>
      <c r="D2047" s="70" t="s">
        <v>2614</v>
      </c>
      <c r="E2047" s="70"/>
      <c r="F2047" s="70"/>
      <c r="G2047" s="70" t="str">
        <f>IFERROR(VLOOKUP(A2047,[1]wms_iv_f!$A$1:$E$136,4,FALSE),"")</f>
        <v/>
      </c>
      <c r="H2047" s="95" t="str">
        <f>IFERROR(VLOOKUP(A2047,[2]wms_lc_f!$A$1:$B$156,2,FALSE),"")</f>
        <v/>
      </c>
    </row>
    <row r="2048" spans="1:8" hidden="1">
      <c r="A2048" s="69">
        <v>1397</v>
      </c>
      <c r="B2048" s="69" t="s">
        <v>2613</v>
      </c>
      <c r="C2048" s="70" t="s">
        <v>1226</v>
      </c>
      <c r="D2048" s="70" t="s">
        <v>2610</v>
      </c>
      <c r="E2048" s="72"/>
      <c r="F2048" s="70"/>
      <c r="G2048" s="70" t="str">
        <f>IFERROR(VLOOKUP(A2048,[1]wms_iv_f!$A$1:$E$136,4,FALSE),"")</f>
        <v/>
      </c>
      <c r="H2048" s="95" t="str">
        <f>IFERROR(VLOOKUP(A2048,[2]wms_lc_f!$A$1:$B$156,2,FALSE),"")</f>
        <v/>
      </c>
    </row>
    <row r="2049" spans="1:8" hidden="1">
      <c r="A2049" s="69">
        <f>IFERROR(VLOOKUP(C2049,[3]wms_iv_f!$A$1:$D$135,2,FALSE),"")</f>
        <v>1428</v>
      </c>
      <c r="B2049" s="69" t="s">
        <v>2613</v>
      </c>
      <c r="C2049" s="70" t="s">
        <v>1218</v>
      </c>
      <c r="D2049" s="70" t="s">
        <v>2614</v>
      </c>
      <c r="E2049" s="70"/>
      <c r="F2049" s="70"/>
      <c r="G2049" s="70" t="str">
        <f>IFERROR(VLOOKUP(A2049,[1]wms_iv_f!$A$1:$E$136,4,FALSE),"")</f>
        <v>M17-2-1B08</v>
      </c>
      <c r="H2049" s="95" t="str">
        <f>IFERROR(VLOOKUP(A2049,[2]wms_lc_f!$A$1:$B$156,2,FALSE),"")</f>
        <v/>
      </c>
    </row>
    <row r="2050" spans="1:8" hidden="1">
      <c r="A2050" s="68">
        <f>IFERROR(VLOOKUP(C2050,[3]wms_iv_f!$A$1:$D$135,2,FALSE),"")</f>
        <v>1471</v>
      </c>
      <c r="B2050" s="69" t="s">
        <v>2613</v>
      </c>
      <c r="C2050" s="70" t="s">
        <v>990</v>
      </c>
      <c r="D2050" s="70" t="s">
        <v>2614</v>
      </c>
      <c r="E2050" s="76"/>
      <c r="F2050" s="70"/>
      <c r="G2050" s="70" t="str">
        <f>IFERROR(VLOOKUP(A2050,[1]wms_iv_f!$A$1:$E$136,4,FALSE),"")</f>
        <v>M17-2-1B02</v>
      </c>
      <c r="H2050" s="95" t="str">
        <f>IFERROR(VLOOKUP(A2050,[2]wms_lc_f!$A$1:$B$156,2,FALSE),"")</f>
        <v/>
      </c>
    </row>
    <row r="2051" spans="1:8" hidden="1">
      <c r="A2051" s="71">
        <v>1866</v>
      </c>
      <c r="B2051" s="69" t="s">
        <v>2613</v>
      </c>
      <c r="C2051" s="70" t="s">
        <v>1129</v>
      </c>
      <c r="D2051" s="70" t="s">
        <v>2610</v>
      </c>
      <c r="E2051" s="72"/>
      <c r="F2051" s="70"/>
      <c r="G2051" s="70" t="str">
        <f>IFERROR(VLOOKUP(A2051,[1]wms_iv_f!$A$1:$E$136,4,FALSE),"")</f>
        <v/>
      </c>
      <c r="H2051" s="95" t="str">
        <f>IFERROR(VLOOKUP(A2051,[2]wms_lc_f!$A$1:$B$156,2,FALSE),"")</f>
        <v/>
      </c>
    </row>
    <row r="2052" spans="1:8" hidden="1">
      <c r="A2052" s="71">
        <v>1932</v>
      </c>
      <c r="B2052" s="69" t="s">
        <v>2613</v>
      </c>
      <c r="C2052" s="70" t="s">
        <v>1079</v>
      </c>
      <c r="D2052" s="70" t="s">
        <v>2614</v>
      </c>
      <c r="E2052" s="70"/>
      <c r="F2052" s="70"/>
      <c r="G2052" s="70" t="str">
        <f>IFERROR(VLOOKUP(A2052,[1]wms_iv_f!$A$1:$E$136,4,FALSE),"")</f>
        <v/>
      </c>
      <c r="H2052" s="95" t="str">
        <f>IFERROR(VLOOKUP(A2052,[2]wms_lc_f!$A$1:$B$156,2,FALSE),"")</f>
        <v/>
      </c>
    </row>
    <row r="2053" spans="1:8" hidden="1">
      <c r="A2053" s="71">
        <v>2493</v>
      </c>
      <c r="B2053" s="69" t="s">
        <v>2613</v>
      </c>
      <c r="C2053" s="70" t="s">
        <v>973</v>
      </c>
      <c r="D2053" s="70" t="s">
        <v>2614</v>
      </c>
      <c r="E2053" s="70"/>
      <c r="F2053" s="70"/>
      <c r="G2053" s="70" t="str">
        <f>IFERROR(VLOOKUP(A2053,[1]wms_iv_f!$A$1:$E$136,4,FALSE),"")</f>
        <v/>
      </c>
      <c r="H2053" s="95" t="str">
        <f>IFERROR(VLOOKUP(A2053,[2]wms_lc_f!$A$1:$B$156,2,FALSE),"")</f>
        <v/>
      </c>
    </row>
    <row r="2054" spans="1:8" hidden="1">
      <c r="A2054" s="71">
        <f>IFERROR(VLOOKUP(C2054,[3]wms_iv_f!$A$1:$D$135,2,FALSE),"")</f>
        <v>2693</v>
      </c>
      <c r="B2054" s="69" t="s">
        <v>2613</v>
      </c>
      <c r="C2054" s="70" t="s">
        <v>1094</v>
      </c>
      <c r="D2054" s="70" t="s">
        <v>2614</v>
      </c>
      <c r="E2054" s="70"/>
      <c r="F2054" s="70"/>
      <c r="G2054" s="70" t="str">
        <f>IFERROR(VLOOKUP(A2054,[1]wms_iv_f!$A$1:$E$136,4,FALSE),"")</f>
        <v>M17-2-1C08</v>
      </c>
      <c r="H2054" s="95" t="str">
        <f>IFERROR(VLOOKUP(A2054,[2]wms_lc_f!$A$1:$B$156,2,FALSE),"")</f>
        <v/>
      </c>
    </row>
    <row r="2055" spans="1:8" hidden="1">
      <c r="A2055" s="71">
        <v>6832</v>
      </c>
      <c r="B2055" s="69" t="s">
        <v>2613</v>
      </c>
      <c r="C2055" s="70" t="s">
        <v>1197</v>
      </c>
      <c r="D2055" s="70" t="s">
        <v>2614</v>
      </c>
      <c r="E2055" s="70"/>
      <c r="F2055" s="70"/>
      <c r="G2055" s="70" t="str">
        <f>IFERROR(VLOOKUP(A2055,[1]wms_iv_f!$A$1:$E$136,4,FALSE),"")</f>
        <v/>
      </c>
      <c r="H2055" s="95" t="str">
        <f>IFERROR(VLOOKUP(A2055,[2]wms_lc_f!$A$1:$B$156,2,FALSE),"")</f>
        <v/>
      </c>
    </row>
    <row r="2056" spans="1:8" hidden="1">
      <c r="A2056" s="71">
        <v>7896</v>
      </c>
      <c r="B2056" s="69" t="s">
        <v>2613</v>
      </c>
      <c r="C2056" s="70" t="s">
        <v>1194</v>
      </c>
      <c r="D2056" s="70" t="s">
        <v>2614</v>
      </c>
      <c r="E2056" s="70"/>
      <c r="F2056" s="70"/>
      <c r="G2056" s="70" t="str">
        <f>IFERROR(VLOOKUP(A2056,[1]wms_iv_f!$A$1:$E$136,4,FALSE),"")</f>
        <v/>
      </c>
      <c r="H2056" s="95" t="str">
        <f>IFERROR(VLOOKUP(A2056,[2]wms_lc_f!$A$1:$B$156,2,FALSE),"")</f>
        <v/>
      </c>
    </row>
    <row r="2057" spans="1:8" hidden="1">
      <c r="A2057" s="71">
        <v>8538</v>
      </c>
      <c r="B2057" s="69" t="s">
        <v>2613</v>
      </c>
      <c r="C2057" s="70" t="s">
        <v>1193</v>
      </c>
      <c r="D2057" s="70" t="s">
        <v>2614</v>
      </c>
      <c r="E2057" s="70"/>
      <c r="F2057" s="70"/>
      <c r="G2057" s="70" t="str">
        <f>IFERROR(VLOOKUP(A2057,[1]wms_iv_f!$A$1:$E$136,4,FALSE),"")</f>
        <v/>
      </c>
      <c r="H2057" s="95" t="str">
        <f>IFERROR(VLOOKUP(A2057,[2]wms_lc_f!$A$1:$B$156,2,FALSE),"")</f>
        <v/>
      </c>
    </row>
    <row r="2058" spans="1:8" hidden="1">
      <c r="A2058" s="71">
        <v>8538</v>
      </c>
      <c r="B2058" s="69" t="s">
        <v>2613</v>
      </c>
      <c r="C2058" s="70" t="s">
        <v>1207</v>
      </c>
      <c r="D2058" s="70" t="s">
        <v>2614</v>
      </c>
      <c r="E2058" s="70"/>
      <c r="F2058" s="70"/>
      <c r="G2058" s="70" t="str">
        <f>IFERROR(VLOOKUP(A2058,[1]wms_iv_f!$A$1:$E$136,4,FALSE),"")</f>
        <v/>
      </c>
      <c r="H2058" s="95" t="str">
        <f>IFERROR(VLOOKUP(A2058,[2]wms_lc_f!$A$1:$B$156,2,FALSE),"")</f>
        <v/>
      </c>
    </row>
    <row r="2059" spans="1:8" hidden="1">
      <c r="A2059" s="71">
        <v>8597</v>
      </c>
      <c r="B2059" s="69" t="s">
        <v>2613</v>
      </c>
      <c r="C2059" s="70" t="s">
        <v>1217</v>
      </c>
      <c r="D2059" s="70" t="s">
        <v>2614</v>
      </c>
      <c r="E2059" s="70"/>
      <c r="F2059" s="70"/>
      <c r="G2059" s="70" t="str">
        <f>IFERROR(VLOOKUP(A2059,[1]wms_iv_f!$A$1:$E$136,4,FALSE),"")</f>
        <v/>
      </c>
      <c r="H2059" s="95" t="str">
        <f>IFERROR(VLOOKUP(A2059,[2]wms_lc_f!$A$1:$B$156,2,FALSE),"")</f>
        <v/>
      </c>
    </row>
    <row r="2060" spans="1:8" hidden="1">
      <c r="A2060" s="71">
        <v>8597</v>
      </c>
      <c r="B2060" s="69" t="s">
        <v>2613</v>
      </c>
      <c r="C2060" s="70" t="s">
        <v>976</v>
      </c>
      <c r="D2060" s="70" t="s">
        <v>2614</v>
      </c>
      <c r="E2060" s="70"/>
      <c r="F2060" s="70"/>
      <c r="G2060" s="70" t="str">
        <f>IFERROR(VLOOKUP(A2060,[1]wms_iv_f!$A$1:$E$136,4,FALSE),"")</f>
        <v/>
      </c>
      <c r="H2060" s="95" t="str">
        <f>IFERROR(VLOOKUP(A2060,[2]wms_lc_f!$A$1:$B$156,2,FALSE),"")</f>
        <v/>
      </c>
    </row>
    <row r="2061" spans="1:8" hidden="1">
      <c r="A2061" s="71">
        <v>13801</v>
      </c>
      <c r="B2061" s="69" t="s">
        <v>2613</v>
      </c>
      <c r="C2061" s="70" t="s">
        <v>975</v>
      </c>
      <c r="D2061" s="70" t="s">
        <v>2614</v>
      </c>
      <c r="E2061" s="70"/>
      <c r="F2061" s="70"/>
      <c r="G2061" s="70" t="str">
        <f>IFERROR(VLOOKUP(A2061,[1]wms_iv_f!$A$1:$E$136,4,FALSE),"")</f>
        <v/>
      </c>
      <c r="H2061" s="95" t="str">
        <f>IFERROR(VLOOKUP(A2061,[2]wms_lc_f!$A$1:$B$156,2,FALSE),"")</f>
        <v/>
      </c>
    </row>
    <row r="2062" spans="1:8" hidden="1">
      <c r="A2062" s="71">
        <v>31486</v>
      </c>
      <c r="B2062" s="69" t="s">
        <v>2613</v>
      </c>
      <c r="C2062" s="70" t="s">
        <v>983</v>
      </c>
      <c r="D2062" s="70" t="s">
        <v>2614</v>
      </c>
      <c r="E2062" s="70"/>
      <c r="F2062" s="70"/>
      <c r="G2062" s="70" t="str">
        <f>IFERROR(VLOOKUP(A2062,[1]wms_iv_f!$A$1:$E$136,4,FALSE),"")</f>
        <v/>
      </c>
      <c r="H2062" s="95" t="str">
        <f>IFERROR(VLOOKUP(A2062,[2]wms_lc_f!$A$1:$B$156,2,FALSE),"")</f>
        <v/>
      </c>
    </row>
    <row r="2063" spans="1:8" hidden="1">
      <c r="A2063" s="71">
        <v>31595</v>
      </c>
      <c r="B2063" s="69" t="s">
        <v>2613</v>
      </c>
      <c r="C2063" s="70" t="s">
        <v>1084</v>
      </c>
      <c r="D2063" s="70" t="s">
        <v>2614</v>
      </c>
      <c r="E2063" s="70"/>
      <c r="F2063" s="70"/>
      <c r="G2063" s="70" t="str">
        <f>IFERROR(VLOOKUP(A2063,[1]wms_iv_f!$A$1:$E$136,4,FALSE),"")</f>
        <v/>
      </c>
      <c r="H2063" s="95" t="str">
        <f>IFERROR(VLOOKUP(A2063,[2]wms_lc_f!$A$1:$B$156,2,FALSE),"")</f>
        <v/>
      </c>
    </row>
    <row r="2064" spans="1:8" hidden="1">
      <c r="A2064" s="71">
        <f>IFERROR(VLOOKUP(C2064,[3]wms_iv_f!$A$1:$D$135,2,FALSE),"")</f>
        <v>35402</v>
      </c>
      <c r="B2064" s="69" t="s">
        <v>2613</v>
      </c>
      <c r="C2064" s="70" t="s">
        <v>1105</v>
      </c>
      <c r="D2064" s="70" t="s">
        <v>2614</v>
      </c>
      <c r="E2064" s="70"/>
      <c r="F2064" s="70"/>
      <c r="G2064" s="70" t="str">
        <f>IFERROR(VLOOKUP(A2064,[1]wms_iv_f!$A$1:$E$136,4,FALSE),"")</f>
        <v>M17-2-1C02</v>
      </c>
      <c r="H2064" s="95" t="str">
        <f>IFERROR(VLOOKUP(A2064,[2]wms_lc_f!$A$1:$B$156,2,FALSE),"")</f>
        <v/>
      </c>
    </row>
    <row r="2065" spans="1:8" hidden="1">
      <c r="A2065" s="71">
        <v>37892</v>
      </c>
      <c r="B2065" s="69" t="s">
        <v>2613</v>
      </c>
      <c r="C2065" s="70" t="s">
        <v>1208</v>
      </c>
      <c r="D2065" s="70" t="s">
        <v>2614</v>
      </c>
      <c r="E2065" s="70"/>
      <c r="F2065" s="70"/>
      <c r="G2065" s="70" t="str">
        <f>IFERROR(VLOOKUP(A2065,[1]wms_iv_f!$A$1:$E$136,4,FALSE),"")</f>
        <v/>
      </c>
      <c r="H2065" s="95" t="str">
        <f>IFERROR(VLOOKUP(A2065,[2]wms_lc_f!$A$1:$B$156,2,FALSE),"")</f>
        <v/>
      </c>
    </row>
    <row r="2066" spans="1:8" hidden="1">
      <c r="A2066" s="71">
        <v>38186</v>
      </c>
      <c r="B2066" s="69" t="s">
        <v>2613</v>
      </c>
      <c r="C2066" s="70" t="s">
        <v>1205</v>
      </c>
      <c r="D2066" s="70" t="s">
        <v>2614</v>
      </c>
      <c r="E2066" s="70"/>
      <c r="F2066" s="70"/>
      <c r="G2066" s="70" t="str">
        <f>IFERROR(VLOOKUP(A2066,[1]wms_iv_f!$A$1:$E$136,4,FALSE),"")</f>
        <v/>
      </c>
      <c r="H2066" s="95" t="str">
        <f>IFERROR(VLOOKUP(A2066,[2]wms_lc_f!$A$1:$B$156,2,FALSE),"")</f>
        <v/>
      </c>
    </row>
    <row r="2067" spans="1:8" hidden="1">
      <c r="A2067" s="71">
        <f>IFERROR(VLOOKUP(C2067,[3]wms_iv_f!$A$1:$D$135,2,FALSE),"")</f>
        <v>52581</v>
      </c>
      <c r="B2067" s="69" t="s">
        <v>2613</v>
      </c>
      <c r="C2067" s="70" t="s">
        <v>1106</v>
      </c>
      <c r="D2067" s="70" t="s">
        <v>2614</v>
      </c>
      <c r="E2067" s="70"/>
      <c r="F2067" s="70"/>
      <c r="G2067" s="70" t="str">
        <f>IFERROR(VLOOKUP(A2067,[1]wms_iv_f!$A$1:$E$136,4,FALSE),"")</f>
        <v>M17-2-1C09</v>
      </c>
      <c r="H2067" s="95" t="str">
        <f>IFERROR(VLOOKUP(A2067,[2]wms_lc_f!$A$1:$B$156,2,FALSE),"")</f>
        <v/>
      </c>
    </row>
    <row r="2068" spans="1:8" hidden="1">
      <c r="A2068" s="71">
        <v>57380</v>
      </c>
      <c r="B2068" s="69" t="s">
        <v>2613</v>
      </c>
      <c r="C2068" s="70" t="s">
        <v>992</v>
      </c>
      <c r="D2068" s="70" t="s">
        <v>2614</v>
      </c>
      <c r="E2068" s="70"/>
      <c r="F2068" s="70"/>
      <c r="G2068" s="70" t="str">
        <f>IFERROR(VLOOKUP(A2068,[1]wms_iv_f!$A$1:$E$136,4,FALSE),"")</f>
        <v/>
      </c>
      <c r="H2068" s="95" t="str">
        <f>IFERROR(VLOOKUP(A2068,[2]wms_lc_f!$A$1:$B$156,2,FALSE),"")</f>
        <v/>
      </c>
    </row>
    <row r="2069" spans="1:8" hidden="1">
      <c r="A2069" s="71">
        <f>IFERROR(VLOOKUP(C2069,[3]wms_iv_f!$A$1:$D$135,2,FALSE),"")</f>
        <v>60169</v>
      </c>
      <c r="B2069" s="69" t="s">
        <v>2613</v>
      </c>
      <c r="C2069" s="70" t="s">
        <v>1196</v>
      </c>
      <c r="D2069" s="70" t="s">
        <v>2614</v>
      </c>
      <c r="E2069" s="70"/>
      <c r="F2069" s="70"/>
      <c r="G2069" s="70" t="str">
        <f>IFERROR(VLOOKUP(A2069,[1]wms_iv_f!$A$1:$E$136,4,FALSE),"")</f>
        <v>M17-2-1C10</v>
      </c>
      <c r="H2069" s="95" t="str">
        <f>IFERROR(VLOOKUP(A2069,[2]wms_lc_f!$A$1:$B$156,2,FALSE),"")</f>
        <v/>
      </c>
    </row>
    <row r="2070" spans="1:8" hidden="1">
      <c r="A2070" s="71">
        <v>66203</v>
      </c>
      <c r="B2070" s="69" t="s">
        <v>2613</v>
      </c>
      <c r="C2070" s="70" t="s">
        <v>1080</v>
      </c>
      <c r="D2070" s="70" t="s">
        <v>2614</v>
      </c>
      <c r="E2070" s="70"/>
      <c r="F2070" s="70"/>
      <c r="G2070" s="70" t="str">
        <f>IFERROR(VLOOKUP(A2070,[1]wms_iv_f!$A$1:$E$136,4,FALSE),"")</f>
        <v/>
      </c>
      <c r="H2070" s="95" t="str">
        <f>IFERROR(VLOOKUP(A2070,[2]wms_lc_f!$A$1:$B$156,2,FALSE),"")</f>
        <v/>
      </c>
    </row>
    <row r="2071" spans="1:8" hidden="1">
      <c r="A2071" s="71">
        <v>74068</v>
      </c>
      <c r="B2071" s="69" t="s">
        <v>2613</v>
      </c>
      <c r="C2071" s="70" t="s">
        <v>1092</v>
      </c>
      <c r="D2071" s="70" t="s">
        <v>2614</v>
      </c>
      <c r="E2071" s="70"/>
      <c r="F2071" s="70"/>
      <c r="G2071" s="70" t="str">
        <f>IFERROR(VLOOKUP(A2071,[1]wms_iv_f!$A$1:$E$136,4,FALSE),"")</f>
        <v/>
      </c>
      <c r="H2071" s="95" t="str">
        <f>IFERROR(VLOOKUP(A2071,[2]wms_lc_f!$A$1:$B$156,2,FALSE),"")</f>
        <v/>
      </c>
    </row>
    <row r="2072" spans="1:8" hidden="1">
      <c r="A2072" s="71">
        <v>79448</v>
      </c>
      <c r="B2072" s="69" t="s">
        <v>2613</v>
      </c>
      <c r="C2072" s="70" t="s">
        <v>1108</v>
      </c>
      <c r="D2072" s="70" t="s">
        <v>2614</v>
      </c>
      <c r="E2072" s="70"/>
      <c r="F2072" s="70"/>
      <c r="G2072" s="70" t="str">
        <f>IFERROR(VLOOKUP(A2072,[1]wms_iv_f!$A$1:$E$136,4,FALSE),"")</f>
        <v/>
      </c>
      <c r="H2072" s="95" t="str">
        <f>IFERROR(VLOOKUP(A2072,[2]wms_lc_f!$A$1:$B$156,2,FALSE),"")</f>
        <v/>
      </c>
    </row>
    <row r="2073" spans="1:8" hidden="1">
      <c r="A2073" s="71">
        <v>83932</v>
      </c>
      <c r="B2073" s="69" t="s">
        <v>2613</v>
      </c>
      <c r="C2073" s="70" t="s">
        <v>994</v>
      </c>
      <c r="D2073" s="70" t="s">
        <v>2614</v>
      </c>
      <c r="E2073" s="70"/>
      <c r="F2073" s="70"/>
      <c r="G2073" s="70" t="str">
        <f>IFERROR(VLOOKUP(A2073,[1]wms_iv_f!$A$1:$E$136,4,FALSE),"")</f>
        <v/>
      </c>
      <c r="H2073" s="95" t="str">
        <f>IFERROR(VLOOKUP(A2073,[2]wms_lc_f!$A$1:$B$156,2,FALSE),"")</f>
        <v/>
      </c>
    </row>
    <row r="2074" spans="1:8" hidden="1">
      <c r="A2074" s="71">
        <f>IFERROR(VLOOKUP(C2074,[3]wms_iv_f!$A$1:$D$135,2,FALSE),"")</f>
        <v>95801</v>
      </c>
      <c r="B2074" s="69" t="s">
        <v>2613</v>
      </c>
      <c r="C2074" s="70" t="s">
        <v>991</v>
      </c>
      <c r="D2074" s="70" t="s">
        <v>2614</v>
      </c>
      <c r="E2074" s="70"/>
      <c r="F2074" s="70"/>
      <c r="G2074" s="70" t="str">
        <f>IFERROR(VLOOKUP(A2074,[1]wms_iv_f!$A$1:$E$136,4,FALSE),"")</f>
        <v>M17-2-1B09</v>
      </c>
      <c r="H2074" s="95" t="str">
        <f>IFERROR(VLOOKUP(A2074,[2]wms_lc_f!$A$1:$B$156,2,FALSE),"")</f>
        <v/>
      </c>
    </row>
    <row r="2075" spans="1:8" hidden="1">
      <c r="A2075" s="71">
        <v>95802</v>
      </c>
      <c r="B2075" s="69" t="s">
        <v>2613</v>
      </c>
      <c r="C2075" s="70" t="s">
        <v>974</v>
      </c>
      <c r="D2075" s="70" t="s">
        <v>2614</v>
      </c>
      <c r="E2075" s="70"/>
      <c r="F2075" s="70"/>
      <c r="G2075" s="70" t="str">
        <f>IFERROR(VLOOKUP(A2075,[1]wms_iv_f!$A$1:$E$136,4,FALSE),"")</f>
        <v/>
      </c>
      <c r="H2075" s="95" t="str">
        <f>IFERROR(VLOOKUP(A2075,[2]wms_lc_f!$A$1:$B$156,2,FALSE),"")</f>
        <v/>
      </c>
    </row>
    <row r="2076" spans="1:8" hidden="1">
      <c r="A2076" s="71">
        <v>96726</v>
      </c>
      <c r="B2076" s="69" t="s">
        <v>2613</v>
      </c>
      <c r="C2076" s="70" t="s">
        <v>1221</v>
      </c>
      <c r="D2076" s="70" t="s">
        <v>2614</v>
      </c>
      <c r="E2076" s="70"/>
      <c r="F2076" s="70"/>
      <c r="G2076" s="70" t="str">
        <f>IFERROR(VLOOKUP(A2076,[1]wms_iv_f!$A$1:$E$136,4,FALSE),"")</f>
        <v/>
      </c>
      <c r="H2076" s="95" t="str">
        <f>IFERROR(VLOOKUP(A2076,[2]wms_lc_f!$A$1:$B$156,2,FALSE),"")</f>
        <v/>
      </c>
    </row>
    <row r="2077" spans="1:8" hidden="1">
      <c r="A2077" s="71">
        <v>97069</v>
      </c>
      <c r="B2077" s="69" t="s">
        <v>2613</v>
      </c>
      <c r="C2077" s="70" t="s">
        <v>1209</v>
      </c>
      <c r="D2077" s="70" t="s">
        <v>2614</v>
      </c>
      <c r="E2077" s="70"/>
      <c r="F2077" s="70"/>
      <c r="G2077" s="70" t="str">
        <f>IFERROR(VLOOKUP(A2077,[1]wms_iv_f!$A$1:$E$136,4,FALSE),"")</f>
        <v/>
      </c>
      <c r="H2077" s="95" t="str">
        <f>IFERROR(VLOOKUP(A2077,[2]wms_lc_f!$A$1:$B$156,2,FALSE),"")</f>
        <v/>
      </c>
    </row>
    <row r="2078" spans="1:8" hidden="1">
      <c r="A2078" s="71">
        <v>97854</v>
      </c>
      <c r="B2078" s="69" t="s">
        <v>2613</v>
      </c>
      <c r="C2078" s="70" t="s">
        <v>1198</v>
      </c>
      <c r="D2078" s="70" t="s">
        <v>2614</v>
      </c>
      <c r="E2078" s="70"/>
      <c r="F2078" s="70"/>
      <c r="G2078" s="70" t="str">
        <f>IFERROR(VLOOKUP(A2078,[1]wms_iv_f!$A$1:$E$136,4,FALSE),"")</f>
        <v/>
      </c>
      <c r="H2078" s="95" t="str">
        <f>IFERROR(VLOOKUP(A2078,[2]wms_lc_f!$A$1:$B$156,2,FALSE),"")</f>
        <v/>
      </c>
    </row>
    <row r="2079" spans="1:8" hidden="1">
      <c r="A2079" s="71">
        <f>IFERROR(VLOOKUP(C2079,[3]wms_iv_f!$A$1:$D$135,2,FALSE),"")</f>
        <v>98959</v>
      </c>
      <c r="B2079" s="69" t="s">
        <v>2613</v>
      </c>
      <c r="C2079" s="70" t="s">
        <v>1195</v>
      </c>
      <c r="D2079" s="70" t="s">
        <v>2614</v>
      </c>
      <c r="E2079" s="70"/>
      <c r="F2079" s="70"/>
      <c r="G2079" s="70" t="str">
        <f>IFERROR(VLOOKUP(A2079,[1]wms_iv_f!$A$1:$E$136,4,FALSE),"")</f>
        <v>M17-2-1C03</v>
      </c>
      <c r="H2079" s="95" t="str">
        <f>IFERROR(VLOOKUP(A2079,[2]wms_lc_f!$A$1:$B$156,2,FALSE),"")</f>
        <v/>
      </c>
    </row>
    <row r="2080" spans="1:8" hidden="1">
      <c r="A2080" s="71">
        <v>100733</v>
      </c>
      <c r="B2080" s="69" t="s">
        <v>2613</v>
      </c>
      <c r="C2080" s="70" t="s">
        <v>989</v>
      </c>
      <c r="D2080" s="70" t="s">
        <v>2614</v>
      </c>
      <c r="E2080" s="70"/>
      <c r="F2080" s="70"/>
      <c r="G2080" s="70" t="str">
        <f>IFERROR(VLOOKUP(A2080,[1]wms_iv_f!$A$1:$E$136,4,FALSE),"")</f>
        <v/>
      </c>
      <c r="H2080" s="95" t="str">
        <f>IFERROR(VLOOKUP(A2080,[2]wms_lc_f!$A$1:$B$156,2,FALSE),"")</f>
        <v/>
      </c>
    </row>
    <row r="2081" spans="1:8" hidden="1">
      <c r="A2081" s="71">
        <v>100938</v>
      </c>
      <c r="B2081" s="69" t="s">
        <v>2613</v>
      </c>
      <c r="C2081" s="70" t="s">
        <v>1116</v>
      </c>
      <c r="D2081" s="70" t="s">
        <v>2610</v>
      </c>
      <c r="E2081" s="72"/>
      <c r="F2081" s="70" t="s">
        <v>2612</v>
      </c>
      <c r="G2081" s="70" t="str">
        <f>IFERROR(VLOOKUP(A2081,[1]wms_iv_f!$A$1:$E$136,4,FALSE),"")</f>
        <v/>
      </c>
      <c r="H2081" s="95" t="str">
        <f>IFERROR(VLOOKUP(A2081,[2]wms_lc_f!$A$1:$B$156,2,FALSE),"")</f>
        <v>12-117-B1</v>
      </c>
    </row>
    <row r="2082" spans="1:8" hidden="1">
      <c r="A2082" s="71">
        <v>101247</v>
      </c>
      <c r="B2082" s="69" t="s">
        <v>2613</v>
      </c>
      <c r="C2082" s="70" t="s">
        <v>1107</v>
      </c>
      <c r="D2082" s="70" t="s">
        <v>2614</v>
      </c>
      <c r="E2082" s="70"/>
      <c r="F2082" s="70"/>
      <c r="G2082" s="70" t="str">
        <f>IFERROR(VLOOKUP(A2082,[1]wms_iv_f!$A$1:$E$136,4,FALSE),"")</f>
        <v/>
      </c>
      <c r="H2082" s="95" t="str">
        <f>IFERROR(VLOOKUP(A2082,[2]wms_lc_f!$A$1:$B$156,2,FALSE),"")</f>
        <v/>
      </c>
    </row>
    <row r="2083" spans="1:8" hidden="1">
      <c r="A2083" s="71">
        <v>109336</v>
      </c>
      <c r="B2083" s="69" t="s">
        <v>2613</v>
      </c>
      <c r="C2083" s="70" t="s">
        <v>1103</v>
      </c>
      <c r="D2083" s="70" t="s">
        <v>2614</v>
      </c>
      <c r="E2083" s="70"/>
      <c r="F2083" s="70"/>
      <c r="G2083" s="70" t="str">
        <f>IFERROR(VLOOKUP(A2083,[1]wms_iv_f!$A$1:$E$136,4,FALSE),"")</f>
        <v/>
      </c>
      <c r="H2083" s="95" t="str">
        <f>IFERROR(VLOOKUP(A2083,[2]wms_lc_f!$A$1:$B$156,2,FALSE),"")</f>
        <v/>
      </c>
    </row>
    <row r="2084" spans="1:8" hidden="1">
      <c r="A2084" s="98">
        <v>111867</v>
      </c>
      <c r="B2084" s="69" t="s">
        <v>2613</v>
      </c>
      <c r="C2084" s="70" t="s">
        <v>1111</v>
      </c>
      <c r="D2084" s="70" t="s">
        <v>2610</v>
      </c>
      <c r="E2084" s="72"/>
      <c r="F2084" s="70" t="s">
        <v>2612</v>
      </c>
      <c r="G2084" s="70" t="str">
        <f>IFERROR(VLOOKUP(A2084,[1]wms_iv_f!$A$1:$E$136,4,FALSE),"")</f>
        <v/>
      </c>
      <c r="H2084" s="95" t="str">
        <f>IFERROR(VLOOKUP(A2084,[2]wms_lc_f!$A$1:$B$156,2,FALSE),"")</f>
        <v/>
      </c>
    </row>
    <row r="2085" spans="1:8" hidden="1">
      <c r="A2085" s="71">
        <v>114613</v>
      </c>
      <c r="B2085" s="69" t="s">
        <v>2613</v>
      </c>
      <c r="C2085" s="70" t="s">
        <v>1083</v>
      </c>
      <c r="D2085" s="70" t="s">
        <v>2614</v>
      </c>
      <c r="E2085" s="70"/>
      <c r="F2085" s="70"/>
      <c r="G2085" s="70" t="str">
        <f>IFERROR(VLOOKUP(A2085,[1]wms_iv_f!$A$1:$E$136,4,FALSE),"")</f>
        <v/>
      </c>
      <c r="H2085" s="95" t="str">
        <f>IFERROR(VLOOKUP(A2085,[2]wms_lc_f!$A$1:$B$156,2,FALSE),"")</f>
        <v/>
      </c>
    </row>
    <row r="2086" spans="1:8" hidden="1">
      <c r="A2086" s="71">
        <f>IFERROR(VLOOKUP(C2086,[3]wms_iv_f!$A$1:$D$135,2,FALSE),"")</f>
        <v>116903</v>
      </c>
      <c r="B2086" s="69" t="s">
        <v>2613</v>
      </c>
      <c r="C2086" s="70" t="s">
        <v>1082</v>
      </c>
      <c r="D2086" s="70" t="s">
        <v>2614</v>
      </c>
      <c r="E2086" s="70"/>
      <c r="F2086" s="70"/>
      <c r="G2086" s="70" t="str">
        <f>IFERROR(VLOOKUP(A2086,[1]wms_iv_f!$A$1:$E$136,4,FALSE),"")</f>
        <v>M17-2-1C07</v>
      </c>
      <c r="H2086" s="95" t="str">
        <f>IFERROR(VLOOKUP(A2086,[2]wms_lc_f!$A$1:$B$156,2,FALSE),"")</f>
        <v/>
      </c>
    </row>
    <row r="2087" spans="1:8" hidden="1">
      <c r="A2087" s="71">
        <v>117154</v>
      </c>
      <c r="B2087" s="69" t="s">
        <v>2613</v>
      </c>
      <c r="C2087" s="70" t="s">
        <v>1096</v>
      </c>
      <c r="D2087" s="70" t="s">
        <v>2614</v>
      </c>
      <c r="E2087" s="70"/>
      <c r="F2087" s="70"/>
      <c r="G2087" s="70" t="str">
        <f>IFERROR(VLOOKUP(A2087,[1]wms_iv_f!$A$1:$E$136,4,FALSE),"")</f>
        <v/>
      </c>
      <c r="H2087" s="95" t="str">
        <f>IFERROR(VLOOKUP(A2087,[2]wms_lc_f!$A$1:$B$156,2,FALSE),"")</f>
        <v/>
      </c>
    </row>
    <row r="2088" spans="1:8" hidden="1">
      <c r="A2088" s="71">
        <v>124944</v>
      </c>
      <c r="B2088" s="69" t="s">
        <v>2613</v>
      </c>
      <c r="C2088" s="70" t="s">
        <v>1119</v>
      </c>
      <c r="D2088" s="70" t="s">
        <v>2610</v>
      </c>
      <c r="E2088" s="72"/>
      <c r="F2088" s="70" t="s">
        <v>2612</v>
      </c>
      <c r="G2088" s="70" t="str">
        <f>IFERROR(VLOOKUP(A2088,[1]wms_iv_f!$A$1:$E$136,4,FALSE),"")</f>
        <v/>
      </c>
      <c r="H2088" s="95" t="str">
        <f>IFERROR(VLOOKUP(A2088,[2]wms_lc_f!$A$1:$B$156,2,FALSE),"")</f>
        <v/>
      </c>
    </row>
    <row r="2089" spans="1:8" hidden="1">
      <c r="A2089" s="71">
        <f>IFERROR(VLOOKUP(C2089,[3]wms_iv_f!$A$1:$D$135,2,FALSE),"")</f>
        <v>127265</v>
      </c>
      <c r="B2089" s="69" t="s">
        <v>2613</v>
      </c>
      <c r="C2089" s="70" t="s">
        <v>1093</v>
      </c>
      <c r="D2089" s="70" t="s">
        <v>2614</v>
      </c>
      <c r="E2089" s="70"/>
      <c r="F2089" s="70"/>
      <c r="G2089" s="70" t="str">
        <f>IFERROR(VLOOKUP(A2089,[1]wms_iv_f!$A$1:$E$136,4,FALSE),"")</f>
        <v>M17-2-1C01</v>
      </c>
      <c r="H2089" s="95" t="str">
        <f>IFERROR(VLOOKUP(A2089,[2]wms_lc_f!$A$1:$B$156,2,FALSE),"")</f>
        <v/>
      </c>
    </row>
    <row r="2090" spans="1:8" hidden="1">
      <c r="A2090" s="71">
        <f>IFERROR(VLOOKUP(C2090,[3]wms_iv_f!$A$1:$D$135,2,FALSE),"")</f>
        <v>127508</v>
      </c>
      <c r="B2090" s="69" t="s">
        <v>2613</v>
      </c>
      <c r="C2090" s="70" t="s">
        <v>1081</v>
      </c>
      <c r="D2090" s="70" t="s">
        <v>2614</v>
      </c>
      <c r="E2090" s="70"/>
      <c r="F2090" s="70"/>
      <c r="G2090" s="70" t="str">
        <f>IFERROR(VLOOKUP(A2090,[1]wms_iv_f!$A$1:$E$136,4,FALSE),"")</f>
        <v>M17-2-1B10</v>
      </c>
      <c r="H2090" s="95" t="str">
        <f>IFERROR(VLOOKUP(A2090,[2]wms_lc_f!$A$1:$B$156,2,FALSE),"")</f>
        <v/>
      </c>
    </row>
    <row r="2091" spans="1:8" hidden="1">
      <c r="A2091" s="71">
        <v>132802</v>
      </c>
      <c r="B2091" s="69" t="s">
        <v>2613</v>
      </c>
      <c r="C2091" s="70" t="s">
        <v>1206</v>
      </c>
      <c r="D2091" s="70" t="s">
        <v>2614</v>
      </c>
      <c r="E2091" s="70"/>
      <c r="F2091" s="70"/>
      <c r="G2091" s="70" t="str">
        <f>IFERROR(VLOOKUP(A2091,[1]wms_iv_f!$A$1:$E$136,4,FALSE),"")</f>
        <v/>
      </c>
      <c r="H2091" s="95" t="str">
        <f>IFERROR(VLOOKUP(A2091,[2]wms_lc_f!$A$1:$B$156,2,FALSE),"")</f>
        <v/>
      </c>
    </row>
    <row r="2092" spans="1:8" hidden="1">
      <c r="A2092" s="71">
        <v>135404</v>
      </c>
      <c r="B2092" s="69" t="s">
        <v>2613</v>
      </c>
      <c r="C2092" s="70" t="s">
        <v>993</v>
      </c>
      <c r="D2092" s="70" t="s">
        <v>2614</v>
      </c>
      <c r="E2092" s="70"/>
      <c r="F2092" s="70"/>
      <c r="G2092" s="70" t="str">
        <f>IFERROR(VLOOKUP(A2092,[1]wms_iv_f!$A$1:$E$136,4,FALSE),"")</f>
        <v/>
      </c>
      <c r="H2092" s="95" t="str">
        <f>IFERROR(VLOOKUP(A2092,[2]wms_lc_f!$A$1:$B$156,2,FALSE),"")</f>
        <v/>
      </c>
    </row>
    <row r="2093" spans="1:8" hidden="1">
      <c r="A2093" s="71">
        <v>136011</v>
      </c>
      <c r="B2093" s="69" t="s">
        <v>2613</v>
      </c>
      <c r="C2093" s="70" t="s">
        <v>1220</v>
      </c>
      <c r="D2093" s="70" t="s">
        <v>2614</v>
      </c>
      <c r="E2093" s="70"/>
      <c r="F2093" s="70"/>
      <c r="G2093" s="70" t="str">
        <f>IFERROR(VLOOKUP(A2093,[1]wms_iv_f!$A$1:$E$136,4,FALSE),"")</f>
        <v/>
      </c>
      <c r="H2093" s="95" t="str">
        <f>IFERROR(VLOOKUP(A2093,[2]wms_lc_f!$A$1:$B$156,2,FALSE),"")</f>
        <v/>
      </c>
    </row>
    <row r="2094" spans="1:8" hidden="1">
      <c r="A2094" s="71">
        <v>137009</v>
      </c>
      <c r="B2094" s="69" t="s">
        <v>2613</v>
      </c>
      <c r="C2094" s="70" t="s">
        <v>1230</v>
      </c>
      <c r="D2094" s="70" t="s">
        <v>2610</v>
      </c>
      <c r="E2094" s="72"/>
      <c r="F2094" s="70"/>
      <c r="G2094" s="70" t="str">
        <f>IFERROR(VLOOKUP(A2094,[1]wms_iv_f!$A$1:$E$136,4,FALSE),"")</f>
        <v/>
      </c>
      <c r="H2094" s="95" t="str">
        <f>IFERROR(VLOOKUP(A2094,[2]wms_lc_f!$A$1:$B$156,2,FALSE),"")</f>
        <v/>
      </c>
    </row>
    <row r="2095" spans="1:8" hidden="1">
      <c r="A2095" s="71">
        <v>140226</v>
      </c>
      <c r="B2095" s="69" t="s">
        <v>2613</v>
      </c>
      <c r="C2095" s="70" t="s">
        <v>1222</v>
      </c>
      <c r="D2095" s="70" t="s">
        <v>2614</v>
      </c>
      <c r="E2095" s="70"/>
      <c r="F2095" s="70"/>
      <c r="G2095" s="70" t="str">
        <f>IFERROR(VLOOKUP(A2095,[1]wms_iv_f!$A$1:$E$136,4,FALSE),"")</f>
        <v/>
      </c>
      <c r="H2095" s="95" t="str">
        <f>IFERROR(VLOOKUP(A2095,[2]wms_lc_f!$A$1:$B$156,2,FALSE),"")</f>
        <v/>
      </c>
    </row>
    <row r="2096" spans="1:8" hidden="1">
      <c r="A2096" s="71">
        <v>142314</v>
      </c>
      <c r="B2096" s="69" t="s">
        <v>2613</v>
      </c>
      <c r="C2096" s="70" t="s">
        <v>1104</v>
      </c>
      <c r="D2096" s="70" t="s">
        <v>2614</v>
      </c>
      <c r="E2096" s="70"/>
      <c r="F2096" s="70"/>
      <c r="G2096" s="70" t="str">
        <f>IFERROR(VLOOKUP(A2096,[1]wms_iv_f!$A$1:$E$136,4,FALSE),"")</f>
        <v/>
      </c>
      <c r="H2096" s="95" t="str">
        <f>IFERROR(VLOOKUP(A2096,[2]wms_lc_f!$A$1:$B$156,2,FALSE),"")</f>
        <v/>
      </c>
    </row>
    <row r="2097" spans="1:8" hidden="1">
      <c r="A2097" s="71">
        <v>142820</v>
      </c>
      <c r="B2097" s="69" t="s">
        <v>2613</v>
      </c>
      <c r="C2097" s="70" t="s">
        <v>1009</v>
      </c>
      <c r="D2097" s="70" t="s">
        <v>2610</v>
      </c>
      <c r="E2097" s="72"/>
      <c r="F2097" s="70"/>
      <c r="G2097" s="70" t="str">
        <f>IFERROR(VLOOKUP(A2097,[1]wms_iv_f!$A$1:$E$136,4,FALSE),"")</f>
        <v/>
      </c>
      <c r="H2097" s="95" t="str">
        <f>IFERROR(VLOOKUP(A2097,[2]wms_lc_f!$A$1:$B$156,2,FALSE),"")</f>
        <v/>
      </c>
    </row>
    <row r="2098" spans="1:8" hidden="1">
      <c r="A2098" s="71">
        <v>155833</v>
      </c>
      <c r="B2098" s="69" t="s">
        <v>2613</v>
      </c>
      <c r="C2098" s="70" t="s">
        <v>1219</v>
      </c>
      <c r="D2098" s="70" t="s">
        <v>2614</v>
      </c>
      <c r="E2098" s="70"/>
      <c r="F2098" s="70"/>
      <c r="G2098" s="70" t="str">
        <f>IFERROR(VLOOKUP(A2098,[1]wms_iv_f!$A$1:$E$136,4,FALSE),"")</f>
        <v/>
      </c>
      <c r="H2098" s="95" t="str">
        <f>IFERROR(VLOOKUP(A2098,[2]wms_lc_f!$A$1:$B$156,2,FALSE),"")</f>
        <v/>
      </c>
    </row>
    <row r="2099" spans="1:8" hidden="1">
      <c r="A2099" s="71">
        <v>158001</v>
      </c>
      <c r="B2099" s="69" t="s">
        <v>2613</v>
      </c>
      <c r="C2099" s="70" t="s">
        <v>1091</v>
      </c>
      <c r="D2099" s="70" t="s">
        <v>2614</v>
      </c>
      <c r="E2099" s="70"/>
      <c r="F2099" s="70"/>
      <c r="G2099" s="70" t="str">
        <f>IFERROR(VLOOKUP(A2099,[1]wms_iv_f!$A$1:$E$136,4,FALSE),"")</f>
        <v/>
      </c>
      <c r="H2099" s="95" t="str">
        <f>IFERROR(VLOOKUP(A2099,[2]wms_lc_f!$A$1:$B$156,2,FALSE),"")</f>
        <v/>
      </c>
    </row>
    <row r="2100" spans="1:8" hidden="1">
      <c r="A2100" s="71">
        <v>96428</v>
      </c>
      <c r="B2100" s="69" t="s">
        <v>2613</v>
      </c>
      <c r="C2100" s="70" t="s">
        <v>650</v>
      </c>
      <c r="D2100" s="70" t="s">
        <v>2614</v>
      </c>
      <c r="E2100" s="70"/>
      <c r="F2100" s="70"/>
      <c r="G2100" s="70" t="str">
        <f>IFERROR(VLOOKUP(A2100,[1]wms_iv_f!$A$1:$E$136,4,FALSE),"")</f>
        <v/>
      </c>
      <c r="H2100" s="95" t="str">
        <f>IFERROR(VLOOKUP(A2100,[2]wms_lc_f!$A$1:$B$156,2,FALSE),"")</f>
        <v/>
      </c>
    </row>
    <row r="2101" spans="1:8" hidden="1">
      <c r="A2101" s="71">
        <v>12090</v>
      </c>
      <c r="B2101" s="69" t="s">
        <v>2613</v>
      </c>
      <c r="C2101" s="70" t="s">
        <v>735</v>
      </c>
      <c r="D2101" s="70" t="s">
        <v>2614</v>
      </c>
      <c r="E2101" s="70"/>
      <c r="F2101" s="70"/>
      <c r="G2101" s="70" t="str">
        <f>IFERROR(VLOOKUP(A2101,[1]wms_iv_f!$A$1:$E$136,4,FALSE),"")</f>
        <v/>
      </c>
      <c r="H2101" s="95" t="str">
        <f>IFERROR(VLOOKUP(A2101,[2]wms_lc_f!$A$1:$B$156,2,FALSE),"")</f>
        <v/>
      </c>
    </row>
    <row r="2102" spans="1:8" hidden="1">
      <c r="A2102" s="71">
        <v>127283</v>
      </c>
      <c r="B2102" s="69" t="s">
        <v>2613</v>
      </c>
      <c r="C2102" s="70" t="s">
        <v>747</v>
      </c>
      <c r="D2102" s="70" t="s">
        <v>2614</v>
      </c>
      <c r="E2102" s="70"/>
      <c r="F2102" s="70"/>
      <c r="G2102" s="70" t="str">
        <f>IFERROR(VLOOKUP(A2102,[1]wms_iv_f!$A$1:$E$136,4,FALSE),"")</f>
        <v/>
      </c>
      <c r="H2102" s="95" t="str">
        <f>IFERROR(VLOOKUP(A2102,[2]wms_lc_f!$A$1:$B$156,2,FALSE),"")</f>
        <v/>
      </c>
    </row>
    <row r="2103" spans="1:8" hidden="1">
      <c r="A2103" s="71">
        <v>114938</v>
      </c>
      <c r="B2103" s="69" t="s">
        <v>2613</v>
      </c>
      <c r="C2103" s="70" t="s">
        <v>759</v>
      </c>
      <c r="D2103" s="70" t="s">
        <v>2614</v>
      </c>
      <c r="E2103" s="70"/>
      <c r="F2103" s="70"/>
      <c r="G2103" s="70" t="str">
        <f>IFERROR(VLOOKUP(A2103,[1]wms_iv_f!$A$1:$E$136,4,FALSE),"")</f>
        <v/>
      </c>
      <c r="H2103" s="95" t="str">
        <f>IFERROR(VLOOKUP(A2103,[2]wms_lc_f!$A$1:$B$156,2,FALSE),"")</f>
        <v/>
      </c>
    </row>
    <row r="2104" spans="1:8" hidden="1">
      <c r="A2104" s="71">
        <v>37154</v>
      </c>
      <c r="B2104" s="69" t="s">
        <v>2613</v>
      </c>
      <c r="C2104" s="70" t="s">
        <v>844</v>
      </c>
      <c r="D2104" s="70" t="s">
        <v>2614</v>
      </c>
      <c r="E2104" s="70"/>
      <c r="F2104" s="70"/>
      <c r="G2104" s="70" t="str">
        <f>IFERROR(VLOOKUP(A2104,[1]wms_iv_f!$A$1:$E$136,4,FALSE),"")</f>
        <v/>
      </c>
      <c r="H2104" s="95" t="str">
        <f>IFERROR(VLOOKUP(A2104,[2]wms_lc_f!$A$1:$B$156,2,FALSE),"")</f>
        <v/>
      </c>
    </row>
    <row r="2105" spans="1:8" hidden="1">
      <c r="A2105" s="71">
        <v>95995</v>
      </c>
      <c r="B2105" s="69" t="s">
        <v>2613</v>
      </c>
      <c r="C2105" s="70" t="s">
        <v>856</v>
      </c>
      <c r="D2105" s="70" t="s">
        <v>2614</v>
      </c>
      <c r="E2105" s="70"/>
      <c r="F2105" s="70"/>
      <c r="G2105" s="70" t="str">
        <f>IFERROR(VLOOKUP(A2105,[1]wms_iv_f!$A$1:$E$136,4,FALSE),"")</f>
        <v/>
      </c>
      <c r="H2105" s="95" t="str">
        <f>IFERROR(VLOOKUP(A2105,[2]wms_lc_f!$A$1:$B$156,2,FALSE),"")</f>
        <v/>
      </c>
    </row>
    <row r="2106" spans="1:8" hidden="1">
      <c r="A2106" s="71">
        <v>24700</v>
      </c>
      <c r="B2106" s="69" t="s">
        <v>2613</v>
      </c>
      <c r="C2106" s="70" t="s">
        <v>868</v>
      </c>
      <c r="D2106" s="70" t="s">
        <v>2614</v>
      </c>
      <c r="E2106" s="70"/>
      <c r="F2106" s="70"/>
      <c r="G2106" s="70" t="str">
        <f>IFERROR(VLOOKUP(A2106,[1]wms_iv_f!$A$1:$E$136,4,FALSE),"")</f>
        <v/>
      </c>
      <c r="H2106" s="95" t="str">
        <f>IFERROR(VLOOKUP(A2106,[2]wms_lc_f!$A$1:$B$156,2,FALSE),"")</f>
        <v/>
      </c>
    </row>
    <row r="2107" spans="1:8" hidden="1">
      <c r="A2107" s="71">
        <v>22706</v>
      </c>
      <c r="B2107" s="69" t="s">
        <v>2613</v>
      </c>
      <c r="C2107" s="70" t="s">
        <v>953</v>
      </c>
      <c r="D2107" s="70" t="s">
        <v>2614</v>
      </c>
      <c r="E2107" s="70"/>
      <c r="F2107" s="70"/>
      <c r="G2107" s="70" t="str">
        <f>IFERROR(VLOOKUP(A2107,[1]wms_iv_f!$A$1:$E$136,4,FALSE),"")</f>
        <v/>
      </c>
      <c r="H2107" s="95" t="str">
        <f>IFERROR(VLOOKUP(A2107,[2]wms_lc_f!$A$1:$B$156,2,FALSE),"")</f>
        <v/>
      </c>
    </row>
    <row r="2108" spans="1:8" hidden="1">
      <c r="A2108" s="71">
        <v>51244</v>
      </c>
      <c r="B2108" s="69" t="s">
        <v>2613</v>
      </c>
      <c r="C2108" s="70" t="s">
        <v>961</v>
      </c>
      <c r="D2108" s="70" t="s">
        <v>2614</v>
      </c>
      <c r="E2108" s="70"/>
      <c r="F2108" s="70"/>
      <c r="G2108" s="70" t="str">
        <f>IFERROR(VLOOKUP(A2108,[1]wms_iv_f!$A$1:$E$136,4,FALSE),"")</f>
        <v/>
      </c>
      <c r="H2108" s="95" t="str">
        <f>IFERROR(VLOOKUP(A2108,[2]wms_lc_f!$A$1:$B$156,2,FALSE),"")</f>
        <v/>
      </c>
    </row>
    <row r="2109" spans="1:8" hidden="1">
      <c r="A2109" s="71">
        <v>35587</v>
      </c>
      <c r="B2109" s="69" t="s">
        <v>2613</v>
      </c>
      <c r="C2109" s="70" t="s">
        <v>651</v>
      </c>
      <c r="D2109" s="70" t="s">
        <v>2614</v>
      </c>
      <c r="E2109" s="70"/>
      <c r="F2109" s="70"/>
      <c r="G2109" s="70" t="str">
        <f>IFERROR(VLOOKUP(A2109,[1]wms_iv_f!$A$1:$E$136,4,FALSE),"")</f>
        <v/>
      </c>
      <c r="H2109" s="95" t="str">
        <f>IFERROR(VLOOKUP(A2109,[2]wms_lc_f!$A$1:$B$156,2,FALSE),"")</f>
        <v/>
      </c>
    </row>
    <row r="2110" spans="1:8" hidden="1">
      <c r="A2110" s="71">
        <f>IFERROR(VLOOKUP(C2110,[3]wms_iv_f!$A$1:$D$135,2,FALSE),"")</f>
        <v>124911</v>
      </c>
      <c r="B2110" s="69" t="s">
        <v>2613</v>
      </c>
      <c r="C2110" s="70" t="s">
        <v>736</v>
      </c>
      <c r="D2110" s="70" t="s">
        <v>2614</v>
      </c>
      <c r="E2110" s="70"/>
      <c r="F2110" s="70"/>
      <c r="G2110" s="70" t="str">
        <f>IFERROR(VLOOKUP(A2110,[1]wms_iv_f!$A$1:$E$136,4,FALSE),"")</f>
        <v>M18-2-1B01</v>
      </c>
      <c r="H2110" s="95" t="str">
        <f>IFERROR(VLOOKUP(A2110,[2]wms_lc_f!$A$1:$B$156,2,FALSE),"")</f>
        <v/>
      </c>
    </row>
    <row r="2111" spans="1:8" hidden="1">
      <c r="A2111" s="71">
        <f>IFERROR(VLOOKUP(C2111,[3]wms_iv_f!$A$1:$D$135,2,FALSE),"")</f>
        <v>261</v>
      </c>
      <c r="B2111" s="69" t="s">
        <v>2613</v>
      </c>
      <c r="C2111" s="70" t="s">
        <v>748</v>
      </c>
      <c r="D2111" s="70" t="s">
        <v>2614</v>
      </c>
      <c r="E2111" s="70"/>
      <c r="F2111" s="70"/>
      <c r="G2111" s="70" t="str">
        <f>IFERROR(VLOOKUP(A2111,[1]wms_iv_f!$A$1:$E$136,4,FALSE),"")</f>
        <v>M18-2-1B02</v>
      </c>
      <c r="H2111" s="95" t="str">
        <f>IFERROR(VLOOKUP(A2111,[2]wms_lc_f!$A$1:$B$156,2,FALSE),"")</f>
        <v/>
      </c>
    </row>
    <row r="2112" spans="1:8" hidden="1">
      <c r="A2112" s="73">
        <v>116458</v>
      </c>
      <c r="B2112" s="69" t="s">
        <v>2613</v>
      </c>
      <c r="C2112" s="74" t="s">
        <v>760</v>
      </c>
      <c r="D2112" s="74" t="s">
        <v>2614</v>
      </c>
      <c r="E2112" s="74"/>
      <c r="F2112" s="70"/>
      <c r="G2112" s="70" t="str">
        <f>IFERROR(VLOOKUP(A2112,[1]wms_iv_f!$A$1:$E$136,4,FALSE),"")</f>
        <v/>
      </c>
      <c r="H2112" s="95" t="str">
        <f>IFERROR(VLOOKUP(A2112,[2]wms_lc_f!$A$1:$B$156,2,FALSE),"")</f>
        <v/>
      </c>
    </row>
    <row r="2113" spans="1:8" hidden="1">
      <c r="A2113" s="69">
        <v>77911</v>
      </c>
      <c r="B2113" s="69" t="s">
        <v>2613</v>
      </c>
      <c r="C2113" s="70" t="s">
        <v>845</v>
      </c>
      <c r="D2113" s="70" t="s">
        <v>2614</v>
      </c>
      <c r="E2113" s="70"/>
      <c r="F2113" s="70"/>
      <c r="G2113" s="70" t="str">
        <f>IFERROR(VLOOKUP(A2113,[1]wms_iv_f!$A$1:$E$136,4,FALSE),"")</f>
        <v/>
      </c>
      <c r="H2113" s="95" t="str">
        <f>IFERROR(VLOOKUP(A2113,[2]wms_lc_f!$A$1:$B$156,2,FALSE),"")</f>
        <v/>
      </c>
    </row>
    <row r="2114" spans="1:8" hidden="1">
      <c r="A2114" s="69">
        <v>324</v>
      </c>
      <c r="B2114" s="69" t="s">
        <v>2613</v>
      </c>
      <c r="C2114" s="70" t="s">
        <v>857</v>
      </c>
      <c r="D2114" s="70" t="s">
        <v>2614</v>
      </c>
      <c r="E2114" s="70"/>
      <c r="F2114" s="70"/>
      <c r="G2114" s="70" t="str">
        <f>IFERROR(VLOOKUP(A2114,[1]wms_iv_f!$A$1:$E$136,4,FALSE),"")</f>
        <v/>
      </c>
      <c r="H2114" s="95" t="str">
        <f>IFERROR(VLOOKUP(A2114,[2]wms_lc_f!$A$1:$B$156,2,FALSE),"")</f>
        <v/>
      </c>
    </row>
    <row r="2115" spans="1:8" hidden="1">
      <c r="A2115" s="69">
        <v>129493</v>
      </c>
      <c r="B2115" s="69" t="s">
        <v>2613</v>
      </c>
      <c r="C2115" s="70" t="s">
        <v>869</v>
      </c>
      <c r="D2115" s="70" t="s">
        <v>2614</v>
      </c>
      <c r="E2115" s="70"/>
      <c r="F2115" s="70"/>
      <c r="G2115" s="70" t="str">
        <f>IFERROR(VLOOKUP(A2115,[1]wms_iv_f!$A$1:$E$136,4,FALSE),"")</f>
        <v/>
      </c>
      <c r="H2115" s="95" t="str">
        <f>IFERROR(VLOOKUP(A2115,[2]wms_lc_f!$A$1:$B$156,2,FALSE),"")</f>
        <v/>
      </c>
    </row>
    <row r="2116" spans="1:8" hidden="1">
      <c r="A2116" s="69">
        <v>137611</v>
      </c>
      <c r="B2116" s="69" t="s">
        <v>2613</v>
      </c>
      <c r="C2116" s="70" t="s">
        <v>954</v>
      </c>
      <c r="D2116" s="70" t="s">
        <v>2614</v>
      </c>
      <c r="E2116" s="70"/>
      <c r="F2116" s="70"/>
      <c r="G2116" s="70" t="str">
        <f>IFERROR(VLOOKUP(A2116,[1]wms_iv_f!$A$1:$E$136,4,FALSE),"")</f>
        <v/>
      </c>
      <c r="H2116" s="95" t="str">
        <f>IFERROR(VLOOKUP(A2116,[2]wms_lc_f!$A$1:$B$156,2,FALSE),"")</f>
        <v/>
      </c>
    </row>
    <row r="2117" spans="1:8" hidden="1">
      <c r="A2117" s="69">
        <f>IFERROR(VLOOKUP(C2117,[3]wms_iv_f!$A$1:$D$135,2,FALSE),"")</f>
        <v>37716</v>
      </c>
      <c r="B2117" s="69" t="s">
        <v>2613</v>
      </c>
      <c r="C2117" s="70" t="s">
        <v>962</v>
      </c>
      <c r="D2117" s="70" t="s">
        <v>2614</v>
      </c>
      <c r="E2117" s="70"/>
      <c r="F2117" s="70"/>
      <c r="G2117" s="70" t="str">
        <f>IFERROR(VLOOKUP(A2117,[1]wms_iv_f!$A$1:$E$136,4,FALSE),"")</f>
        <v>M18-2-1B08</v>
      </c>
      <c r="H2117" s="95" t="str">
        <f>IFERROR(VLOOKUP(A2117,[2]wms_lc_f!$A$1:$B$156,2,FALSE),"")</f>
        <v/>
      </c>
    </row>
    <row r="2118" spans="1:8" hidden="1">
      <c r="A2118" s="69">
        <f>IFERROR(VLOOKUP(C2118,[3]wms_iv_f!$A$1:$D$135,2,FALSE),"")</f>
        <v>88081</v>
      </c>
      <c r="B2118" s="69" t="s">
        <v>2613</v>
      </c>
      <c r="C2118" s="70" t="s">
        <v>652</v>
      </c>
      <c r="D2118" s="70" t="s">
        <v>2614</v>
      </c>
      <c r="E2118" s="70"/>
      <c r="F2118" s="70"/>
      <c r="G2118" s="70" t="str">
        <f>IFERROR(VLOOKUP(A2118,[1]wms_iv_f!$A$1:$E$136,4,FALSE),"")</f>
        <v>M18-2-1B09</v>
      </c>
      <c r="H2118" s="95" t="str">
        <f>IFERROR(VLOOKUP(A2118,[2]wms_lc_f!$A$1:$B$156,2,FALSE),"")</f>
        <v/>
      </c>
    </row>
    <row r="2119" spans="1:8" hidden="1">
      <c r="A2119" s="69">
        <f>IFERROR(VLOOKUP(C2119,[3]wms_iv_f!$A$1:$D$135,2,FALSE),"")</f>
        <v>95111</v>
      </c>
      <c r="B2119" s="69" t="s">
        <v>2613</v>
      </c>
      <c r="C2119" s="70" t="s">
        <v>737</v>
      </c>
      <c r="D2119" s="70" t="s">
        <v>2614</v>
      </c>
      <c r="E2119" s="70"/>
      <c r="F2119" s="70"/>
      <c r="G2119" s="70" t="str">
        <f>IFERROR(VLOOKUP(A2119,[1]wms_iv_f!$A$1:$E$136,4,FALSE),"")</f>
        <v>M18-2-1B10</v>
      </c>
      <c r="H2119" s="95" t="str">
        <f>IFERROR(VLOOKUP(A2119,[2]wms_lc_f!$A$1:$B$156,2,FALSE),"")</f>
        <v/>
      </c>
    </row>
    <row r="2120" spans="1:8" hidden="1">
      <c r="A2120" s="69">
        <f>IFERROR(VLOOKUP(C2120,[3]wms_iv_f!$A$1:$D$135,2,FALSE),"")</f>
        <v>222</v>
      </c>
      <c r="B2120" s="69" t="s">
        <v>2613</v>
      </c>
      <c r="C2120" s="70" t="s">
        <v>749</v>
      </c>
      <c r="D2120" s="70" t="s">
        <v>2614</v>
      </c>
      <c r="E2120" s="70"/>
      <c r="F2120" s="70"/>
      <c r="G2120" s="70" t="str">
        <f>IFERROR(VLOOKUP(A2120,[1]wms_iv_f!$A$1:$E$136,4,FALSE),"")</f>
        <v>M18-2-1C01</v>
      </c>
      <c r="H2120" s="95" t="str">
        <f>IFERROR(VLOOKUP(A2120,[2]wms_lc_f!$A$1:$B$156,2,FALSE),"")</f>
        <v/>
      </c>
    </row>
    <row r="2121" spans="1:8" hidden="1">
      <c r="A2121" s="69">
        <f>IFERROR(VLOOKUP(C2121,[3]wms_iv_f!$A$1:$D$135,2,FALSE),"")</f>
        <v>101265</v>
      </c>
      <c r="B2121" s="69" t="s">
        <v>2613</v>
      </c>
      <c r="C2121" s="70" t="s">
        <v>761</v>
      </c>
      <c r="D2121" s="70" t="s">
        <v>2614</v>
      </c>
      <c r="E2121" s="70"/>
      <c r="F2121" s="70"/>
      <c r="G2121" s="70" t="str">
        <f>IFERROR(VLOOKUP(A2121,[1]wms_iv_f!$A$1:$E$136,4,FALSE),"")</f>
        <v>M18-2-1C02</v>
      </c>
      <c r="H2121" s="95" t="str">
        <f>IFERROR(VLOOKUP(A2121,[2]wms_lc_f!$A$1:$B$156,2,FALSE),"")</f>
        <v/>
      </c>
    </row>
    <row r="2122" spans="1:8" hidden="1">
      <c r="A2122" s="69">
        <f>IFERROR(VLOOKUP(C2122,[3]wms_iv_f!$A$1:$D$135,2,FALSE),"")</f>
        <v>127244</v>
      </c>
      <c r="B2122" s="69" t="s">
        <v>2613</v>
      </c>
      <c r="C2122" s="70" t="s">
        <v>846</v>
      </c>
      <c r="D2122" s="70" t="s">
        <v>2614</v>
      </c>
      <c r="E2122" s="70"/>
      <c r="F2122" s="70"/>
      <c r="G2122" s="70" t="str">
        <f>IFERROR(VLOOKUP(A2122,[1]wms_iv_f!$A$1:$E$136,4,FALSE),"")</f>
        <v>M18-2-1C03</v>
      </c>
      <c r="H2122" s="95" t="str">
        <f>IFERROR(VLOOKUP(A2122,[2]wms_lc_f!$A$1:$B$156,2,FALSE),"")</f>
        <v/>
      </c>
    </row>
    <row r="2123" spans="1:8" hidden="1">
      <c r="A2123" s="69">
        <f>IFERROR(VLOOKUP(C2123,[3]wms_iv_f!$A$1:$D$135,2,FALSE),"")</f>
        <v>13223</v>
      </c>
      <c r="B2123" s="69" t="s">
        <v>2613</v>
      </c>
      <c r="C2123" s="70" t="s">
        <v>858</v>
      </c>
      <c r="D2123" s="70" t="s">
        <v>2614</v>
      </c>
      <c r="E2123" s="70"/>
      <c r="F2123" s="70"/>
      <c r="G2123" s="70" t="str">
        <f>IFERROR(VLOOKUP(A2123,[1]wms_iv_f!$A$1:$E$136,4,FALSE),"")</f>
        <v>M18-2-1C04</v>
      </c>
      <c r="H2123" s="95" t="str">
        <f>IFERROR(VLOOKUP(A2123,[2]wms_lc_f!$A$1:$B$156,2,FALSE),"")</f>
        <v/>
      </c>
    </row>
    <row r="2124" spans="1:8" hidden="1">
      <c r="A2124" s="69">
        <v>109850</v>
      </c>
      <c r="B2124" s="69" t="s">
        <v>2613</v>
      </c>
      <c r="C2124" s="70" t="s">
        <v>870</v>
      </c>
      <c r="D2124" s="70" t="s">
        <v>2614</v>
      </c>
      <c r="E2124" s="70"/>
      <c r="F2124" s="70"/>
      <c r="G2124" s="70" t="str">
        <f>IFERROR(VLOOKUP(A2124,[1]wms_iv_f!$A$1:$E$136,4,FALSE),"")</f>
        <v/>
      </c>
      <c r="H2124" s="95" t="str">
        <f>IFERROR(VLOOKUP(A2124,[2]wms_lc_f!$A$1:$B$156,2,FALSE),"")</f>
        <v/>
      </c>
    </row>
    <row r="2125" spans="1:8" hidden="1">
      <c r="A2125" s="69">
        <v>138950</v>
      </c>
      <c r="B2125" s="69" t="s">
        <v>2613</v>
      </c>
      <c r="C2125" s="70" t="s">
        <v>653</v>
      </c>
      <c r="D2125" s="70" t="s">
        <v>2614</v>
      </c>
      <c r="E2125" s="70"/>
      <c r="F2125" s="70"/>
      <c r="G2125" s="70" t="str">
        <f>IFERROR(VLOOKUP(A2125,[1]wms_iv_f!$A$1:$E$136,4,FALSE),"")</f>
        <v/>
      </c>
      <c r="H2125" s="95" t="str">
        <f>IFERROR(VLOOKUP(A2125,[2]wms_lc_f!$A$1:$B$156,2,FALSE),"")</f>
        <v/>
      </c>
    </row>
    <row r="2126" spans="1:8" hidden="1">
      <c r="A2126" s="69">
        <v>159034</v>
      </c>
      <c r="B2126" s="69" t="s">
        <v>2613</v>
      </c>
      <c r="C2126" s="70" t="s">
        <v>738</v>
      </c>
      <c r="D2126" s="70" t="s">
        <v>2614</v>
      </c>
      <c r="E2126" s="70"/>
      <c r="F2126" s="70"/>
      <c r="G2126" s="70" t="str">
        <f>IFERROR(VLOOKUP(A2126,[1]wms_iv_f!$A$1:$E$136,4,FALSE),"")</f>
        <v/>
      </c>
      <c r="H2126" s="95" t="str">
        <f>IFERROR(VLOOKUP(A2126,[2]wms_lc_f!$A$1:$B$156,2,FALSE),"")</f>
        <v/>
      </c>
    </row>
    <row r="2127" spans="1:8" hidden="1">
      <c r="A2127" s="69">
        <f>IFERROR(VLOOKUP(C2127,[3]wms_iv_f!$A$1:$D$135,2,FALSE),"")</f>
        <v>118618</v>
      </c>
      <c r="B2127" s="69" t="s">
        <v>2613</v>
      </c>
      <c r="C2127" s="70" t="s">
        <v>750</v>
      </c>
      <c r="D2127" s="70" t="s">
        <v>2614</v>
      </c>
      <c r="E2127" s="70"/>
      <c r="F2127" s="70"/>
      <c r="G2127" s="70" t="str">
        <f>IFERROR(VLOOKUP(A2127,[1]wms_iv_f!$A$1:$E$136,4,FALSE),"")</f>
        <v>M18-2-1C08</v>
      </c>
      <c r="H2127" s="95" t="str">
        <f>IFERROR(VLOOKUP(A2127,[2]wms_lc_f!$A$1:$B$156,2,FALSE),"")</f>
        <v/>
      </c>
    </row>
    <row r="2128" spans="1:8" hidden="1">
      <c r="A2128" s="69">
        <f>IFERROR(VLOOKUP(C2128,[3]wms_iv_f!$A$1:$D$135,2,FALSE),"")</f>
        <v>101249</v>
      </c>
      <c r="B2128" s="69" t="s">
        <v>2613</v>
      </c>
      <c r="C2128" s="70" t="s">
        <v>762</v>
      </c>
      <c r="D2128" s="70" t="s">
        <v>2614</v>
      </c>
      <c r="E2128" s="70"/>
      <c r="F2128" s="70"/>
      <c r="G2128" s="70" t="str">
        <f>IFERROR(VLOOKUP(A2128,[1]wms_iv_f!$A$1:$E$136,4,FALSE),"")</f>
        <v>M18-2-1C09</v>
      </c>
      <c r="H2128" s="95" t="str">
        <f>IFERROR(VLOOKUP(A2128,[2]wms_lc_f!$A$1:$B$156,2,FALSE),"")</f>
        <v/>
      </c>
    </row>
    <row r="2129" spans="1:8" hidden="1">
      <c r="A2129" s="69">
        <f>IFERROR(VLOOKUP(C2129,[3]wms_iv_f!$A$1:$D$135,2,FALSE),"")</f>
        <v>30774</v>
      </c>
      <c r="B2129" s="69" t="s">
        <v>2613</v>
      </c>
      <c r="C2129" s="70" t="s">
        <v>847</v>
      </c>
      <c r="D2129" s="70" t="s">
        <v>2614</v>
      </c>
      <c r="E2129" s="70"/>
      <c r="F2129" s="70"/>
      <c r="G2129" s="70" t="str">
        <f>IFERROR(VLOOKUP(A2129,[1]wms_iv_f!$A$1:$E$136,4,FALSE),"")</f>
        <v>M18-2-1C10</v>
      </c>
      <c r="H2129" s="95" t="str">
        <f>IFERROR(VLOOKUP(A2129,[2]wms_lc_f!$A$1:$B$156,2,FALSE),"")</f>
        <v/>
      </c>
    </row>
    <row r="2130" spans="1:8" hidden="1">
      <c r="A2130" s="69">
        <v>79514</v>
      </c>
      <c r="B2130" s="69" t="s">
        <v>2613</v>
      </c>
      <c r="C2130" s="70" t="s">
        <v>859</v>
      </c>
      <c r="D2130" s="70" t="s">
        <v>2614</v>
      </c>
      <c r="E2130" s="70"/>
      <c r="F2130" s="70"/>
      <c r="G2130" s="70" t="str">
        <f>IFERROR(VLOOKUP(A2130,[1]wms_iv_f!$A$1:$E$136,4,FALSE),"")</f>
        <v/>
      </c>
      <c r="H2130" s="95" t="str">
        <f>IFERROR(VLOOKUP(A2130,[2]wms_lc_f!$A$1:$B$156,2,FALSE),"")</f>
        <v/>
      </c>
    </row>
    <row r="2131" spans="1:8" hidden="1">
      <c r="A2131" s="69">
        <v>160093</v>
      </c>
      <c r="B2131" s="69" t="s">
        <v>2613</v>
      </c>
      <c r="C2131" s="70" t="s">
        <v>871</v>
      </c>
      <c r="D2131" s="70" t="s">
        <v>2614</v>
      </c>
      <c r="E2131" s="70"/>
      <c r="F2131" s="70"/>
      <c r="G2131" s="70" t="str">
        <f>IFERROR(VLOOKUP(A2131,[1]wms_iv_f!$A$1:$E$136,4,FALSE),"")</f>
        <v/>
      </c>
      <c r="H2131" s="95" t="str">
        <f>IFERROR(VLOOKUP(A2131,[2]wms_lc_f!$A$1:$B$156,2,FALSE),"")</f>
        <v/>
      </c>
    </row>
    <row r="2132" spans="1:8" hidden="1">
      <c r="A2132" s="69">
        <v>65200</v>
      </c>
      <c r="B2132" s="69" t="s">
        <v>2613</v>
      </c>
      <c r="C2132" s="70" t="s">
        <v>654</v>
      </c>
      <c r="D2132" s="70" t="s">
        <v>2614</v>
      </c>
      <c r="E2132" s="70"/>
      <c r="F2132" s="70"/>
      <c r="G2132" s="70" t="str">
        <f>IFERROR(VLOOKUP(A2132,[1]wms_iv_f!$A$1:$E$136,4,FALSE),"")</f>
        <v/>
      </c>
      <c r="H2132" s="95" t="str">
        <f>IFERROR(VLOOKUP(A2132,[2]wms_lc_f!$A$1:$B$156,2,FALSE),"")</f>
        <v/>
      </c>
    </row>
    <row r="2133" spans="1:8" hidden="1">
      <c r="A2133" s="69">
        <v>84798</v>
      </c>
      <c r="B2133" s="69" t="s">
        <v>2613</v>
      </c>
      <c r="C2133" s="70" t="s">
        <v>739</v>
      </c>
      <c r="D2133" s="70" t="s">
        <v>2614</v>
      </c>
      <c r="E2133" s="70"/>
      <c r="F2133" s="70"/>
      <c r="G2133" s="70" t="str">
        <f>IFERROR(VLOOKUP(A2133,[1]wms_iv_f!$A$1:$E$136,4,FALSE),"")</f>
        <v/>
      </c>
      <c r="H2133" s="95" t="str">
        <f>IFERROR(VLOOKUP(A2133,[2]wms_lc_f!$A$1:$B$156,2,FALSE),"")</f>
        <v/>
      </c>
    </row>
    <row r="2134" spans="1:8" hidden="1">
      <c r="A2134" s="69">
        <v>4133</v>
      </c>
      <c r="B2134" s="69" t="s">
        <v>2613</v>
      </c>
      <c r="C2134" s="70" t="s">
        <v>751</v>
      </c>
      <c r="D2134" s="70" t="s">
        <v>2614</v>
      </c>
      <c r="E2134" s="70"/>
      <c r="F2134" s="70"/>
      <c r="G2134" s="70" t="str">
        <f>IFERROR(VLOOKUP(A2134,[1]wms_iv_f!$A$1:$E$136,4,FALSE),"")</f>
        <v/>
      </c>
      <c r="H2134" s="95" t="str">
        <f>IFERROR(VLOOKUP(A2134,[2]wms_lc_f!$A$1:$B$156,2,FALSE),"")</f>
        <v/>
      </c>
    </row>
    <row r="2135" spans="1:8" hidden="1">
      <c r="A2135" s="69">
        <v>4410</v>
      </c>
      <c r="B2135" s="69" t="s">
        <v>2613</v>
      </c>
      <c r="C2135" s="70" t="s">
        <v>763</v>
      </c>
      <c r="D2135" s="70" t="s">
        <v>2614</v>
      </c>
      <c r="E2135" s="70"/>
      <c r="F2135" s="70"/>
      <c r="G2135" s="70" t="str">
        <f>IFERROR(VLOOKUP(A2135,[1]wms_iv_f!$A$1:$E$136,4,FALSE),"")</f>
        <v/>
      </c>
      <c r="H2135" s="95" t="str">
        <f>IFERROR(VLOOKUP(A2135,[2]wms_lc_f!$A$1:$B$156,2,FALSE),"")</f>
        <v/>
      </c>
    </row>
    <row r="2136" spans="1:8" hidden="1">
      <c r="A2136" s="69">
        <v>6833</v>
      </c>
      <c r="B2136" s="69" t="s">
        <v>2613</v>
      </c>
      <c r="C2136" s="70" t="s">
        <v>848</v>
      </c>
      <c r="D2136" s="70" t="s">
        <v>2614</v>
      </c>
      <c r="E2136" s="70"/>
      <c r="F2136" s="70"/>
      <c r="G2136" s="70" t="str">
        <f>IFERROR(VLOOKUP(A2136,[1]wms_iv_f!$A$1:$E$136,4,FALSE),"")</f>
        <v/>
      </c>
      <c r="H2136" s="95" t="str">
        <f>IFERROR(VLOOKUP(A2136,[2]wms_lc_f!$A$1:$B$156,2,FALSE),"")</f>
        <v/>
      </c>
    </row>
    <row r="2137" spans="1:8" hidden="1">
      <c r="A2137" s="69">
        <v>5431</v>
      </c>
      <c r="B2137" s="69" t="s">
        <v>2613</v>
      </c>
      <c r="C2137" s="70" t="s">
        <v>860</v>
      </c>
      <c r="D2137" s="70" t="s">
        <v>2614</v>
      </c>
      <c r="E2137" s="70"/>
      <c r="F2137" s="70"/>
      <c r="G2137" s="70" t="str">
        <f>IFERROR(VLOOKUP(A2137,[1]wms_iv_f!$A$1:$E$136,4,FALSE),"")</f>
        <v/>
      </c>
      <c r="H2137" s="95" t="str">
        <f>IFERROR(VLOOKUP(A2137,[2]wms_lc_f!$A$1:$B$156,2,FALSE),"")</f>
        <v/>
      </c>
    </row>
    <row r="2138" spans="1:8" hidden="1">
      <c r="A2138" s="69">
        <v>9316</v>
      </c>
      <c r="B2138" s="69" t="s">
        <v>2613</v>
      </c>
      <c r="C2138" s="70" t="s">
        <v>872</v>
      </c>
      <c r="D2138" s="70" t="s">
        <v>2614</v>
      </c>
      <c r="E2138" s="70"/>
      <c r="F2138" s="70"/>
      <c r="G2138" s="70" t="str">
        <f>IFERROR(VLOOKUP(A2138,[1]wms_iv_f!$A$1:$E$136,4,FALSE),"")</f>
        <v/>
      </c>
      <c r="H2138" s="95" t="str">
        <f>IFERROR(VLOOKUP(A2138,[2]wms_lc_f!$A$1:$B$156,2,FALSE),"")</f>
        <v/>
      </c>
    </row>
    <row r="2139" spans="1:8" hidden="1">
      <c r="A2139" s="69">
        <f>IFERROR(VLOOKUP(C2139,[3]wms_iv_f!$A$1:$D$135,2,FALSE),"")</f>
        <v>62296</v>
      </c>
      <c r="B2139" s="69" t="s">
        <v>2613</v>
      </c>
      <c r="C2139" s="70" t="s">
        <v>955</v>
      </c>
      <c r="D2139" s="70" t="s">
        <v>2614</v>
      </c>
      <c r="E2139" s="70"/>
      <c r="F2139" s="70"/>
      <c r="G2139" s="70" t="str">
        <f>IFERROR(VLOOKUP(A2139,[1]wms_iv_f!$A$1:$E$136,4,FALSE),"")</f>
        <v>M18-2-1D10</v>
      </c>
      <c r="H2139" s="95" t="str">
        <f>IFERROR(VLOOKUP(A2139,[2]wms_lc_f!$A$1:$B$156,2,FALSE),"")</f>
        <v/>
      </c>
    </row>
    <row r="2140" spans="1:8" hidden="1">
      <c r="A2140" s="69">
        <v>106380</v>
      </c>
      <c r="B2140" s="69" t="s">
        <v>2613</v>
      </c>
      <c r="C2140" s="70" t="s">
        <v>963</v>
      </c>
      <c r="D2140" s="70" t="s">
        <v>2614</v>
      </c>
      <c r="E2140" s="70"/>
      <c r="F2140" s="70"/>
      <c r="G2140" s="70" t="str">
        <f>IFERROR(VLOOKUP(A2140,[1]wms_iv_f!$A$1:$E$136,4,FALSE),"")</f>
        <v/>
      </c>
      <c r="H2140" s="95" t="str">
        <f>IFERROR(VLOOKUP(A2140,[2]wms_lc_f!$A$1:$B$156,2,FALSE),"")</f>
        <v/>
      </c>
    </row>
    <row r="2141" spans="1:8" hidden="1">
      <c r="A2141" s="69">
        <v>72322</v>
      </c>
      <c r="B2141" s="69" t="s">
        <v>2613</v>
      </c>
      <c r="C2141" s="70" t="s">
        <v>655</v>
      </c>
      <c r="D2141" s="70" t="s">
        <v>2614</v>
      </c>
      <c r="E2141" s="70"/>
      <c r="F2141" s="70"/>
      <c r="G2141" s="70" t="str">
        <f>IFERROR(VLOOKUP(A2141,[1]wms_iv_f!$A$1:$E$136,4,FALSE),"")</f>
        <v/>
      </c>
      <c r="H2141" s="95" t="str">
        <f>IFERROR(VLOOKUP(A2141,[2]wms_lc_f!$A$1:$B$156,2,FALSE),"")</f>
        <v/>
      </c>
    </row>
    <row r="2142" spans="1:8" hidden="1">
      <c r="A2142" s="69">
        <v>87612</v>
      </c>
      <c r="B2142" s="69" t="s">
        <v>2613</v>
      </c>
      <c r="C2142" s="70" t="s">
        <v>740</v>
      </c>
      <c r="D2142" s="70" t="s">
        <v>2614</v>
      </c>
      <c r="E2142" s="70"/>
      <c r="F2142" s="70"/>
      <c r="G2142" s="70" t="str">
        <f>IFERROR(VLOOKUP(A2142,[1]wms_iv_f!$A$1:$E$136,4,FALSE),"")</f>
        <v/>
      </c>
      <c r="H2142" s="95" t="str">
        <f>IFERROR(VLOOKUP(A2142,[2]wms_lc_f!$A$1:$B$156,2,FALSE),"")</f>
        <v/>
      </c>
    </row>
    <row r="2143" spans="1:8" hidden="1">
      <c r="A2143" s="69">
        <v>112571</v>
      </c>
      <c r="B2143" s="69" t="s">
        <v>2613</v>
      </c>
      <c r="C2143" s="70" t="s">
        <v>752</v>
      </c>
      <c r="D2143" s="70" t="s">
        <v>2614</v>
      </c>
      <c r="E2143" s="70"/>
      <c r="F2143" s="70"/>
      <c r="G2143" s="70" t="str">
        <f>IFERROR(VLOOKUP(A2143,[1]wms_iv_f!$A$1:$E$136,4,FALSE),"")</f>
        <v/>
      </c>
      <c r="H2143" s="95" t="str">
        <f>IFERROR(VLOOKUP(A2143,[2]wms_lc_f!$A$1:$B$156,2,FALSE),"")</f>
        <v/>
      </c>
    </row>
    <row r="2144" spans="1:8" hidden="1">
      <c r="A2144" s="69">
        <v>130227</v>
      </c>
      <c r="B2144" s="69" t="s">
        <v>2613</v>
      </c>
      <c r="C2144" s="70" t="s">
        <v>764</v>
      </c>
      <c r="D2144" s="70" t="s">
        <v>2614</v>
      </c>
      <c r="E2144" s="70"/>
      <c r="F2144" s="70"/>
      <c r="G2144" s="70" t="str">
        <f>IFERROR(VLOOKUP(A2144,[1]wms_iv_f!$A$1:$E$136,4,FALSE),"")</f>
        <v/>
      </c>
      <c r="H2144" s="95" t="str">
        <f>IFERROR(VLOOKUP(A2144,[2]wms_lc_f!$A$1:$B$156,2,FALSE),"")</f>
        <v/>
      </c>
    </row>
    <row r="2145" spans="1:8" hidden="1">
      <c r="A2145" s="69">
        <v>119896</v>
      </c>
      <c r="B2145" s="69" t="s">
        <v>2613</v>
      </c>
      <c r="C2145" s="70" t="s">
        <v>849</v>
      </c>
      <c r="D2145" s="70" t="s">
        <v>2614</v>
      </c>
      <c r="E2145" s="70"/>
      <c r="F2145" s="70"/>
      <c r="G2145" s="70" t="str">
        <f>IFERROR(VLOOKUP(A2145,[1]wms_iv_f!$A$1:$E$136,4,FALSE),"")</f>
        <v/>
      </c>
      <c r="H2145" s="95" t="str">
        <f>IFERROR(VLOOKUP(A2145,[2]wms_lc_f!$A$1:$B$156,2,FALSE),"")</f>
        <v/>
      </c>
    </row>
    <row r="2146" spans="1:8" hidden="1">
      <c r="A2146" s="69">
        <v>27863</v>
      </c>
      <c r="B2146" s="69" t="s">
        <v>2613</v>
      </c>
      <c r="C2146" s="70" t="s">
        <v>861</v>
      </c>
      <c r="D2146" s="70" t="s">
        <v>2614</v>
      </c>
      <c r="E2146" s="70"/>
      <c r="F2146" s="70"/>
      <c r="G2146" s="70" t="str">
        <f>IFERROR(VLOOKUP(A2146,[1]wms_iv_f!$A$1:$E$136,4,FALSE),"")</f>
        <v/>
      </c>
      <c r="H2146" s="95" t="str">
        <f>IFERROR(VLOOKUP(A2146,[2]wms_lc_f!$A$1:$B$156,2,FALSE),"")</f>
        <v/>
      </c>
    </row>
    <row r="2147" spans="1:8" hidden="1">
      <c r="A2147" s="69">
        <v>100731</v>
      </c>
      <c r="B2147" s="69" t="s">
        <v>2613</v>
      </c>
      <c r="C2147" s="70" t="s">
        <v>873</v>
      </c>
      <c r="D2147" s="70" t="s">
        <v>2614</v>
      </c>
      <c r="E2147" s="70"/>
      <c r="F2147" s="70"/>
      <c r="G2147" s="70" t="str">
        <f>IFERROR(VLOOKUP(A2147,[1]wms_iv_f!$A$1:$E$136,4,FALSE),"")</f>
        <v/>
      </c>
      <c r="H2147" s="95" t="str">
        <f>IFERROR(VLOOKUP(A2147,[2]wms_lc_f!$A$1:$B$156,2,FALSE),"")</f>
        <v/>
      </c>
    </row>
    <row r="2148" spans="1:8" hidden="1">
      <c r="A2148" s="69">
        <v>2333</v>
      </c>
      <c r="B2148" s="69" t="s">
        <v>2613</v>
      </c>
      <c r="C2148" s="70" t="s">
        <v>956</v>
      </c>
      <c r="D2148" s="70" t="s">
        <v>2614</v>
      </c>
      <c r="E2148" s="70"/>
      <c r="F2148" s="70"/>
      <c r="G2148" s="70" t="str">
        <f>IFERROR(VLOOKUP(A2148,[1]wms_iv_f!$A$1:$E$136,4,FALSE),"")</f>
        <v/>
      </c>
      <c r="H2148" s="95" t="str">
        <f>IFERROR(VLOOKUP(A2148,[2]wms_lc_f!$A$1:$B$156,2,FALSE),"")</f>
        <v/>
      </c>
    </row>
    <row r="2149" spans="1:8" hidden="1">
      <c r="A2149" s="69">
        <v>104772</v>
      </c>
      <c r="B2149" s="69" t="s">
        <v>2613</v>
      </c>
      <c r="C2149" s="70" t="s">
        <v>964</v>
      </c>
      <c r="D2149" s="70" t="s">
        <v>2614</v>
      </c>
      <c r="E2149" s="70"/>
      <c r="F2149" s="70"/>
      <c r="G2149" s="70" t="str">
        <f>IFERROR(VLOOKUP(A2149,[1]wms_iv_f!$A$1:$E$136,4,FALSE),"")</f>
        <v/>
      </c>
      <c r="H2149" s="95" t="str">
        <f>IFERROR(VLOOKUP(A2149,[2]wms_lc_f!$A$1:$B$156,2,FALSE),"")</f>
        <v/>
      </c>
    </row>
    <row r="2150" spans="1:8" hidden="1">
      <c r="A2150" s="69">
        <v>2448</v>
      </c>
      <c r="B2150" s="69" t="s">
        <v>2613</v>
      </c>
      <c r="C2150" s="70" t="s">
        <v>888</v>
      </c>
      <c r="D2150" s="70" t="s">
        <v>2610</v>
      </c>
      <c r="E2150" s="72"/>
      <c r="F2150" s="70"/>
      <c r="G2150" s="70" t="str">
        <f>IFERROR(VLOOKUP(A2150,[1]wms_iv_f!$A$1:$E$136,4,FALSE),"")</f>
        <v/>
      </c>
      <c r="H2150" s="95" t="str">
        <f>IFERROR(VLOOKUP(A2150,[2]wms_lc_f!$A$1:$B$156,2,FALSE),"")</f>
        <v/>
      </c>
    </row>
    <row r="2151" spans="1:8" hidden="1">
      <c r="A2151" s="69">
        <v>82390</v>
      </c>
      <c r="B2151" s="69" t="s">
        <v>2613</v>
      </c>
      <c r="C2151" s="70" t="s">
        <v>667</v>
      </c>
      <c r="D2151" s="70" t="s">
        <v>2610</v>
      </c>
      <c r="E2151" s="72"/>
      <c r="F2151" s="70"/>
      <c r="G2151" s="70" t="str">
        <f>IFERROR(VLOOKUP(A2151,[1]wms_iv_f!$A$1:$E$136,4,FALSE),"")</f>
        <v/>
      </c>
      <c r="H2151" s="95" t="str">
        <f>IFERROR(VLOOKUP(A2151,[2]wms_lc_f!$A$1:$B$156,2,FALSE),"")</f>
        <v>12-111-B2</v>
      </c>
    </row>
    <row r="2152" spans="1:8" hidden="1">
      <c r="A2152" s="69">
        <v>1414</v>
      </c>
      <c r="B2152" s="69" t="s">
        <v>2613</v>
      </c>
      <c r="C2152" s="70" t="s">
        <v>668</v>
      </c>
      <c r="D2152" s="70" t="s">
        <v>2610</v>
      </c>
      <c r="E2152" s="72"/>
      <c r="F2152" s="70"/>
      <c r="G2152" s="70" t="str">
        <f>IFERROR(VLOOKUP(A2152,[1]wms_iv_f!$A$1:$E$136,4,FALSE),"")</f>
        <v/>
      </c>
      <c r="H2152" s="95" t="str">
        <f>IFERROR(VLOOKUP(A2152,[2]wms_lc_f!$A$1:$B$156,2,FALSE),"")</f>
        <v/>
      </c>
    </row>
    <row r="2153" spans="1:8" hidden="1">
      <c r="A2153" s="69">
        <v>558</v>
      </c>
      <c r="B2153" s="69" t="s">
        <v>2613</v>
      </c>
      <c r="C2153" s="70" t="s">
        <v>783</v>
      </c>
      <c r="D2153" s="70" t="s">
        <v>2610</v>
      </c>
      <c r="E2153" s="72"/>
      <c r="F2153" s="70"/>
      <c r="G2153" s="70" t="str">
        <f>IFERROR(VLOOKUP(A2153,[1]wms_iv_f!$A$1:$E$136,4,FALSE),"")</f>
        <v/>
      </c>
      <c r="H2153" s="95" t="str">
        <f>IFERROR(VLOOKUP(A2153,[2]wms_lc_f!$A$1:$B$156,2,FALSE),"")</f>
        <v/>
      </c>
    </row>
    <row r="2154" spans="1:8" hidden="1">
      <c r="A2154" s="69">
        <v>105097</v>
      </c>
      <c r="B2154" s="69" t="s">
        <v>2613</v>
      </c>
      <c r="C2154" s="70" t="s">
        <v>789</v>
      </c>
      <c r="D2154" s="70" t="s">
        <v>2610</v>
      </c>
      <c r="E2154" s="72"/>
      <c r="F2154" s="70"/>
      <c r="G2154" s="70" t="str">
        <f>IFERROR(VLOOKUP(A2154,[1]wms_iv_f!$A$1:$E$136,4,FALSE),"")</f>
        <v/>
      </c>
      <c r="H2154" s="95" t="str">
        <f>IFERROR(VLOOKUP(A2154,[2]wms_lc_f!$A$1:$B$156,2,FALSE),"")</f>
        <v/>
      </c>
    </row>
    <row r="2155" spans="1:8" hidden="1">
      <c r="A2155" s="69">
        <v>159070</v>
      </c>
      <c r="B2155" s="69" t="s">
        <v>2609</v>
      </c>
      <c r="C2155" s="70" t="s">
        <v>1396</v>
      </c>
      <c r="D2155" s="70" t="s">
        <v>2614</v>
      </c>
      <c r="E2155" s="70"/>
      <c r="F2155" s="70"/>
      <c r="G2155" s="70" t="str">
        <f>IFERROR(VLOOKUP(A2155,[1]wms_iv_f!$A$1:$E$136,4,FALSE),"")</f>
        <v/>
      </c>
      <c r="H2155" s="95" t="str">
        <f>IFERROR(VLOOKUP(A2155,[2]wms_lc_f!$A$1:$B$156,2,FALSE),"")</f>
        <v/>
      </c>
    </row>
    <row r="2156" spans="1:8" hidden="1">
      <c r="A2156" s="69">
        <v>63167</v>
      </c>
      <c r="B2156" s="69" t="s">
        <v>2609</v>
      </c>
      <c r="C2156" s="70" t="s">
        <v>1408</v>
      </c>
      <c r="D2156" s="70" t="s">
        <v>2614</v>
      </c>
      <c r="E2156" s="70"/>
      <c r="F2156" s="70"/>
      <c r="G2156" s="70" t="str">
        <f>IFERROR(VLOOKUP(A2156,[1]wms_iv_f!$A$1:$E$136,4,FALSE),"")</f>
        <v/>
      </c>
      <c r="H2156" s="95" t="str">
        <f>IFERROR(VLOOKUP(A2156,[2]wms_lc_f!$A$1:$B$156,2,FALSE),"")</f>
        <v/>
      </c>
    </row>
    <row r="2157" spans="1:8" hidden="1">
      <c r="A2157" s="69">
        <v>124950</v>
      </c>
      <c r="B2157" s="69" t="s">
        <v>2609</v>
      </c>
      <c r="C2157" s="70" t="s">
        <v>1420</v>
      </c>
      <c r="D2157" s="70" t="s">
        <v>2614</v>
      </c>
      <c r="E2157" s="70"/>
      <c r="F2157" s="70"/>
      <c r="G2157" s="70" t="str">
        <f>IFERROR(VLOOKUP(A2157,[1]wms_iv_f!$A$1:$E$136,4,FALSE),"")</f>
        <v/>
      </c>
      <c r="H2157" s="95" t="str">
        <f>IFERROR(VLOOKUP(A2157,[2]wms_lc_f!$A$1:$B$156,2,FALSE),"")</f>
        <v/>
      </c>
    </row>
    <row r="2158" spans="1:8" hidden="1">
      <c r="A2158" s="69">
        <v>152</v>
      </c>
      <c r="B2158" s="69" t="s">
        <v>2609</v>
      </c>
      <c r="C2158" s="70" t="s">
        <v>1503</v>
      </c>
      <c r="D2158" s="70" t="s">
        <v>2614</v>
      </c>
      <c r="E2158" s="70"/>
      <c r="F2158" s="70"/>
      <c r="G2158" s="70" t="str">
        <f>IFERROR(VLOOKUP(A2158,[1]wms_iv_f!$A$1:$E$136,4,FALSE),"")</f>
        <v/>
      </c>
      <c r="H2158" s="95" t="str">
        <f>IFERROR(VLOOKUP(A2158,[2]wms_lc_f!$A$1:$B$156,2,FALSE),"")</f>
        <v/>
      </c>
    </row>
    <row r="2159" spans="1:8" hidden="1">
      <c r="A2159" s="69">
        <v>51895</v>
      </c>
      <c r="B2159" s="69" t="s">
        <v>2609</v>
      </c>
      <c r="C2159" s="70" t="s">
        <v>1515</v>
      </c>
      <c r="D2159" s="70" t="s">
        <v>2614</v>
      </c>
      <c r="E2159" s="70"/>
      <c r="F2159" s="70"/>
      <c r="G2159" s="70" t="str">
        <f>IFERROR(VLOOKUP(A2159,[1]wms_iv_f!$A$1:$E$136,4,FALSE),"")</f>
        <v/>
      </c>
      <c r="H2159" s="95" t="str">
        <f>IFERROR(VLOOKUP(A2159,[2]wms_lc_f!$A$1:$B$156,2,FALSE),"")</f>
        <v/>
      </c>
    </row>
    <row r="2160" spans="1:8" hidden="1">
      <c r="A2160" s="69">
        <v>78496</v>
      </c>
      <c r="B2160" s="69" t="s">
        <v>2609</v>
      </c>
      <c r="C2160" s="70" t="s">
        <v>1527</v>
      </c>
      <c r="D2160" s="70" t="s">
        <v>2614</v>
      </c>
      <c r="E2160" s="70"/>
      <c r="F2160" s="70"/>
      <c r="G2160" s="70" t="str">
        <f>IFERROR(VLOOKUP(A2160,[1]wms_iv_f!$A$1:$E$136,4,FALSE),"")</f>
        <v/>
      </c>
      <c r="H2160" s="95" t="str">
        <f>IFERROR(VLOOKUP(A2160,[2]wms_lc_f!$A$1:$B$156,2,FALSE),"")</f>
        <v/>
      </c>
    </row>
    <row r="2161" spans="1:8" hidden="1">
      <c r="A2161" s="69">
        <v>8345</v>
      </c>
      <c r="B2161" s="69" t="s">
        <v>2609</v>
      </c>
      <c r="C2161" s="70" t="s">
        <v>1609</v>
      </c>
      <c r="D2161" s="70" t="s">
        <v>2614</v>
      </c>
      <c r="E2161" s="70"/>
      <c r="F2161" s="70"/>
      <c r="G2161" s="70" t="str">
        <f>IFERROR(VLOOKUP(A2161,[1]wms_iv_f!$A$1:$E$136,4,FALSE),"")</f>
        <v/>
      </c>
      <c r="H2161" s="95" t="str">
        <f>IFERROR(VLOOKUP(A2161,[2]wms_lc_f!$A$1:$B$156,2,FALSE),"")</f>
        <v/>
      </c>
    </row>
    <row r="2162" spans="1:8" hidden="1">
      <c r="A2162" s="69">
        <v>96316</v>
      </c>
      <c r="B2162" s="69" t="s">
        <v>2609</v>
      </c>
      <c r="C2162" s="70" t="s">
        <v>1619</v>
      </c>
      <c r="D2162" s="70" t="s">
        <v>2614</v>
      </c>
      <c r="E2162" s="70"/>
      <c r="F2162" s="70"/>
      <c r="G2162" s="70" t="str">
        <f>IFERROR(VLOOKUP(A2162,[1]wms_iv_f!$A$1:$E$136,4,FALSE),"")</f>
        <v/>
      </c>
      <c r="H2162" s="95" t="str">
        <f>IFERROR(VLOOKUP(A2162,[2]wms_lc_f!$A$1:$B$156,2,FALSE),"")</f>
        <v/>
      </c>
    </row>
    <row r="2163" spans="1:8" hidden="1">
      <c r="A2163" s="75">
        <v>11689</v>
      </c>
      <c r="B2163" s="69" t="s">
        <v>2609</v>
      </c>
      <c r="C2163" s="76" t="s">
        <v>1627</v>
      </c>
      <c r="D2163" s="76" t="s">
        <v>2614</v>
      </c>
      <c r="E2163" s="70"/>
      <c r="F2163" s="70"/>
      <c r="G2163" s="70" t="str">
        <f>IFERROR(VLOOKUP(A2163,[1]wms_iv_f!$A$1:$E$136,4,FALSE),"")</f>
        <v/>
      </c>
      <c r="H2163" s="95" t="str">
        <f>IFERROR(VLOOKUP(A2163,[2]wms_lc_f!$A$1:$B$156,2,FALSE),"")</f>
        <v/>
      </c>
    </row>
    <row r="2164" spans="1:8" hidden="1">
      <c r="A2164" s="69">
        <v>144223</v>
      </c>
      <c r="B2164" s="69" t="s">
        <v>2609</v>
      </c>
      <c r="C2164" s="70" t="s">
        <v>1397</v>
      </c>
      <c r="D2164" s="70" t="s">
        <v>2614</v>
      </c>
      <c r="E2164" s="70"/>
      <c r="F2164" s="70"/>
      <c r="G2164" s="70" t="str">
        <f>IFERROR(VLOOKUP(A2164,[1]wms_iv_f!$A$1:$E$136,4,FALSE),"")</f>
        <v/>
      </c>
      <c r="H2164" s="95" t="str">
        <f>IFERROR(VLOOKUP(A2164,[2]wms_lc_f!$A$1:$B$156,2,FALSE),"")</f>
        <v/>
      </c>
    </row>
    <row r="2165" spans="1:8" hidden="1">
      <c r="A2165" s="69">
        <v>12233</v>
      </c>
      <c r="B2165" s="69" t="s">
        <v>2609</v>
      </c>
      <c r="C2165" s="70" t="s">
        <v>1409</v>
      </c>
      <c r="D2165" s="70" t="s">
        <v>2614</v>
      </c>
      <c r="E2165" s="70"/>
      <c r="F2165" s="70"/>
      <c r="G2165" s="70" t="str">
        <f>IFERROR(VLOOKUP(A2165,[1]wms_iv_f!$A$1:$E$136,4,FALSE),"")</f>
        <v/>
      </c>
      <c r="H2165" s="95" t="str">
        <f>IFERROR(VLOOKUP(A2165,[2]wms_lc_f!$A$1:$B$156,2,FALSE),"")</f>
        <v/>
      </c>
    </row>
    <row r="2166" spans="1:8" hidden="1">
      <c r="A2166" s="69">
        <v>158188</v>
      </c>
      <c r="B2166" s="69" t="s">
        <v>2609</v>
      </c>
      <c r="C2166" s="70" t="s">
        <v>1421</v>
      </c>
      <c r="D2166" s="70" t="s">
        <v>2614</v>
      </c>
      <c r="E2166" s="70"/>
      <c r="F2166" s="70"/>
      <c r="G2166" s="70" t="str">
        <f>IFERROR(VLOOKUP(A2166,[1]wms_iv_f!$A$1:$E$136,4,FALSE),"")</f>
        <v/>
      </c>
      <c r="H2166" s="95" t="str">
        <f>IFERROR(VLOOKUP(A2166,[2]wms_lc_f!$A$1:$B$156,2,FALSE),"")</f>
        <v/>
      </c>
    </row>
    <row r="2167" spans="1:8" hidden="1">
      <c r="A2167" s="69">
        <v>13828</v>
      </c>
      <c r="B2167" s="69" t="s">
        <v>2609</v>
      </c>
      <c r="C2167" s="70" t="s">
        <v>1504</v>
      </c>
      <c r="D2167" s="70" t="s">
        <v>2614</v>
      </c>
      <c r="E2167" s="70"/>
      <c r="F2167" s="70"/>
      <c r="G2167" s="70" t="str">
        <f>IFERROR(VLOOKUP(A2167,[1]wms_iv_f!$A$1:$E$136,4,FALSE),"")</f>
        <v/>
      </c>
      <c r="H2167" s="95" t="str">
        <f>IFERROR(VLOOKUP(A2167,[2]wms_lc_f!$A$1:$B$156,2,FALSE),"")</f>
        <v/>
      </c>
    </row>
    <row r="2168" spans="1:8" hidden="1">
      <c r="A2168" s="69">
        <v>114613</v>
      </c>
      <c r="B2168" s="69" t="s">
        <v>2609</v>
      </c>
      <c r="C2168" s="70" t="s">
        <v>1516</v>
      </c>
      <c r="D2168" s="70" t="s">
        <v>2614</v>
      </c>
      <c r="E2168" s="70"/>
      <c r="F2168" s="70"/>
      <c r="G2168" s="70" t="str">
        <f>IFERROR(VLOOKUP(A2168,[1]wms_iv_f!$A$1:$E$136,4,FALSE),"")</f>
        <v/>
      </c>
      <c r="H2168" s="95" t="str">
        <f>IFERROR(VLOOKUP(A2168,[2]wms_lc_f!$A$1:$B$156,2,FALSE),"")</f>
        <v/>
      </c>
    </row>
    <row r="2169" spans="1:8" hidden="1">
      <c r="A2169" s="69">
        <v>37687</v>
      </c>
      <c r="B2169" s="69" t="s">
        <v>2609</v>
      </c>
      <c r="C2169" s="70" t="s">
        <v>1528</v>
      </c>
      <c r="D2169" s="70" t="s">
        <v>2614</v>
      </c>
      <c r="E2169" s="70"/>
      <c r="F2169" s="70"/>
      <c r="G2169" s="70" t="str">
        <f>IFERROR(VLOOKUP(A2169,[1]wms_iv_f!$A$1:$E$136,4,FALSE),"")</f>
        <v/>
      </c>
      <c r="H2169" s="95" t="str">
        <f>IFERROR(VLOOKUP(A2169,[2]wms_lc_f!$A$1:$B$156,2,FALSE),"")</f>
        <v/>
      </c>
    </row>
    <row r="2170" spans="1:8" hidden="1">
      <c r="A2170" s="69">
        <v>117145</v>
      </c>
      <c r="B2170" s="69" t="s">
        <v>2609</v>
      </c>
      <c r="C2170" s="70" t="s">
        <v>1610</v>
      </c>
      <c r="D2170" s="70" t="s">
        <v>2614</v>
      </c>
      <c r="E2170" s="70"/>
      <c r="F2170" s="70"/>
      <c r="G2170" s="70" t="str">
        <f>IFERROR(VLOOKUP(A2170,[1]wms_iv_f!$A$1:$E$136,4,FALSE),"")</f>
        <v/>
      </c>
      <c r="H2170" s="95" t="str">
        <f>IFERROR(VLOOKUP(A2170,[2]wms_lc_f!$A$1:$B$156,2,FALSE),"")</f>
        <v/>
      </c>
    </row>
    <row r="2171" spans="1:8" hidden="1">
      <c r="A2171" s="69">
        <v>134031</v>
      </c>
      <c r="B2171" s="69" t="s">
        <v>2609</v>
      </c>
      <c r="C2171" s="70" t="s">
        <v>1620</v>
      </c>
      <c r="D2171" s="70" t="s">
        <v>2614</v>
      </c>
      <c r="E2171" s="70"/>
      <c r="F2171" s="70"/>
      <c r="G2171" s="70" t="str">
        <f>IFERROR(VLOOKUP(A2171,[1]wms_iv_f!$A$1:$E$136,4,FALSE),"")</f>
        <v/>
      </c>
      <c r="H2171" s="95" t="str">
        <f>IFERROR(VLOOKUP(A2171,[2]wms_lc_f!$A$1:$B$156,2,FALSE),"")</f>
        <v/>
      </c>
    </row>
    <row r="2172" spans="1:8" hidden="1">
      <c r="A2172" s="69">
        <v>96958</v>
      </c>
      <c r="B2172" s="69" t="s">
        <v>2609</v>
      </c>
      <c r="C2172" s="70" t="s">
        <v>1628</v>
      </c>
      <c r="D2172" s="70" t="s">
        <v>2614</v>
      </c>
      <c r="E2172" s="70"/>
      <c r="F2172" s="70"/>
      <c r="G2172" s="70" t="str">
        <f>IFERROR(VLOOKUP(A2172,[1]wms_iv_f!$A$1:$E$136,4,FALSE),"")</f>
        <v/>
      </c>
      <c r="H2172" s="95" t="str">
        <f>IFERROR(VLOOKUP(A2172,[2]wms_lc_f!$A$1:$B$156,2,FALSE),"")</f>
        <v/>
      </c>
    </row>
    <row r="2173" spans="1:8" hidden="1">
      <c r="A2173" s="69">
        <v>82527</v>
      </c>
      <c r="B2173" s="69" t="s">
        <v>2609</v>
      </c>
      <c r="C2173" s="70" t="s">
        <v>1398</v>
      </c>
      <c r="D2173" s="70" t="s">
        <v>2614</v>
      </c>
      <c r="E2173" s="70"/>
      <c r="F2173" s="70"/>
      <c r="G2173" s="70" t="str">
        <f>IFERROR(VLOOKUP(A2173,[1]wms_iv_f!$A$1:$E$136,4,FALSE),"")</f>
        <v/>
      </c>
      <c r="H2173" s="95" t="str">
        <f>IFERROR(VLOOKUP(A2173,[2]wms_lc_f!$A$1:$B$156,2,FALSE),"")</f>
        <v/>
      </c>
    </row>
    <row r="2174" spans="1:8" hidden="1">
      <c r="A2174" s="69">
        <v>121419</v>
      </c>
      <c r="B2174" s="69" t="s">
        <v>2609</v>
      </c>
      <c r="C2174" s="70" t="s">
        <v>1410</v>
      </c>
      <c r="D2174" s="70" t="s">
        <v>2614</v>
      </c>
      <c r="E2174" s="70"/>
      <c r="F2174" s="70"/>
      <c r="G2174" s="70" t="str">
        <f>IFERROR(VLOOKUP(A2174,[1]wms_iv_f!$A$1:$E$136,4,FALSE),"")</f>
        <v/>
      </c>
      <c r="H2174" s="95" t="str">
        <f>IFERROR(VLOOKUP(A2174,[2]wms_lc_f!$A$1:$B$156,2,FALSE),"")</f>
        <v/>
      </c>
    </row>
    <row r="2175" spans="1:8" hidden="1">
      <c r="A2175" s="69">
        <v>96317</v>
      </c>
      <c r="B2175" s="69" t="s">
        <v>2609</v>
      </c>
      <c r="C2175" s="70" t="s">
        <v>1422</v>
      </c>
      <c r="D2175" s="70" t="s">
        <v>2614</v>
      </c>
      <c r="E2175" s="70"/>
      <c r="F2175" s="70"/>
      <c r="G2175" s="70" t="str">
        <f>IFERROR(VLOOKUP(A2175,[1]wms_iv_f!$A$1:$E$136,4,FALSE),"")</f>
        <v/>
      </c>
      <c r="H2175" s="95" t="str">
        <f>IFERROR(VLOOKUP(A2175,[2]wms_lc_f!$A$1:$B$156,2,FALSE),"")</f>
        <v/>
      </c>
    </row>
    <row r="2176" spans="1:8" hidden="1">
      <c r="A2176" s="69">
        <v>25067</v>
      </c>
      <c r="B2176" s="69" t="s">
        <v>2609</v>
      </c>
      <c r="C2176" s="70" t="s">
        <v>1505</v>
      </c>
      <c r="D2176" s="70" t="s">
        <v>2614</v>
      </c>
      <c r="E2176" s="70"/>
      <c r="F2176" s="70"/>
      <c r="G2176" s="70" t="str">
        <f>IFERROR(VLOOKUP(A2176,[1]wms_iv_f!$A$1:$E$136,4,FALSE),"")</f>
        <v/>
      </c>
      <c r="H2176" s="95" t="str">
        <f>IFERROR(VLOOKUP(A2176,[2]wms_lc_f!$A$1:$B$156,2,FALSE),"")</f>
        <v/>
      </c>
    </row>
    <row r="2177" spans="1:8" hidden="1">
      <c r="A2177" s="69">
        <v>60082</v>
      </c>
      <c r="B2177" s="69" t="s">
        <v>2609</v>
      </c>
      <c r="C2177" s="70" t="s">
        <v>1517</v>
      </c>
      <c r="D2177" s="70" t="s">
        <v>2614</v>
      </c>
      <c r="E2177" s="70"/>
      <c r="F2177" s="70"/>
      <c r="G2177" s="70" t="str">
        <f>IFERROR(VLOOKUP(A2177,[1]wms_iv_f!$A$1:$E$136,4,FALSE),"")</f>
        <v/>
      </c>
      <c r="H2177" s="95" t="str">
        <f>IFERROR(VLOOKUP(A2177,[2]wms_lc_f!$A$1:$B$156,2,FALSE),"")</f>
        <v/>
      </c>
    </row>
    <row r="2178" spans="1:8" hidden="1">
      <c r="A2178" s="69">
        <v>65803</v>
      </c>
      <c r="B2178" s="69" t="s">
        <v>2609</v>
      </c>
      <c r="C2178" s="70" t="s">
        <v>1529</v>
      </c>
      <c r="D2178" s="70" t="s">
        <v>2614</v>
      </c>
      <c r="E2178" s="70"/>
      <c r="F2178" s="70"/>
      <c r="G2178" s="70" t="str">
        <f>IFERROR(VLOOKUP(A2178,[1]wms_iv_f!$A$1:$E$136,4,FALSE),"")</f>
        <v/>
      </c>
      <c r="H2178" s="95" t="str">
        <f>IFERROR(VLOOKUP(A2178,[2]wms_lc_f!$A$1:$B$156,2,FALSE),"")</f>
        <v/>
      </c>
    </row>
    <row r="2179" spans="1:8" hidden="1">
      <c r="A2179" s="69">
        <v>28492</v>
      </c>
      <c r="B2179" s="69" t="s">
        <v>2609</v>
      </c>
      <c r="C2179" s="70" t="s">
        <v>1611</v>
      </c>
      <c r="D2179" s="70" t="s">
        <v>2614</v>
      </c>
      <c r="E2179" s="70"/>
      <c r="F2179" s="70"/>
      <c r="G2179" s="70" t="str">
        <f>IFERROR(VLOOKUP(A2179,[1]wms_iv_f!$A$1:$E$136,4,FALSE),"")</f>
        <v/>
      </c>
      <c r="H2179" s="95" t="str">
        <f>IFERROR(VLOOKUP(A2179,[2]wms_lc_f!$A$1:$B$156,2,FALSE),"")</f>
        <v/>
      </c>
    </row>
    <row r="2180" spans="1:8" hidden="1">
      <c r="A2180" s="81">
        <v>19550</v>
      </c>
      <c r="B2180" s="69" t="s">
        <v>2609</v>
      </c>
      <c r="C2180" s="74" t="s">
        <v>1399</v>
      </c>
      <c r="D2180" s="74" t="s">
        <v>2614</v>
      </c>
      <c r="E2180" s="70"/>
      <c r="F2180" s="70"/>
      <c r="G2180" s="70" t="str">
        <f>IFERROR(VLOOKUP(A2180,[1]wms_iv_f!$A$1:$E$136,4,FALSE),"")</f>
        <v/>
      </c>
      <c r="H2180" s="95" t="str">
        <f>IFERROR(VLOOKUP(A2180,[2]wms_lc_f!$A$1:$B$156,2,FALSE),"")</f>
        <v/>
      </c>
    </row>
    <row r="2181" spans="1:8" hidden="1">
      <c r="A2181" s="69">
        <v>365</v>
      </c>
      <c r="B2181" s="69" t="s">
        <v>2609</v>
      </c>
      <c r="C2181" s="70" t="s">
        <v>1411</v>
      </c>
      <c r="D2181" s="70" t="s">
        <v>2614</v>
      </c>
      <c r="E2181" s="70"/>
      <c r="F2181" s="70"/>
      <c r="G2181" s="70" t="str">
        <f>IFERROR(VLOOKUP(A2181,[1]wms_iv_f!$A$1:$E$136,4,FALSE),"")</f>
        <v/>
      </c>
      <c r="H2181" s="95" t="str">
        <f>IFERROR(VLOOKUP(A2181,[2]wms_lc_f!$A$1:$B$156,2,FALSE),"")</f>
        <v/>
      </c>
    </row>
    <row r="2182" spans="1:8" hidden="1">
      <c r="A2182" s="69">
        <v>79501</v>
      </c>
      <c r="B2182" s="69" t="s">
        <v>2609</v>
      </c>
      <c r="C2182" s="70" t="s">
        <v>1423</v>
      </c>
      <c r="D2182" s="70" t="s">
        <v>2614</v>
      </c>
      <c r="E2182" s="70"/>
      <c r="F2182" s="70"/>
      <c r="G2182" s="70" t="str">
        <f>IFERROR(VLOOKUP(A2182,[1]wms_iv_f!$A$1:$E$136,4,FALSE),"")</f>
        <v/>
      </c>
      <c r="H2182" s="95" t="str">
        <f>IFERROR(VLOOKUP(A2182,[2]wms_lc_f!$A$1:$B$156,2,FALSE),"")</f>
        <v/>
      </c>
    </row>
    <row r="2183" spans="1:8" hidden="1">
      <c r="A2183" s="69">
        <v>963</v>
      </c>
      <c r="B2183" s="69" t="s">
        <v>2609</v>
      </c>
      <c r="C2183" s="70" t="s">
        <v>1506</v>
      </c>
      <c r="D2183" s="70" t="s">
        <v>2614</v>
      </c>
      <c r="E2183" s="70"/>
      <c r="F2183" s="70"/>
      <c r="G2183" s="70" t="str">
        <f>IFERROR(VLOOKUP(A2183,[1]wms_iv_f!$A$1:$E$136,4,FALSE),"")</f>
        <v/>
      </c>
      <c r="H2183" s="95" t="str">
        <f>IFERROR(VLOOKUP(A2183,[2]wms_lc_f!$A$1:$B$156,2,FALSE),"")</f>
        <v/>
      </c>
    </row>
    <row r="2184" spans="1:8" hidden="1">
      <c r="A2184" s="69">
        <v>35251</v>
      </c>
      <c r="B2184" s="69" t="s">
        <v>2609</v>
      </c>
      <c r="C2184" s="70" t="s">
        <v>1518</v>
      </c>
      <c r="D2184" s="70" t="s">
        <v>2614</v>
      </c>
      <c r="E2184" s="70"/>
      <c r="F2184" s="70"/>
      <c r="G2184" s="70" t="str">
        <f>IFERROR(VLOOKUP(A2184,[1]wms_iv_f!$A$1:$E$136,4,FALSE),"")</f>
        <v/>
      </c>
      <c r="H2184" s="95" t="str">
        <f>IFERROR(VLOOKUP(A2184,[2]wms_lc_f!$A$1:$B$156,2,FALSE),"")</f>
        <v/>
      </c>
    </row>
    <row r="2185" spans="1:8" hidden="1">
      <c r="A2185" s="69">
        <v>7897</v>
      </c>
      <c r="B2185" s="69" t="s">
        <v>2609</v>
      </c>
      <c r="C2185" s="70" t="s">
        <v>1530</v>
      </c>
      <c r="D2185" s="70" t="s">
        <v>2614</v>
      </c>
      <c r="E2185" s="70"/>
      <c r="F2185" s="70"/>
      <c r="G2185" s="70" t="str">
        <f>IFERROR(VLOOKUP(A2185,[1]wms_iv_f!$A$1:$E$136,4,FALSE),"")</f>
        <v/>
      </c>
      <c r="H2185" s="95" t="str">
        <f>IFERROR(VLOOKUP(A2185,[2]wms_lc_f!$A$1:$B$156,2,FALSE),"")</f>
        <v/>
      </c>
    </row>
    <row r="2186" spans="1:8" hidden="1">
      <c r="A2186" s="69">
        <v>139098</v>
      </c>
      <c r="B2186" s="69" t="s">
        <v>2609</v>
      </c>
      <c r="C2186" s="70" t="s">
        <v>1612</v>
      </c>
      <c r="D2186" s="70" t="s">
        <v>2614</v>
      </c>
      <c r="E2186" s="70"/>
      <c r="F2186" s="70"/>
      <c r="G2186" s="70" t="str">
        <f>IFERROR(VLOOKUP(A2186,[1]wms_iv_f!$A$1:$E$136,4,FALSE),"")</f>
        <v/>
      </c>
      <c r="H2186" s="95" t="str">
        <f>IFERROR(VLOOKUP(A2186,[2]wms_lc_f!$A$1:$B$156,2,FALSE),"")</f>
        <v/>
      </c>
    </row>
    <row r="2187" spans="1:8" hidden="1">
      <c r="A2187" s="69">
        <v>110251</v>
      </c>
      <c r="B2187" s="69" t="s">
        <v>2609</v>
      </c>
      <c r="C2187" s="70" t="s">
        <v>1400</v>
      </c>
      <c r="D2187" s="70" t="s">
        <v>2614</v>
      </c>
      <c r="E2187" s="70"/>
      <c r="F2187" s="70"/>
      <c r="G2187" s="70" t="str">
        <f>IFERROR(VLOOKUP(A2187,[1]wms_iv_f!$A$1:$E$136,4,FALSE),"")</f>
        <v/>
      </c>
      <c r="H2187" s="95" t="str">
        <f>IFERROR(VLOOKUP(A2187,[2]wms_lc_f!$A$1:$B$156,2,FALSE),"")</f>
        <v/>
      </c>
    </row>
    <row r="2188" spans="1:8" hidden="1">
      <c r="A2188" s="69">
        <v>74068</v>
      </c>
      <c r="B2188" s="69" t="s">
        <v>2609</v>
      </c>
      <c r="C2188" s="70" t="s">
        <v>1412</v>
      </c>
      <c r="D2188" s="70" t="s">
        <v>2614</v>
      </c>
      <c r="E2188" s="70"/>
      <c r="F2188" s="70"/>
      <c r="G2188" s="70" t="str">
        <f>IFERROR(VLOOKUP(A2188,[1]wms_iv_f!$A$1:$E$136,4,FALSE),"")</f>
        <v/>
      </c>
      <c r="H2188" s="95" t="str">
        <f>IFERROR(VLOOKUP(A2188,[2]wms_lc_f!$A$1:$B$156,2,FALSE),"")</f>
        <v/>
      </c>
    </row>
    <row r="2189" spans="1:8" hidden="1">
      <c r="A2189" s="69">
        <v>73351</v>
      </c>
      <c r="B2189" s="69" t="s">
        <v>2609</v>
      </c>
      <c r="C2189" s="70" t="s">
        <v>1424</v>
      </c>
      <c r="D2189" s="70" t="s">
        <v>2614</v>
      </c>
      <c r="E2189" s="70"/>
      <c r="F2189" s="70"/>
      <c r="G2189" s="70" t="str">
        <f>IFERROR(VLOOKUP(A2189,[1]wms_iv_f!$A$1:$E$136,4,FALSE),"")</f>
        <v/>
      </c>
      <c r="H2189" s="95" t="str">
        <f>IFERROR(VLOOKUP(A2189,[2]wms_lc_f!$A$1:$B$156,2,FALSE),"")</f>
        <v/>
      </c>
    </row>
    <row r="2190" spans="1:8" hidden="1">
      <c r="A2190" s="69">
        <v>87064</v>
      </c>
      <c r="B2190" s="69" t="s">
        <v>2609</v>
      </c>
      <c r="C2190" s="70" t="s">
        <v>1507</v>
      </c>
      <c r="D2190" s="70" t="s">
        <v>2614</v>
      </c>
      <c r="E2190" s="70"/>
      <c r="F2190" s="70"/>
      <c r="G2190" s="70" t="str">
        <f>IFERROR(VLOOKUP(A2190,[1]wms_iv_f!$A$1:$E$136,4,FALSE),"")</f>
        <v/>
      </c>
      <c r="H2190" s="95" t="str">
        <f>IFERROR(VLOOKUP(A2190,[2]wms_lc_f!$A$1:$B$156,2,FALSE),"")</f>
        <v/>
      </c>
    </row>
    <row r="2191" spans="1:8" hidden="1">
      <c r="A2191" s="69">
        <v>66810</v>
      </c>
      <c r="B2191" s="69" t="s">
        <v>2609</v>
      </c>
      <c r="C2191" s="70" t="s">
        <v>1519</v>
      </c>
      <c r="D2191" s="70" t="s">
        <v>2614</v>
      </c>
      <c r="E2191" s="70"/>
      <c r="F2191" s="70"/>
      <c r="G2191" s="70" t="str">
        <f>IFERROR(VLOOKUP(A2191,[1]wms_iv_f!$A$1:$E$136,4,FALSE),"")</f>
        <v/>
      </c>
      <c r="H2191" s="95" t="str">
        <f>IFERROR(VLOOKUP(A2191,[2]wms_lc_f!$A$1:$B$156,2,FALSE),"")</f>
        <v/>
      </c>
    </row>
    <row r="2192" spans="1:8" hidden="1">
      <c r="A2192" s="69">
        <v>137029</v>
      </c>
      <c r="B2192" s="69" t="s">
        <v>2609</v>
      </c>
      <c r="C2192" s="70" t="s">
        <v>1531</v>
      </c>
      <c r="D2192" s="70" t="s">
        <v>2614</v>
      </c>
      <c r="E2192" s="70"/>
      <c r="F2192" s="70"/>
      <c r="G2192" s="70" t="str">
        <f>IFERROR(VLOOKUP(A2192,[1]wms_iv_f!$A$1:$E$136,4,FALSE),"")</f>
        <v/>
      </c>
      <c r="H2192" s="95" t="str">
        <f>IFERROR(VLOOKUP(A2192,[2]wms_lc_f!$A$1:$B$156,2,FALSE),"")</f>
        <v/>
      </c>
    </row>
    <row r="2193" spans="1:8" hidden="1">
      <c r="A2193" s="69">
        <v>5499</v>
      </c>
      <c r="B2193" s="69" t="s">
        <v>2609</v>
      </c>
      <c r="C2193" s="70" t="s">
        <v>1613</v>
      </c>
      <c r="D2193" s="70" t="s">
        <v>2614</v>
      </c>
      <c r="E2193" s="70"/>
      <c r="F2193" s="70"/>
      <c r="G2193" s="70" t="str">
        <f>IFERROR(VLOOKUP(A2193,[1]wms_iv_f!$A$1:$E$136,4,FALSE),"")</f>
        <v/>
      </c>
      <c r="H2193" s="95" t="str">
        <f>IFERROR(VLOOKUP(A2193,[2]wms_lc_f!$A$1:$B$156,2,FALSE),"")</f>
        <v/>
      </c>
    </row>
    <row r="2194" spans="1:8" hidden="1">
      <c r="A2194" s="69">
        <v>135400</v>
      </c>
      <c r="B2194" s="69" t="s">
        <v>2609</v>
      </c>
      <c r="C2194" s="70" t="s">
        <v>1621</v>
      </c>
      <c r="D2194" s="70" t="s">
        <v>2614</v>
      </c>
      <c r="E2194" s="70"/>
      <c r="F2194" s="70"/>
      <c r="G2194" s="70" t="str">
        <f>IFERROR(VLOOKUP(A2194,[1]wms_iv_f!$A$1:$E$136,4,FALSE),"")</f>
        <v/>
      </c>
      <c r="H2194" s="95" t="str">
        <f>IFERROR(VLOOKUP(A2194,[2]wms_lc_f!$A$1:$B$156,2,FALSE),"")</f>
        <v/>
      </c>
    </row>
    <row r="2195" spans="1:8" hidden="1">
      <c r="A2195" s="69">
        <v>112686</v>
      </c>
      <c r="B2195" s="69" t="s">
        <v>2609</v>
      </c>
      <c r="C2195" s="70" t="s">
        <v>1629</v>
      </c>
      <c r="D2195" s="70" t="s">
        <v>2614</v>
      </c>
      <c r="E2195" s="70"/>
      <c r="F2195" s="70"/>
      <c r="G2195" s="70" t="str">
        <f>IFERROR(VLOOKUP(A2195,[1]wms_iv_f!$A$1:$E$136,4,FALSE),"")</f>
        <v/>
      </c>
      <c r="H2195" s="95" t="str">
        <f>IFERROR(VLOOKUP(A2195,[2]wms_lc_f!$A$1:$B$156,2,FALSE),"")</f>
        <v/>
      </c>
    </row>
    <row r="2196" spans="1:8" hidden="1">
      <c r="A2196" s="69">
        <v>86221</v>
      </c>
      <c r="B2196" s="69" t="s">
        <v>2609</v>
      </c>
      <c r="C2196" s="70" t="s">
        <v>1401</v>
      </c>
      <c r="D2196" s="70" t="s">
        <v>2614</v>
      </c>
      <c r="E2196" s="70"/>
      <c r="F2196" s="70"/>
      <c r="G2196" s="70" t="str">
        <f>IFERROR(VLOOKUP(A2196,[1]wms_iv_f!$A$1:$E$136,4,FALSE),"")</f>
        <v/>
      </c>
      <c r="H2196" s="95" t="str">
        <f>IFERROR(VLOOKUP(A2196,[2]wms_lc_f!$A$1:$B$156,2,FALSE),"")</f>
        <v/>
      </c>
    </row>
    <row r="2197" spans="1:8" hidden="1">
      <c r="A2197" s="69">
        <v>14034</v>
      </c>
      <c r="B2197" s="69" t="s">
        <v>2609</v>
      </c>
      <c r="C2197" s="70" t="s">
        <v>1413</v>
      </c>
      <c r="D2197" s="70" t="s">
        <v>2614</v>
      </c>
      <c r="E2197" s="70"/>
      <c r="F2197" s="70"/>
      <c r="G2197" s="70" t="str">
        <f>IFERROR(VLOOKUP(A2197,[1]wms_iv_f!$A$1:$E$136,4,FALSE),"")</f>
        <v/>
      </c>
      <c r="H2197" s="95" t="str">
        <f>IFERROR(VLOOKUP(A2197,[2]wms_lc_f!$A$1:$B$156,2,FALSE),"")</f>
        <v/>
      </c>
    </row>
    <row r="2198" spans="1:8" hidden="1">
      <c r="A2198" s="69">
        <v>29510</v>
      </c>
      <c r="B2198" s="69" t="s">
        <v>2609</v>
      </c>
      <c r="C2198" s="70" t="s">
        <v>1425</v>
      </c>
      <c r="D2198" s="70" t="s">
        <v>2614</v>
      </c>
      <c r="E2198" s="70"/>
      <c r="F2198" s="70"/>
      <c r="G2198" s="70" t="str">
        <f>IFERROR(VLOOKUP(A2198,[1]wms_iv_f!$A$1:$E$136,4,FALSE),"")</f>
        <v/>
      </c>
      <c r="H2198" s="95" t="str">
        <f>IFERROR(VLOOKUP(A2198,[2]wms_lc_f!$A$1:$B$156,2,FALSE),"")</f>
        <v/>
      </c>
    </row>
    <row r="2199" spans="1:8" hidden="1">
      <c r="A2199" s="69">
        <v>100213</v>
      </c>
      <c r="B2199" s="69" t="s">
        <v>2609</v>
      </c>
      <c r="C2199" s="70" t="s">
        <v>1508</v>
      </c>
      <c r="D2199" s="70" t="s">
        <v>2614</v>
      </c>
      <c r="E2199" s="70"/>
      <c r="F2199" s="70"/>
      <c r="G2199" s="70" t="str">
        <f>IFERROR(VLOOKUP(A2199,[1]wms_iv_f!$A$1:$E$136,4,FALSE),"")</f>
        <v/>
      </c>
      <c r="H2199" s="95" t="str">
        <f>IFERROR(VLOOKUP(A2199,[2]wms_lc_f!$A$1:$B$156,2,FALSE),"")</f>
        <v/>
      </c>
    </row>
    <row r="2200" spans="1:8" hidden="1">
      <c r="A2200" s="69">
        <v>123944</v>
      </c>
      <c r="B2200" s="69" t="s">
        <v>2609</v>
      </c>
      <c r="C2200" s="70" t="s">
        <v>1520</v>
      </c>
      <c r="D2200" s="70" t="s">
        <v>2614</v>
      </c>
      <c r="E2200" s="70"/>
      <c r="F2200" s="70"/>
      <c r="G2200" s="70" t="str">
        <f>IFERROR(VLOOKUP(A2200,[1]wms_iv_f!$A$1:$E$136,4,FALSE),"")</f>
        <v/>
      </c>
      <c r="H2200" s="95" t="str">
        <f>IFERROR(VLOOKUP(A2200,[2]wms_lc_f!$A$1:$B$156,2,FALSE),"")</f>
        <v/>
      </c>
    </row>
    <row r="2201" spans="1:8" hidden="1">
      <c r="A2201" s="69">
        <v>1944</v>
      </c>
      <c r="B2201" s="69" t="s">
        <v>2609</v>
      </c>
      <c r="C2201" s="70" t="s">
        <v>1532</v>
      </c>
      <c r="D2201" s="70" t="s">
        <v>2614</v>
      </c>
      <c r="E2201" s="70"/>
      <c r="F2201" s="70"/>
      <c r="G2201" s="70" t="str">
        <f>IFERROR(VLOOKUP(A2201,[1]wms_iv_f!$A$1:$E$136,4,FALSE),"")</f>
        <v/>
      </c>
      <c r="H2201" s="95" t="str">
        <f>IFERROR(VLOOKUP(A2201,[2]wms_lc_f!$A$1:$B$156,2,FALSE),"")</f>
        <v/>
      </c>
    </row>
    <row r="2202" spans="1:8" hidden="1">
      <c r="A2202" s="69">
        <v>157617</v>
      </c>
      <c r="B2202" s="69" t="s">
        <v>2609</v>
      </c>
      <c r="C2202" s="70" t="s">
        <v>1614</v>
      </c>
      <c r="D2202" s="70" t="s">
        <v>2614</v>
      </c>
      <c r="E2202" s="70"/>
      <c r="F2202" s="70"/>
      <c r="G2202" s="70" t="str">
        <f>IFERROR(VLOOKUP(A2202,[1]wms_iv_f!$A$1:$E$136,4,FALSE),"")</f>
        <v/>
      </c>
      <c r="H2202" s="95" t="str">
        <f>IFERROR(VLOOKUP(A2202,[2]wms_lc_f!$A$1:$B$156,2,FALSE),"")</f>
        <v/>
      </c>
    </row>
    <row r="2203" spans="1:8" hidden="1">
      <c r="A2203" s="69">
        <v>113983</v>
      </c>
      <c r="B2203" s="69" t="s">
        <v>2609</v>
      </c>
      <c r="C2203" s="70" t="s">
        <v>1622</v>
      </c>
      <c r="D2203" s="70" t="s">
        <v>2614</v>
      </c>
      <c r="E2203" s="70"/>
      <c r="F2203" s="70"/>
      <c r="G2203" s="70" t="str">
        <f>IFERROR(VLOOKUP(A2203,[1]wms_iv_f!$A$1:$E$136,4,FALSE),"")</f>
        <v/>
      </c>
      <c r="H2203" s="95" t="str">
        <f>IFERROR(VLOOKUP(A2203,[2]wms_lc_f!$A$1:$B$156,2,FALSE),"")</f>
        <v/>
      </c>
    </row>
    <row r="2204" spans="1:8" hidden="1">
      <c r="A2204" s="69">
        <v>63153</v>
      </c>
      <c r="B2204" s="69" t="s">
        <v>2609</v>
      </c>
      <c r="C2204" s="70" t="s">
        <v>1630</v>
      </c>
      <c r="D2204" s="70" t="s">
        <v>2614</v>
      </c>
      <c r="E2204" s="70"/>
      <c r="F2204" s="70"/>
      <c r="G2204" s="70" t="str">
        <f>IFERROR(VLOOKUP(A2204,[1]wms_iv_f!$A$1:$E$136,4,FALSE),"")</f>
        <v/>
      </c>
      <c r="H2204" s="95" t="str">
        <f>IFERROR(VLOOKUP(A2204,[2]wms_lc_f!$A$1:$B$156,2,FALSE),"")</f>
        <v/>
      </c>
    </row>
    <row r="2205" spans="1:8" hidden="1">
      <c r="A2205" s="69"/>
      <c r="B2205" s="69" t="s">
        <v>2609</v>
      </c>
      <c r="C2205" s="70" t="s">
        <v>1626</v>
      </c>
      <c r="D2205" s="70" t="s">
        <v>2614</v>
      </c>
      <c r="E2205" s="70"/>
      <c r="F2205" s="70"/>
      <c r="G2205" s="70" t="str">
        <f>IFERROR(VLOOKUP(A2205,[1]wms_iv_f!$A$1:$E$136,4,FALSE),"")</f>
        <v/>
      </c>
      <c r="H2205" s="95" t="str">
        <f>IFERROR(VLOOKUP(A2205,[2]wms_lc_f!$A$1:$B$156,2,FALSE),"")</f>
        <v/>
      </c>
    </row>
    <row r="2206" spans="1:8" hidden="1">
      <c r="A2206" s="69"/>
      <c r="B2206" s="69" t="s">
        <v>2609</v>
      </c>
      <c r="C2206" s="70" t="s">
        <v>1625</v>
      </c>
      <c r="D2206" s="70" t="s">
        <v>2614</v>
      </c>
      <c r="E2206" s="70"/>
      <c r="F2206" s="70"/>
      <c r="G2206" s="70" t="str">
        <f>IFERROR(VLOOKUP(A2206,[1]wms_iv_f!$A$1:$E$136,4,FALSE),"")</f>
        <v/>
      </c>
      <c r="H2206" s="95" t="str">
        <f>IFERROR(VLOOKUP(A2206,[2]wms_lc_f!$A$1:$B$156,2,FALSE),"")</f>
        <v/>
      </c>
    </row>
    <row r="2207" spans="1:8" hidden="1">
      <c r="A2207" s="69"/>
      <c r="B2207" s="69" t="s">
        <v>2609</v>
      </c>
      <c r="C2207" s="70" t="s">
        <v>1624</v>
      </c>
      <c r="D2207" s="70" t="s">
        <v>2614</v>
      </c>
      <c r="E2207" s="70"/>
      <c r="F2207" s="70"/>
      <c r="G2207" s="70" t="str">
        <f>IFERROR(VLOOKUP(A2207,[1]wms_iv_f!$A$1:$E$136,4,FALSE),"")</f>
        <v/>
      </c>
      <c r="H2207" s="95" t="str">
        <f>IFERROR(VLOOKUP(A2207,[2]wms_lc_f!$A$1:$B$156,2,FALSE),"")</f>
        <v/>
      </c>
    </row>
    <row r="2208" spans="1:8" hidden="1">
      <c r="A2208" s="69"/>
      <c r="B2208" s="69" t="s">
        <v>2609</v>
      </c>
      <c r="C2208" s="70" t="s">
        <v>1623</v>
      </c>
      <c r="D2208" s="70" t="s">
        <v>2614</v>
      </c>
      <c r="E2208" s="70"/>
      <c r="F2208" s="70"/>
      <c r="G2208" s="70" t="str">
        <f>IFERROR(VLOOKUP(A2208,[1]wms_iv_f!$A$1:$E$136,4,FALSE),"")</f>
        <v/>
      </c>
      <c r="H2208" s="95" t="str">
        <f>IFERROR(VLOOKUP(A2208,[2]wms_lc_f!$A$1:$B$156,2,FALSE),"")</f>
        <v/>
      </c>
    </row>
    <row r="2209" spans="1:8" hidden="1">
      <c r="A2209" s="69"/>
      <c r="B2209" s="69" t="s">
        <v>2609</v>
      </c>
      <c r="C2209" s="70" t="s">
        <v>1618</v>
      </c>
      <c r="D2209" s="70" t="s">
        <v>2614</v>
      </c>
      <c r="E2209" s="70"/>
      <c r="F2209" s="70"/>
      <c r="G2209" s="70" t="str">
        <f>IFERROR(VLOOKUP(A2209,[1]wms_iv_f!$A$1:$E$136,4,FALSE),"")</f>
        <v/>
      </c>
      <c r="H2209" s="95" t="str">
        <f>IFERROR(VLOOKUP(A2209,[2]wms_lc_f!$A$1:$B$156,2,FALSE),"")</f>
        <v/>
      </c>
    </row>
    <row r="2210" spans="1:8" hidden="1">
      <c r="A2210" s="69"/>
      <c r="B2210" s="69" t="s">
        <v>2609</v>
      </c>
      <c r="C2210" s="70" t="s">
        <v>1617</v>
      </c>
      <c r="D2210" s="70" t="s">
        <v>2614</v>
      </c>
      <c r="E2210" s="70"/>
      <c r="F2210" s="70"/>
      <c r="G2210" s="70" t="str">
        <f>IFERROR(VLOOKUP(A2210,[1]wms_iv_f!$A$1:$E$136,4,FALSE),"")</f>
        <v/>
      </c>
      <c r="H2210" s="95" t="str">
        <f>IFERROR(VLOOKUP(A2210,[2]wms_lc_f!$A$1:$B$156,2,FALSE),"")</f>
        <v/>
      </c>
    </row>
    <row r="2211" spans="1:8" hidden="1">
      <c r="A2211" s="69"/>
      <c r="B2211" s="69" t="s">
        <v>2609</v>
      </c>
      <c r="C2211" s="70" t="s">
        <v>1616</v>
      </c>
      <c r="D2211" s="70" t="s">
        <v>2614</v>
      </c>
      <c r="E2211" s="70"/>
      <c r="F2211" s="70"/>
      <c r="G2211" s="70" t="str">
        <f>IFERROR(VLOOKUP(A2211,[1]wms_iv_f!$A$1:$E$136,4,FALSE),"")</f>
        <v/>
      </c>
      <c r="H2211" s="95" t="str">
        <f>IFERROR(VLOOKUP(A2211,[2]wms_lc_f!$A$1:$B$156,2,FALSE),"")</f>
        <v/>
      </c>
    </row>
    <row r="2212" spans="1:8" hidden="1">
      <c r="A2212" s="69"/>
      <c r="B2212" s="69" t="s">
        <v>2609</v>
      </c>
      <c r="C2212" s="70" t="s">
        <v>1615</v>
      </c>
      <c r="D2212" s="70" t="s">
        <v>2614</v>
      </c>
      <c r="E2212" s="70"/>
      <c r="F2212" s="70"/>
      <c r="G2212" s="70" t="str">
        <f>IFERROR(VLOOKUP(A2212,[1]wms_iv_f!$A$1:$E$136,4,FALSE),"")</f>
        <v/>
      </c>
      <c r="H2212" s="95" t="str">
        <f>IFERROR(VLOOKUP(A2212,[2]wms_lc_f!$A$1:$B$156,2,FALSE),"")</f>
        <v/>
      </c>
    </row>
    <row r="2213" spans="1:8" hidden="1">
      <c r="A2213" s="69"/>
      <c r="B2213" s="69" t="s">
        <v>2609</v>
      </c>
      <c r="C2213" s="70" t="s">
        <v>1578</v>
      </c>
      <c r="D2213" s="70" t="s">
        <v>2614</v>
      </c>
      <c r="E2213" s="70"/>
      <c r="F2213" s="70"/>
      <c r="G2213" s="70" t="str">
        <f>IFERROR(VLOOKUP(A2213,[1]wms_iv_f!$A$1:$E$136,4,FALSE),"")</f>
        <v/>
      </c>
      <c r="H2213" s="95" t="str">
        <f>IFERROR(VLOOKUP(A2213,[2]wms_lc_f!$A$1:$B$156,2,FALSE),"")</f>
        <v/>
      </c>
    </row>
    <row r="2214" spans="1:8" hidden="1">
      <c r="A2214" s="69"/>
      <c r="B2214" s="69" t="s">
        <v>2609</v>
      </c>
      <c r="C2214" s="70" t="s">
        <v>1577</v>
      </c>
      <c r="D2214" s="70" t="s">
        <v>2614</v>
      </c>
      <c r="E2214" s="70"/>
      <c r="F2214" s="70"/>
      <c r="G2214" s="70" t="str">
        <f>IFERROR(VLOOKUP(A2214,[1]wms_iv_f!$A$1:$E$136,4,FALSE),"")</f>
        <v/>
      </c>
      <c r="H2214" s="95" t="str">
        <f>IFERROR(VLOOKUP(A2214,[2]wms_lc_f!$A$1:$B$156,2,FALSE),"")</f>
        <v/>
      </c>
    </row>
    <row r="2215" spans="1:8" hidden="1">
      <c r="A2215" s="69"/>
      <c r="B2215" s="69" t="s">
        <v>2609</v>
      </c>
      <c r="C2215" s="70" t="s">
        <v>1576</v>
      </c>
      <c r="D2215" s="70" t="s">
        <v>2614</v>
      </c>
      <c r="E2215" s="70"/>
      <c r="F2215" s="70"/>
      <c r="G2215" s="70" t="str">
        <f>IFERROR(VLOOKUP(A2215,[1]wms_iv_f!$A$1:$E$136,4,FALSE),"")</f>
        <v/>
      </c>
      <c r="H2215" s="95" t="str">
        <f>IFERROR(VLOOKUP(A2215,[2]wms_lc_f!$A$1:$B$156,2,FALSE),"")</f>
        <v/>
      </c>
    </row>
    <row r="2216" spans="1:8" hidden="1">
      <c r="A2216" s="69"/>
      <c r="B2216" s="69" t="s">
        <v>2609</v>
      </c>
      <c r="C2216" s="70" t="s">
        <v>1575</v>
      </c>
      <c r="D2216" s="70" t="s">
        <v>2614</v>
      </c>
      <c r="E2216" s="70"/>
      <c r="F2216" s="70"/>
      <c r="G2216" s="70" t="str">
        <f>IFERROR(VLOOKUP(A2216,[1]wms_iv_f!$A$1:$E$136,4,FALSE),"")</f>
        <v/>
      </c>
      <c r="H2216" s="95" t="str">
        <f>IFERROR(VLOOKUP(A2216,[2]wms_lc_f!$A$1:$B$156,2,FALSE),"")</f>
        <v/>
      </c>
    </row>
    <row r="2217" spans="1:8" hidden="1">
      <c r="A2217" s="69"/>
      <c r="B2217" s="69" t="s">
        <v>2609</v>
      </c>
      <c r="C2217" s="70" t="s">
        <v>1574</v>
      </c>
      <c r="D2217" s="70" t="s">
        <v>2614</v>
      </c>
      <c r="E2217" s="70"/>
      <c r="F2217" s="70"/>
      <c r="G2217" s="70" t="str">
        <f>IFERROR(VLOOKUP(A2217,[1]wms_iv_f!$A$1:$E$136,4,FALSE),"")</f>
        <v/>
      </c>
      <c r="H2217" s="95" t="str">
        <f>IFERROR(VLOOKUP(A2217,[2]wms_lc_f!$A$1:$B$156,2,FALSE),"")</f>
        <v/>
      </c>
    </row>
    <row r="2218" spans="1:8" hidden="1">
      <c r="A2218" s="69">
        <v>86224</v>
      </c>
      <c r="B2218" s="69" t="s">
        <v>2609</v>
      </c>
      <c r="C2218" s="70" t="s">
        <v>1573</v>
      </c>
      <c r="D2218" s="70" t="s">
        <v>2614</v>
      </c>
      <c r="E2218" s="70"/>
      <c r="F2218" s="70"/>
      <c r="G2218" s="70" t="str">
        <f>IFERROR(VLOOKUP(A2218,[1]wms_iv_f!$A$1:$E$136,4,FALSE),"")</f>
        <v/>
      </c>
      <c r="H2218" s="95" t="str">
        <f>IFERROR(VLOOKUP(A2218,[2]wms_lc_f!$A$1:$B$156,2,FALSE),"")</f>
        <v/>
      </c>
    </row>
    <row r="2219" spans="1:8" hidden="1">
      <c r="A2219" s="69">
        <v>119975</v>
      </c>
      <c r="B2219" s="69" t="s">
        <v>2609</v>
      </c>
      <c r="C2219" s="70" t="s">
        <v>1526</v>
      </c>
      <c r="D2219" s="70" t="s">
        <v>2614</v>
      </c>
      <c r="E2219" s="70"/>
      <c r="F2219" s="70"/>
      <c r="G2219" s="70" t="str">
        <f>IFERROR(VLOOKUP(A2219,[1]wms_iv_f!$A$1:$E$136,4,FALSE),"")</f>
        <v/>
      </c>
      <c r="H2219" s="95" t="str">
        <f>IFERROR(VLOOKUP(A2219,[2]wms_lc_f!$A$1:$B$156,2,FALSE),"")</f>
        <v/>
      </c>
    </row>
    <row r="2220" spans="1:8" hidden="1">
      <c r="A2220" s="69">
        <v>143990</v>
      </c>
      <c r="B2220" s="69" t="s">
        <v>2609</v>
      </c>
      <c r="C2220" s="70" t="s">
        <v>1525</v>
      </c>
      <c r="D2220" s="70" t="s">
        <v>2614</v>
      </c>
      <c r="E2220" s="70"/>
      <c r="F2220" s="70"/>
      <c r="G2220" s="70" t="str">
        <f>IFERROR(VLOOKUP(A2220,[1]wms_iv_f!$A$1:$E$136,4,FALSE),"")</f>
        <v/>
      </c>
      <c r="H2220" s="95" t="str">
        <f>IFERROR(VLOOKUP(A2220,[2]wms_lc_f!$A$1:$B$156,2,FALSE),"")</f>
        <v/>
      </c>
    </row>
    <row r="2221" spans="1:8" hidden="1">
      <c r="A2221" s="69">
        <v>132802</v>
      </c>
      <c r="B2221" s="69" t="s">
        <v>2609</v>
      </c>
      <c r="C2221" s="70" t="s">
        <v>1524</v>
      </c>
      <c r="D2221" s="70" t="s">
        <v>2614</v>
      </c>
      <c r="E2221" s="70"/>
      <c r="F2221" s="70"/>
      <c r="G2221" s="70" t="str">
        <f>IFERROR(VLOOKUP(A2221,[1]wms_iv_f!$A$1:$E$136,4,FALSE),"")</f>
        <v/>
      </c>
      <c r="H2221" s="95" t="str">
        <f>IFERROR(VLOOKUP(A2221,[2]wms_lc_f!$A$1:$B$156,2,FALSE),"")</f>
        <v/>
      </c>
    </row>
    <row r="2222" spans="1:8" hidden="1">
      <c r="A2222" s="69">
        <v>33299</v>
      </c>
      <c r="B2222" s="69" t="s">
        <v>2609</v>
      </c>
      <c r="C2222" s="70" t="s">
        <v>1523</v>
      </c>
      <c r="D2222" s="70" t="s">
        <v>2614</v>
      </c>
      <c r="E2222" s="70"/>
      <c r="F2222" s="70"/>
      <c r="G2222" s="70" t="str">
        <f>IFERROR(VLOOKUP(A2222,[1]wms_iv_f!$A$1:$E$136,4,FALSE),"")</f>
        <v/>
      </c>
      <c r="H2222" s="95" t="str">
        <f>IFERROR(VLOOKUP(A2222,[2]wms_lc_f!$A$1:$B$156,2,FALSE),"")</f>
        <v/>
      </c>
    </row>
    <row r="2223" spans="1:8" hidden="1">
      <c r="A2223" s="69">
        <v>114950</v>
      </c>
      <c r="B2223" s="69" t="s">
        <v>2609</v>
      </c>
      <c r="C2223" s="70" t="s">
        <v>1522</v>
      </c>
      <c r="D2223" s="70" t="s">
        <v>2614</v>
      </c>
      <c r="E2223" s="70"/>
      <c r="F2223" s="70"/>
      <c r="G2223" s="70" t="str">
        <f>IFERROR(VLOOKUP(A2223,[1]wms_iv_f!$A$1:$E$136,4,FALSE),"")</f>
        <v/>
      </c>
      <c r="H2223" s="95" t="str">
        <f>IFERROR(VLOOKUP(A2223,[2]wms_lc_f!$A$1:$B$156,2,FALSE),"")</f>
        <v/>
      </c>
    </row>
    <row r="2224" spans="1:8" hidden="1">
      <c r="A2224" s="69">
        <v>74333</v>
      </c>
      <c r="B2224" s="69" t="s">
        <v>2609</v>
      </c>
      <c r="C2224" s="70" t="s">
        <v>1521</v>
      </c>
      <c r="D2224" s="70" t="s">
        <v>2614</v>
      </c>
      <c r="E2224" s="70"/>
      <c r="F2224" s="70"/>
      <c r="G2224" s="70" t="str">
        <f>IFERROR(VLOOKUP(A2224,[1]wms_iv_f!$A$1:$E$136,4,FALSE),"")</f>
        <v/>
      </c>
      <c r="H2224" s="95" t="str">
        <f>IFERROR(VLOOKUP(A2224,[2]wms_lc_f!$A$1:$B$156,2,FALSE),"")</f>
        <v/>
      </c>
    </row>
    <row r="2225" spans="1:8" hidden="1">
      <c r="A2225" s="69">
        <v>1931</v>
      </c>
      <c r="B2225" s="69" t="s">
        <v>2609</v>
      </c>
      <c r="C2225" s="70" t="s">
        <v>1514</v>
      </c>
      <c r="D2225" s="70" t="s">
        <v>2614</v>
      </c>
      <c r="E2225" s="70"/>
      <c r="F2225" s="70"/>
      <c r="G2225" s="70" t="str">
        <f>IFERROR(VLOOKUP(A2225,[1]wms_iv_f!$A$1:$E$136,4,FALSE),"")</f>
        <v/>
      </c>
      <c r="H2225" s="95" t="str">
        <f>IFERROR(VLOOKUP(A2225,[2]wms_lc_f!$A$1:$B$156,2,FALSE),"")</f>
        <v/>
      </c>
    </row>
    <row r="2226" spans="1:8" hidden="1">
      <c r="A2226" s="69">
        <v>113326</v>
      </c>
      <c r="B2226" s="69" t="s">
        <v>2609</v>
      </c>
      <c r="C2226" s="70" t="s">
        <v>1513</v>
      </c>
      <c r="D2226" s="70" t="s">
        <v>2614</v>
      </c>
      <c r="E2226" s="70"/>
      <c r="F2226" s="70"/>
      <c r="G2226" s="70" t="str">
        <f>IFERROR(VLOOKUP(A2226,[1]wms_iv_f!$A$1:$E$136,4,FALSE),"")</f>
        <v/>
      </c>
      <c r="H2226" s="95" t="str">
        <f>IFERROR(VLOOKUP(A2226,[2]wms_lc_f!$A$1:$B$156,2,FALSE),"")</f>
        <v/>
      </c>
    </row>
    <row r="2227" spans="1:8" hidden="1">
      <c r="A2227" s="69">
        <v>7759</v>
      </c>
      <c r="B2227" s="69" t="s">
        <v>2609</v>
      </c>
      <c r="C2227" s="70" t="s">
        <v>1512</v>
      </c>
      <c r="D2227" s="70" t="s">
        <v>2614</v>
      </c>
      <c r="E2227" s="70"/>
      <c r="F2227" s="70"/>
      <c r="G2227" s="70" t="str">
        <f>IFERROR(VLOOKUP(A2227,[1]wms_iv_f!$A$1:$E$136,4,FALSE),"")</f>
        <v/>
      </c>
      <c r="H2227" s="95" t="str">
        <f>IFERROR(VLOOKUP(A2227,[2]wms_lc_f!$A$1:$B$156,2,FALSE),"")</f>
        <v/>
      </c>
    </row>
    <row r="2228" spans="1:8" hidden="1">
      <c r="A2228" s="69">
        <v>1080</v>
      </c>
      <c r="B2228" s="69" t="s">
        <v>2609</v>
      </c>
      <c r="C2228" s="70" t="s">
        <v>1511</v>
      </c>
      <c r="D2228" s="70" t="s">
        <v>2614</v>
      </c>
      <c r="E2228" s="70"/>
      <c r="F2228" s="70"/>
      <c r="G2228" s="70" t="str">
        <f>IFERROR(VLOOKUP(A2228,[1]wms_iv_f!$A$1:$E$136,4,FALSE),"")</f>
        <v/>
      </c>
      <c r="H2228" s="95" t="str">
        <f>IFERROR(VLOOKUP(A2228,[2]wms_lc_f!$A$1:$B$156,2,FALSE),"")</f>
        <v/>
      </c>
    </row>
    <row r="2229" spans="1:8" hidden="1">
      <c r="A2229" s="69">
        <v>35162</v>
      </c>
      <c r="B2229" s="69" t="s">
        <v>2609</v>
      </c>
      <c r="C2229" s="70" t="s">
        <v>1510</v>
      </c>
      <c r="D2229" s="70" t="s">
        <v>2614</v>
      </c>
      <c r="E2229" s="70"/>
      <c r="F2229" s="70"/>
      <c r="G2229" s="70" t="str">
        <f>IFERROR(VLOOKUP(A2229,[1]wms_iv_f!$A$1:$E$136,4,FALSE),"")</f>
        <v/>
      </c>
      <c r="H2229" s="95" t="str">
        <f>IFERROR(VLOOKUP(A2229,[2]wms_lc_f!$A$1:$B$156,2,FALSE),"")</f>
        <v/>
      </c>
    </row>
    <row r="2230" spans="1:8" hidden="1">
      <c r="A2230" s="69">
        <v>35254</v>
      </c>
      <c r="B2230" s="69" t="s">
        <v>2609</v>
      </c>
      <c r="C2230" s="70" t="s">
        <v>1509</v>
      </c>
      <c r="D2230" s="70" t="s">
        <v>2614</v>
      </c>
      <c r="E2230" s="70"/>
      <c r="F2230" s="70"/>
      <c r="G2230" s="70" t="str">
        <f>IFERROR(VLOOKUP(A2230,[1]wms_iv_f!$A$1:$E$136,4,FALSE),"")</f>
        <v/>
      </c>
      <c r="H2230" s="95" t="str">
        <f>IFERROR(VLOOKUP(A2230,[2]wms_lc_f!$A$1:$B$156,2,FALSE),"")</f>
        <v/>
      </c>
    </row>
    <row r="2231" spans="1:8" hidden="1">
      <c r="A2231" s="75">
        <v>138289</v>
      </c>
      <c r="B2231" s="69" t="s">
        <v>2609</v>
      </c>
      <c r="C2231" s="76" t="s">
        <v>1472</v>
      </c>
      <c r="D2231" s="76" t="s">
        <v>2614</v>
      </c>
      <c r="E2231" s="70"/>
      <c r="F2231" s="70"/>
      <c r="G2231" s="70" t="str">
        <f>IFERROR(VLOOKUP(A2231,[1]wms_iv_f!$A$1:$E$136,4,FALSE),"")</f>
        <v/>
      </c>
      <c r="H2231" s="95" t="str">
        <f>IFERROR(VLOOKUP(A2231,[2]wms_lc_f!$A$1:$B$156,2,FALSE),"")</f>
        <v/>
      </c>
    </row>
    <row r="2232" spans="1:8" hidden="1">
      <c r="A2232" s="69">
        <v>14500</v>
      </c>
      <c r="B2232" s="69" t="s">
        <v>2609</v>
      </c>
      <c r="C2232" s="70" t="s">
        <v>1471</v>
      </c>
      <c r="D2232" s="70" t="s">
        <v>2614</v>
      </c>
      <c r="E2232" s="70"/>
      <c r="F2232" s="70"/>
      <c r="G2232" s="70" t="str">
        <f>IFERROR(VLOOKUP(A2232,[1]wms_iv_f!$A$1:$E$136,4,FALSE),"")</f>
        <v/>
      </c>
      <c r="H2232" s="95" t="str">
        <f>IFERROR(VLOOKUP(A2232,[2]wms_lc_f!$A$1:$B$156,2,FALSE),"")</f>
        <v/>
      </c>
    </row>
    <row r="2233" spans="1:8" hidden="1">
      <c r="A2233" s="69">
        <v>36992</v>
      </c>
      <c r="B2233" s="69" t="s">
        <v>2609</v>
      </c>
      <c r="C2233" s="70" t="s">
        <v>1470</v>
      </c>
      <c r="D2233" s="70" t="s">
        <v>2614</v>
      </c>
      <c r="E2233" s="70"/>
      <c r="F2233" s="70"/>
      <c r="G2233" s="70" t="str">
        <f>IFERROR(VLOOKUP(A2233,[1]wms_iv_f!$A$1:$E$136,4,FALSE),"")</f>
        <v/>
      </c>
      <c r="H2233" s="95" t="str">
        <f>IFERROR(VLOOKUP(A2233,[2]wms_lc_f!$A$1:$B$156,2,FALSE),"")</f>
        <v/>
      </c>
    </row>
    <row r="2234" spans="1:8" hidden="1">
      <c r="A2234" s="69">
        <v>35267</v>
      </c>
      <c r="B2234" s="69" t="s">
        <v>2609</v>
      </c>
      <c r="C2234" s="70" t="s">
        <v>1469</v>
      </c>
      <c r="D2234" s="70" t="s">
        <v>2614</v>
      </c>
      <c r="E2234" s="70"/>
      <c r="F2234" s="70"/>
      <c r="G2234" s="70" t="str">
        <f>IFERROR(VLOOKUP(A2234,[1]wms_iv_f!$A$1:$E$136,4,FALSE),"")</f>
        <v/>
      </c>
      <c r="H2234" s="95" t="str">
        <f>IFERROR(VLOOKUP(A2234,[2]wms_lc_f!$A$1:$B$156,2,FALSE),"")</f>
        <v/>
      </c>
    </row>
    <row r="2235" spans="1:8" hidden="1">
      <c r="A2235" s="69">
        <v>10881</v>
      </c>
      <c r="B2235" s="69" t="s">
        <v>2609</v>
      </c>
      <c r="C2235" s="70" t="s">
        <v>1468</v>
      </c>
      <c r="D2235" s="70" t="s">
        <v>2614</v>
      </c>
      <c r="E2235" s="70"/>
      <c r="F2235" s="70"/>
      <c r="G2235" s="70" t="str">
        <f>IFERROR(VLOOKUP(A2235,[1]wms_iv_f!$A$1:$E$136,4,FALSE),"")</f>
        <v/>
      </c>
      <c r="H2235" s="95" t="str">
        <f>IFERROR(VLOOKUP(A2235,[2]wms_lc_f!$A$1:$B$156,2,FALSE),"")</f>
        <v/>
      </c>
    </row>
    <row r="2236" spans="1:8" hidden="1">
      <c r="A2236" s="69">
        <v>73874</v>
      </c>
      <c r="B2236" s="69" t="s">
        <v>2609</v>
      </c>
      <c r="C2236" s="70" t="s">
        <v>1467</v>
      </c>
      <c r="D2236" s="70" t="s">
        <v>2614</v>
      </c>
      <c r="E2236" s="70"/>
      <c r="F2236" s="70"/>
      <c r="G2236" s="70" t="str">
        <f>IFERROR(VLOOKUP(A2236,[1]wms_iv_f!$A$1:$E$136,4,FALSE),"")</f>
        <v/>
      </c>
      <c r="H2236" s="95" t="str">
        <f>IFERROR(VLOOKUP(A2236,[2]wms_lc_f!$A$1:$B$156,2,FALSE),"")</f>
        <v/>
      </c>
    </row>
    <row r="2237" spans="1:8" hidden="1">
      <c r="A2237" s="69">
        <v>83661</v>
      </c>
      <c r="B2237" s="69" t="s">
        <v>2609</v>
      </c>
      <c r="C2237" s="70" t="s">
        <v>1419</v>
      </c>
      <c r="D2237" s="70" t="s">
        <v>2614</v>
      </c>
      <c r="E2237" s="70"/>
      <c r="F2237" s="70"/>
      <c r="G2237" s="70" t="str">
        <f>IFERROR(VLOOKUP(A2237,[1]wms_iv_f!$A$1:$E$136,4,FALSE),"")</f>
        <v/>
      </c>
      <c r="H2237" s="95" t="str">
        <f>IFERROR(VLOOKUP(A2237,[2]wms_lc_f!$A$1:$B$156,2,FALSE),"")</f>
        <v/>
      </c>
    </row>
    <row r="2238" spans="1:8" hidden="1">
      <c r="A2238" s="69">
        <v>60788</v>
      </c>
      <c r="B2238" s="69" t="s">
        <v>2609</v>
      </c>
      <c r="C2238" s="70" t="s">
        <v>1418</v>
      </c>
      <c r="D2238" s="70" t="s">
        <v>2614</v>
      </c>
      <c r="E2238" s="70"/>
      <c r="F2238" s="70"/>
      <c r="G2238" s="70" t="str">
        <f>IFERROR(VLOOKUP(A2238,[1]wms_iv_f!$A$1:$E$136,4,FALSE),"")</f>
        <v/>
      </c>
      <c r="H2238" s="95" t="str">
        <f>IFERROR(VLOOKUP(A2238,[2]wms_lc_f!$A$1:$B$156,2,FALSE),"")</f>
        <v/>
      </c>
    </row>
    <row r="2239" spans="1:8" hidden="1">
      <c r="A2239" s="69">
        <v>90501</v>
      </c>
      <c r="B2239" s="69" t="s">
        <v>2609</v>
      </c>
      <c r="C2239" s="70" t="s">
        <v>1417</v>
      </c>
      <c r="D2239" s="70" t="s">
        <v>2614</v>
      </c>
      <c r="E2239" s="70"/>
      <c r="F2239" s="70"/>
      <c r="G2239" s="70" t="str">
        <f>IFERROR(VLOOKUP(A2239,[1]wms_iv_f!$A$1:$E$136,4,FALSE),"")</f>
        <v/>
      </c>
      <c r="H2239" s="95" t="str">
        <f>IFERROR(VLOOKUP(A2239,[2]wms_lc_f!$A$1:$B$156,2,FALSE),"")</f>
        <v/>
      </c>
    </row>
    <row r="2240" spans="1:8" hidden="1">
      <c r="A2240" s="68">
        <v>130157</v>
      </c>
      <c r="B2240" s="69" t="s">
        <v>2609</v>
      </c>
      <c r="C2240" s="70" t="s">
        <v>1416</v>
      </c>
      <c r="D2240" s="70" t="s">
        <v>2614</v>
      </c>
      <c r="E2240" s="76"/>
      <c r="F2240" s="70"/>
      <c r="G2240" s="70" t="str">
        <f>IFERROR(VLOOKUP(A2240,[1]wms_iv_f!$A$1:$E$136,4,FALSE),"")</f>
        <v/>
      </c>
      <c r="H2240" s="95" t="str">
        <f>IFERROR(VLOOKUP(A2240,[2]wms_lc_f!$A$1:$B$156,2,FALSE),"")</f>
        <v/>
      </c>
    </row>
    <row r="2241" spans="1:8" hidden="1">
      <c r="A2241" s="71">
        <v>111197</v>
      </c>
      <c r="B2241" s="69" t="s">
        <v>2609</v>
      </c>
      <c r="C2241" s="70" t="s">
        <v>1415</v>
      </c>
      <c r="D2241" s="70" t="s">
        <v>2614</v>
      </c>
      <c r="E2241" s="70"/>
      <c r="F2241" s="70"/>
      <c r="G2241" s="70" t="str">
        <f>IFERROR(VLOOKUP(A2241,[1]wms_iv_f!$A$1:$E$136,4,FALSE),"")</f>
        <v/>
      </c>
      <c r="H2241" s="95" t="str">
        <f>IFERROR(VLOOKUP(A2241,[2]wms_lc_f!$A$1:$B$156,2,FALSE),"")</f>
        <v/>
      </c>
    </row>
    <row r="2242" spans="1:8" hidden="1">
      <c r="A2242" s="71">
        <v>8366</v>
      </c>
      <c r="B2242" s="69" t="s">
        <v>2609</v>
      </c>
      <c r="C2242" s="70" t="s">
        <v>1414</v>
      </c>
      <c r="D2242" s="70" t="s">
        <v>2614</v>
      </c>
      <c r="E2242" s="70"/>
      <c r="F2242" s="70"/>
      <c r="G2242" s="70" t="str">
        <f>IFERROR(VLOOKUP(A2242,[1]wms_iv_f!$A$1:$E$136,4,FALSE),"")</f>
        <v/>
      </c>
      <c r="H2242" s="95" t="str">
        <f>IFERROR(VLOOKUP(A2242,[2]wms_lc_f!$A$1:$B$156,2,FALSE),"")</f>
        <v/>
      </c>
    </row>
    <row r="2243" spans="1:8" hidden="1">
      <c r="A2243" s="71">
        <v>60168</v>
      </c>
      <c r="B2243" s="69" t="s">
        <v>2609</v>
      </c>
      <c r="C2243" s="70" t="s">
        <v>1407</v>
      </c>
      <c r="D2243" s="70" t="s">
        <v>2614</v>
      </c>
      <c r="E2243" s="70"/>
      <c r="F2243" s="70"/>
      <c r="G2243" s="70" t="str">
        <f>IFERROR(VLOOKUP(A2243,[1]wms_iv_f!$A$1:$E$136,4,FALSE),"")</f>
        <v/>
      </c>
      <c r="H2243" s="95" t="str">
        <f>IFERROR(VLOOKUP(A2243,[2]wms_lc_f!$A$1:$B$156,2,FALSE),"")</f>
        <v/>
      </c>
    </row>
    <row r="2244" spans="1:8" hidden="1">
      <c r="A2244" s="71">
        <v>13898</v>
      </c>
      <c r="B2244" s="69" t="s">
        <v>2609</v>
      </c>
      <c r="C2244" s="70" t="s">
        <v>1406</v>
      </c>
      <c r="D2244" s="70" t="s">
        <v>2614</v>
      </c>
      <c r="E2244" s="70"/>
      <c r="F2244" s="70"/>
      <c r="G2244" s="70" t="str">
        <f>IFERROR(VLOOKUP(A2244,[1]wms_iv_f!$A$1:$E$136,4,FALSE),"")</f>
        <v/>
      </c>
      <c r="H2244" s="95" t="str">
        <f>IFERROR(VLOOKUP(A2244,[2]wms_lc_f!$A$1:$B$156,2,FALSE),"")</f>
        <v/>
      </c>
    </row>
    <row r="2245" spans="1:8" hidden="1">
      <c r="A2245" s="71">
        <v>101109</v>
      </c>
      <c r="B2245" s="69" t="s">
        <v>2609</v>
      </c>
      <c r="C2245" s="70" t="s">
        <v>1405</v>
      </c>
      <c r="D2245" s="70" t="s">
        <v>2614</v>
      </c>
      <c r="E2245" s="70"/>
      <c r="F2245" s="70"/>
      <c r="G2245" s="70" t="str">
        <f>IFERROR(VLOOKUP(A2245,[1]wms_iv_f!$A$1:$E$136,4,FALSE),"")</f>
        <v/>
      </c>
      <c r="H2245" s="95" t="str">
        <f>IFERROR(VLOOKUP(A2245,[2]wms_lc_f!$A$1:$B$156,2,FALSE),"")</f>
        <v/>
      </c>
    </row>
    <row r="2246" spans="1:8" hidden="1">
      <c r="A2246" s="71">
        <v>100684</v>
      </c>
      <c r="B2246" s="69" t="s">
        <v>2609</v>
      </c>
      <c r="C2246" s="70" t="s">
        <v>1404</v>
      </c>
      <c r="D2246" s="70" t="s">
        <v>2614</v>
      </c>
      <c r="E2246" s="70"/>
      <c r="F2246" s="70"/>
      <c r="G2246" s="70" t="str">
        <f>IFERROR(VLOOKUP(A2246,[1]wms_iv_f!$A$1:$E$136,4,FALSE),"")</f>
        <v/>
      </c>
      <c r="H2246" s="95" t="str">
        <f>IFERROR(VLOOKUP(A2246,[2]wms_lc_f!$A$1:$B$156,2,FALSE),"")</f>
        <v/>
      </c>
    </row>
    <row r="2247" spans="1:8" hidden="1">
      <c r="A2247" s="71">
        <v>22138</v>
      </c>
      <c r="B2247" s="69" t="s">
        <v>2609</v>
      </c>
      <c r="C2247" s="70" t="s">
        <v>1403</v>
      </c>
      <c r="D2247" s="70" t="s">
        <v>2614</v>
      </c>
      <c r="E2247" s="70"/>
      <c r="F2247" s="70"/>
      <c r="G2247" s="70" t="str">
        <f>IFERROR(VLOOKUP(A2247,[1]wms_iv_f!$A$1:$E$136,4,FALSE),"")</f>
        <v/>
      </c>
      <c r="H2247" s="95" t="str">
        <f>IFERROR(VLOOKUP(A2247,[2]wms_lc_f!$A$1:$B$156,2,FALSE),"")</f>
        <v/>
      </c>
    </row>
    <row r="2248" spans="1:8" hidden="1">
      <c r="A2248" s="71">
        <v>156861</v>
      </c>
      <c r="B2248" s="69" t="s">
        <v>2609</v>
      </c>
      <c r="C2248" s="70" t="s">
        <v>1402</v>
      </c>
      <c r="D2248" s="70" t="s">
        <v>2614</v>
      </c>
      <c r="E2248" s="70"/>
      <c r="F2248" s="70"/>
      <c r="G2248" s="70" t="str">
        <f>IFERROR(VLOOKUP(A2248,[1]wms_iv_f!$A$1:$E$136,4,FALSE),"")</f>
        <v/>
      </c>
      <c r="H2248" s="95" t="str">
        <f>IFERROR(VLOOKUP(A2248,[2]wms_lc_f!$A$1:$B$156,2,FALSE),"")</f>
        <v/>
      </c>
    </row>
    <row r="2249" spans="1:8" hidden="1">
      <c r="A2249" s="71">
        <v>139736</v>
      </c>
      <c r="B2249" s="69" t="s">
        <v>2609</v>
      </c>
      <c r="C2249" s="70" t="s">
        <v>1365</v>
      </c>
      <c r="D2249" s="70" t="s">
        <v>2614</v>
      </c>
      <c r="E2249" s="70"/>
      <c r="F2249" s="70"/>
      <c r="G2249" s="70" t="str">
        <f>IFERROR(VLOOKUP(A2249,[1]wms_iv_f!$A$1:$E$136,4,FALSE),"")</f>
        <v/>
      </c>
      <c r="H2249" s="95" t="str">
        <f>IFERROR(VLOOKUP(A2249,[2]wms_lc_f!$A$1:$B$156,2,FALSE),"")</f>
        <v/>
      </c>
    </row>
    <row r="2250" spans="1:8" hidden="1">
      <c r="A2250" s="71">
        <v>96650</v>
      </c>
      <c r="B2250" s="69" t="s">
        <v>2609</v>
      </c>
      <c r="C2250" s="70" t="s">
        <v>1364</v>
      </c>
      <c r="D2250" s="70" t="s">
        <v>2614</v>
      </c>
      <c r="E2250" s="70"/>
      <c r="F2250" s="70"/>
      <c r="G2250" s="70" t="str">
        <f>IFERROR(VLOOKUP(A2250,[1]wms_iv_f!$A$1:$E$136,4,FALSE),"")</f>
        <v/>
      </c>
      <c r="H2250" s="95" t="str">
        <f>IFERROR(VLOOKUP(A2250,[2]wms_lc_f!$A$1:$B$156,2,FALSE),"")</f>
        <v/>
      </c>
    </row>
    <row r="2251" spans="1:8" hidden="1">
      <c r="A2251" s="71">
        <v>31456</v>
      </c>
      <c r="B2251" s="69" t="s">
        <v>2609</v>
      </c>
      <c r="C2251" s="70" t="s">
        <v>1363</v>
      </c>
      <c r="D2251" s="70" t="s">
        <v>2614</v>
      </c>
      <c r="E2251" s="70"/>
      <c r="F2251" s="70"/>
      <c r="G2251" s="70" t="str">
        <f>IFERROR(VLOOKUP(A2251,[1]wms_iv_f!$A$1:$E$136,4,FALSE),"")</f>
        <v/>
      </c>
      <c r="H2251" s="95" t="str">
        <f>IFERROR(VLOOKUP(A2251,[2]wms_lc_f!$A$1:$B$156,2,FALSE),"")</f>
        <v/>
      </c>
    </row>
    <row r="2252" spans="1:8" hidden="1">
      <c r="A2252" s="71">
        <v>118837</v>
      </c>
      <c r="B2252" s="69" t="s">
        <v>2609</v>
      </c>
      <c r="C2252" s="70" t="s">
        <v>1362</v>
      </c>
      <c r="D2252" s="70" t="s">
        <v>2614</v>
      </c>
      <c r="E2252" s="70"/>
      <c r="F2252" s="70"/>
      <c r="G2252" s="70" t="str">
        <f>IFERROR(VLOOKUP(A2252,[1]wms_iv_f!$A$1:$E$136,4,FALSE),"")</f>
        <v/>
      </c>
      <c r="H2252" s="95" t="str">
        <f>IFERROR(VLOOKUP(A2252,[2]wms_lc_f!$A$1:$B$156,2,FALSE),"")</f>
        <v/>
      </c>
    </row>
    <row r="2253" spans="1:8" hidden="1">
      <c r="A2253" s="71">
        <v>33449</v>
      </c>
      <c r="B2253" s="69" t="s">
        <v>2609</v>
      </c>
      <c r="C2253" s="70" t="s">
        <v>1361</v>
      </c>
      <c r="D2253" s="70" t="s">
        <v>2614</v>
      </c>
      <c r="E2253" s="70"/>
      <c r="F2253" s="70"/>
      <c r="G2253" s="70" t="str">
        <f>IFERROR(VLOOKUP(A2253,[1]wms_iv_f!$A$1:$E$136,4,FALSE),"")</f>
        <v/>
      </c>
      <c r="H2253" s="95" t="str">
        <f>IFERROR(VLOOKUP(A2253,[2]wms_lc_f!$A$1:$B$156,2,FALSE),"")</f>
        <v/>
      </c>
    </row>
    <row r="2254" spans="1:8" hidden="1">
      <c r="A2254" s="71">
        <v>2563</v>
      </c>
      <c r="B2254" s="69" t="s">
        <v>2609</v>
      </c>
      <c r="C2254" s="70" t="s">
        <v>1360</v>
      </c>
      <c r="D2254" s="70" t="s">
        <v>2614</v>
      </c>
      <c r="E2254" s="70"/>
      <c r="F2254" s="70"/>
      <c r="G2254" s="70" t="str">
        <f>IFERROR(VLOOKUP(A2254,[1]wms_iv_f!$A$1:$E$136,4,FALSE),"")</f>
        <v/>
      </c>
      <c r="H2254" s="95" t="str">
        <f>IFERROR(VLOOKUP(A2254,[2]wms_lc_f!$A$1:$B$156,2,FALSE),"")</f>
        <v/>
      </c>
    </row>
    <row r="2255" spans="1:8" hidden="1">
      <c r="A2255" s="71">
        <v>95357</v>
      </c>
      <c r="B2255" s="69" t="s">
        <v>2609</v>
      </c>
      <c r="C2255" s="70" t="s">
        <v>1636</v>
      </c>
      <c r="D2255" s="70" t="s">
        <v>2614</v>
      </c>
      <c r="E2255" s="70"/>
      <c r="F2255" s="70"/>
      <c r="G2255" s="70" t="str">
        <f>IFERROR(VLOOKUP(A2255,[1]wms_iv_f!$A$1:$E$136,4,FALSE),"")</f>
        <v/>
      </c>
      <c r="H2255" s="95" t="str">
        <f>IFERROR(VLOOKUP(A2255,[2]wms_lc_f!$A$1:$B$156,2,FALSE),"")</f>
        <v/>
      </c>
    </row>
    <row r="2256" spans="1:8" hidden="1">
      <c r="A2256" s="71">
        <v>9696</v>
      </c>
      <c r="B2256" s="69" t="s">
        <v>2609</v>
      </c>
      <c r="C2256" s="70" t="s">
        <v>1644</v>
      </c>
      <c r="D2256" s="70" t="s">
        <v>2614</v>
      </c>
      <c r="E2256" s="70"/>
      <c r="F2256" s="70"/>
      <c r="G2256" s="70" t="str">
        <f>IFERROR(VLOOKUP(A2256,[1]wms_iv_f!$A$1:$E$136,4,FALSE),"")</f>
        <v/>
      </c>
      <c r="H2256" s="95" t="str">
        <f>IFERROR(VLOOKUP(A2256,[2]wms_lc_f!$A$1:$B$156,2,FALSE),"")</f>
        <v/>
      </c>
    </row>
    <row r="2257" spans="1:8" hidden="1">
      <c r="A2257" s="71">
        <v>126138</v>
      </c>
      <c r="B2257" s="69" t="s">
        <v>2609</v>
      </c>
      <c r="C2257" s="70" t="s">
        <v>1729</v>
      </c>
      <c r="D2257" s="70" t="s">
        <v>2614</v>
      </c>
      <c r="E2257" s="70"/>
      <c r="F2257" s="70"/>
      <c r="G2257" s="70" t="str">
        <f>IFERROR(VLOOKUP(A2257,[1]wms_iv_f!$A$1:$E$136,4,FALSE),"")</f>
        <v/>
      </c>
      <c r="H2257" s="95" t="str">
        <f>IFERROR(VLOOKUP(A2257,[2]wms_lc_f!$A$1:$B$156,2,FALSE),"")</f>
        <v/>
      </c>
    </row>
    <row r="2258" spans="1:8" hidden="1">
      <c r="A2258" s="71">
        <v>481</v>
      </c>
      <c r="B2258" s="69" t="s">
        <v>2609</v>
      </c>
      <c r="C2258" s="70" t="s">
        <v>1741</v>
      </c>
      <c r="D2258" s="70" t="s">
        <v>2614</v>
      </c>
      <c r="E2258" s="70"/>
      <c r="F2258" s="70"/>
      <c r="G2258" s="70" t="str">
        <f>IFERROR(VLOOKUP(A2258,[1]wms_iv_f!$A$1:$E$136,4,FALSE),"")</f>
        <v/>
      </c>
      <c r="H2258" s="95" t="str">
        <f>IFERROR(VLOOKUP(A2258,[2]wms_lc_f!$A$1:$B$156,2,FALSE),"")</f>
        <v/>
      </c>
    </row>
    <row r="2259" spans="1:8" hidden="1">
      <c r="A2259" s="71">
        <v>1452</v>
      </c>
      <c r="B2259" s="69" t="s">
        <v>2609</v>
      </c>
      <c r="C2259" s="70" t="s">
        <v>1753</v>
      </c>
      <c r="D2259" s="70" t="s">
        <v>2614</v>
      </c>
      <c r="E2259" s="70"/>
      <c r="F2259" s="70"/>
      <c r="G2259" s="70" t="str">
        <f>IFERROR(VLOOKUP(A2259,[1]wms_iv_f!$A$1:$E$136,4,FALSE),"")</f>
        <v/>
      </c>
      <c r="H2259" s="95" t="str">
        <f>IFERROR(VLOOKUP(A2259,[2]wms_lc_f!$A$1:$B$156,2,FALSE),"")</f>
        <v/>
      </c>
    </row>
    <row r="2260" spans="1:8" hidden="1">
      <c r="A2260" s="71">
        <v>105327</v>
      </c>
      <c r="B2260" s="69" t="s">
        <v>2609</v>
      </c>
      <c r="C2260" s="70" t="s">
        <v>1840</v>
      </c>
      <c r="D2260" s="70" t="s">
        <v>2614</v>
      </c>
      <c r="E2260" s="70"/>
      <c r="F2260" s="70"/>
      <c r="G2260" s="70" t="str">
        <f>IFERROR(VLOOKUP(A2260,[1]wms_iv_f!$A$1:$E$136,4,FALSE),"")</f>
        <v/>
      </c>
      <c r="H2260" s="95" t="str">
        <f>IFERROR(VLOOKUP(A2260,[2]wms_lc_f!$A$1:$B$156,2,FALSE),"")</f>
        <v/>
      </c>
    </row>
    <row r="2261" spans="1:8" hidden="1">
      <c r="A2261" s="71">
        <v>89702</v>
      </c>
      <c r="B2261" s="69" t="s">
        <v>2609</v>
      </c>
      <c r="C2261" s="70" t="s">
        <v>1852</v>
      </c>
      <c r="D2261" s="70" t="s">
        <v>2614</v>
      </c>
      <c r="E2261" s="70"/>
      <c r="F2261" s="70"/>
      <c r="G2261" s="70" t="str">
        <f>IFERROR(VLOOKUP(A2261,[1]wms_iv_f!$A$1:$E$136,4,FALSE),"")</f>
        <v/>
      </c>
      <c r="H2261" s="95" t="str">
        <f>IFERROR(VLOOKUP(A2261,[2]wms_lc_f!$A$1:$B$156,2,FALSE),"")</f>
        <v/>
      </c>
    </row>
    <row r="2262" spans="1:8" hidden="1">
      <c r="A2262" s="71">
        <v>155832</v>
      </c>
      <c r="B2262" s="69" t="s">
        <v>2609</v>
      </c>
      <c r="C2262" s="70" t="s">
        <v>1864</v>
      </c>
      <c r="D2262" s="70" t="s">
        <v>2614</v>
      </c>
      <c r="E2262" s="70"/>
      <c r="F2262" s="70"/>
      <c r="G2262" s="70" t="str">
        <f>IFERROR(VLOOKUP(A2262,[1]wms_iv_f!$A$1:$E$136,4,FALSE),"")</f>
        <v/>
      </c>
      <c r="H2262" s="95" t="str">
        <f>IFERROR(VLOOKUP(A2262,[2]wms_lc_f!$A$1:$B$156,2,FALSE),"")</f>
        <v/>
      </c>
    </row>
    <row r="2263" spans="1:8" hidden="1">
      <c r="A2263" s="71">
        <v>138950</v>
      </c>
      <c r="B2263" s="69" t="s">
        <v>2609</v>
      </c>
      <c r="C2263" s="70" t="s">
        <v>1951</v>
      </c>
      <c r="D2263" s="70" t="s">
        <v>2614</v>
      </c>
      <c r="E2263" s="70"/>
      <c r="F2263" s="70"/>
      <c r="G2263" s="70" t="str">
        <f>IFERROR(VLOOKUP(A2263,[1]wms_iv_f!$A$1:$E$136,4,FALSE),"")</f>
        <v/>
      </c>
      <c r="H2263" s="95" t="str">
        <f>IFERROR(VLOOKUP(A2263,[2]wms_lc_f!$A$1:$B$156,2,FALSE),"")</f>
        <v/>
      </c>
    </row>
    <row r="2264" spans="1:8" hidden="1">
      <c r="A2264" s="71">
        <v>35294</v>
      </c>
      <c r="B2264" s="69" t="s">
        <v>2609</v>
      </c>
      <c r="C2264" s="70" t="s">
        <v>1637</v>
      </c>
      <c r="D2264" s="70" t="s">
        <v>2614</v>
      </c>
      <c r="E2264" s="70"/>
      <c r="F2264" s="70"/>
      <c r="G2264" s="70" t="str">
        <f>IFERROR(VLOOKUP(A2264,[1]wms_iv_f!$A$1:$E$136,4,FALSE),"")</f>
        <v/>
      </c>
      <c r="H2264" s="95" t="str">
        <f>IFERROR(VLOOKUP(A2264,[2]wms_lc_f!$A$1:$B$156,2,FALSE),"")</f>
        <v/>
      </c>
    </row>
    <row r="2265" spans="1:8" hidden="1">
      <c r="A2265" s="71">
        <v>112478</v>
      </c>
      <c r="B2265" s="69" t="s">
        <v>2609</v>
      </c>
      <c r="C2265" s="70" t="s">
        <v>1645</v>
      </c>
      <c r="D2265" s="70" t="s">
        <v>2614</v>
      </c>
      <c r="E2265" s="70"/>
      <c r="F2265" s="70"/>
      <c r="G2265" s="70" t="str">
        <f>IFERROR(VLOOKUP(A2265,[1]wms_iv_f!$A$1:$E$136,4,FALSE),"")</f>
        <v/>
      </c>
      <c r="H2265" s="95" t="str">
        <f>IFERROR(VLOOKUP(A2265,[2]wms_lc_f!$A$1:$B$156,2,FALSE),"")</f>
        <v/>
      </c>
    </row>
    <row r="2266" spans="1:8" hidden="1">
      <c r="A2266" s="71">
        <v>63401</v>
      </c>
      <c r="B2266" s="69" t="s">
        <v>2609</v>
      </c>
      <c r="C2266" s="70" t="s">
        <v>1730</v>
      </c>
      <c r="D2266" s="70" t="s">
        <v>2614</v>
      </c>
      <c r="E2266" s="70"/>
      <c r="F2266" s="70"/>
      <c r="G2266" s="70" t="str">
        <f>IFERROR(VLOOKUP(A2266,[1]wms_iv_f!$A$1:$E$136,4,FALSE),"")</f>
        <v/>
      </c>
      <c r="H2266" s="95" t="str">
        <f>IFERROR(VLOOKUP(A2266,[2]wms_lc_f!$A$1:$B$156,2,FALSE),"")</f>
        <v/>
      </c>
    </row>
    <row r="2267" spans="1:8" hidden="1">
      <c r="A2267" s="71">
        <v>5328</v>
      </c>
      <c r="B2267" s="69" t="s">
        <v>2609</v>
      </c>
      <c r="C2267" s="70" t="s">
        <v>1742</v>
      </c>
      <c r="D2267" s="70" t="s">
        <v>2614</v>
      </c>
      <c r="E2267" s="70"/>
      <c r="F2267" s="70"/>
      <c r="G2267" s="70" t="str">
        <f>IFERROR(VLOOKUP(A2267,[1]wms_iv_f!$A$1:$E$136,4,FALSE),"")</f>
        <v/>
      </c>
      <c r="H2267" s="95" t="str">
        <f>IFERROR(VLOOKUP(A2267,[2]wms_lc_f!$A$1:$B$156,2,FALSE),"")</f>
        <v/>
      </c>
    </row>
    <row r="2268" spans="1:8" hidden="1">
      <c r="A2268" s="71">
        <v>96468</v>
      </c>
      <c r="B2268" s="69" t="s">
        <v>2609</v>
      </c>
      <c r="C2268" s="70" t="s">
        <v>1754</v>
      </c>
      <c r="D2268" s="70" t="s">
        <v>2614</v>
      </c>
      <c r="E2268" s="70"/>
      <c r="F2268" s="70"/>
      <c r="G2268" s="70" t="str">
        <f>IFERROR(VLOOKUP(A2268,[1]wms_iv_f!$A$1:$E$136,4,FALSE),"")</f>
        <v/>
      </c>
      <c r="H2268" s="95" t="str">
        <f>IFERROR(VLOOKUP(A2268,[2]wms_lc_f!$A$1:$B$156,2,FALSE),"")</f>
        <v/>
      </c>
    </row>
    <row r="2269" spans="1:8" hidden="1">
      <c r="A2269" s="71">
        <v>36854</v>
      </c>
      <c r="B2269" s="69" t="s">
        <v>2609</v>
      </c>
      <c r="C2269" s="70" t="s">
        <v>1841</v>
      </c>
      <c r="D2269" s="70" t="s">
        <v>2614</v>
      </c>
      <c r="E2269" s="70"/>
      <c r="F2269" s="70"/>
      <c r="G2269" s="70" t="str">
        <f>IFERROR(VLOOKUP(A2269,[1]wms_iv_f!$A$1:$E$136,4,FALSE),"")</f>
        <v/>
      </c>
      <c r="H2269" s="95" t="str">
        <f>IFERROR(VLOOKUP(A2269,[2]wms_lc_f!$A$1:$B$156,2,FALSE),"")</f>
        <v/>
      </c>
    </row>
    <row r="2270" spans="1:8" hidden="1">
      <c r="A2270" s="71">
        <v>134099</v>
      </c>
      <c r="B2270" s="69" t="s">
        <v>2609</v>
      </c>
      <c r="C2270" s="70" t="s">
        <v>1853</v>
      </c>
      <c r="D2270" s="70" t="s">
        <v>2614</v>
      </c>
      <c r="E2270" s="70"/>
      <c r="F2270" s="70"/>
      <c r="G2270" s="70" t="str">
        <f>IFERROR(VLOOKUP(A2270,[1]wms_iv_f!$A$1:$E$136,4,FALSE),"")</f>
        <v/>
      </c>
      <c r="H2270" s="95" t="str">
        <f>IFERROR(VLOOKUP(A2270,[2]wms_lc_f!$A$1:$B$156,2,FALSE),"")</f>
        <v/>
      </c>
    </row>
    <row r="2271" spans="1:8" hidden="1">
      <c r="A2271" s="71">
        <v>3119</v>
      </c>
      <c r="B2271" s="69" t="s">
        <v>2609</v>
      </c>
      <c r="C2271" s="70" t="s">
        <v>1865</v>
      </c>
      <c r="D2271" s="70" t="s">
        <v>2614</v>
      </c>
      <c r="E2271" s="70"/>
      <c r="F2271" s="70"/>
      <c r="G2271" s="70" t="str">
        <f>IFERROR(VLOOKUP(A2271,[1]wms_iv_f!$A$1:$E$136,4,FALSE),"")</f>
        <v/>
      </c>
      <c r="H2271" s="95" t="str">
        <f>IFERROR(VLOOKUP(A2271,[2]wms_lc_f!$A$1:$B$156,2,FALSE),"")</f>
        <v/>
      </c>
    </row>
    <row r="2272" spans="1:8" hidden="1">
      <c r="A2272" s="71">
        <v>61047</v>
      </c>
      <c r="B2272" s="69" t="s">
        <v>2609</v>
      </c>
      <c r="C2272" s="70" t="s">
        <v>1952</v>
      </c>
      <c r="D2272" s="70" t="s">
        <v>2614</v>
      </c>
      <c r="E2272" s="70"/>
      <c r="F2272" s="70"/>
      <c r="G2272" s="70" t="str">
        <f>IFERROR(VLOOKUP(A2272,[1]wms_iv_f!$A$1:$E$136,4,FALSE),"")</f>
        <v/>
      </c>
      <c r="H2272" s="95" t="str">
        <f>IFERROR(VLOOKUP(A2272,[2]wms_lc_f!$A$1:$B$156,2,FALSE),"")</f>
        <v/>
      </c>
    </row>
    <row r="2273" spans="1:8" hidden="1">
      <c r="A2273" s="71">
        <v>77271</v>
      </c>
      <c r="B2273" s="69" t="s">
        <v>2609</v>
      </c>
      <c r="C2273" s="70" t="s">
        <v>1731</v>
      </c>
      <c r="D2273" s="70" t="s">
        <v>2614</v>
      </c>
      <c r="E2273" s="70"/>
      <c r="F2273" s="70"/>
      <c r="G2273" s="70" t="str">
        <f>IFERROR(VLOOKUP(A2273,[1]wms_iv_f!$A$1:$E$136,4,FALSE),"")</f>
        <v/>
      </c>
      <c r="H2273" s="95" t="str">
        <f>IFERROR(VLOOKUP(A2273,[2]wms_lc_f!$A$1:$B$156,2,FALSE),"")</f>
        <v/>
      </c>
    </row>
    <row r="2274" spans="1:8" hidden="1">
      <c r="A2274" s="71">
        <v>157242</v>
      </c>
      <c r="B2274" s="69" t="s">
        <v>2609</v>
      </c>
      <c r="C2274" s="70" t="s">
        <v>1743</v>
      </c>
      <c r="D2274" s="70" t="s">
        <v>2614</v>
      </c>
      <c r="E2274" s="70"/>
      <c r="F2274" s="70"/>
      <c r="G2274" s="70" t="str">
        <f>IFERROR(VLOOKUP(A2274,[1]wms_iv_f!$A$1:$E$136,4,FALSE),"")</f>
        <v/>
      </c>
      <c r="H2274" s="95" t="str">
        <f>IFERROR(VLOOKUP(A2274,[2]wms_lc_f!$A$1:$B$156,2,FALSE),"")</f>
        <v/>
      </c>
    </row>
    <row r="2275" spans="1:8" hidden="1">
      <c r="A2275" s="71">
        <v>15389</v>
      </c>
      <c r="B2275" s="69" t="s">
        <v>2609</v>
      </c>
      <c r="C2275" s="70" t="s">
        <v>1755</v>
      </c>
      <c r="D2275" s="70" t="s">
        <v>2614</v>
      </c>
      <c r="E2275" s="70"/>
      <c r="F2275" s="70"/>
      <c r="G2275" s="70" t="str">
        <f>IFERROR(VLOOKUP(A2275,[1]wms_iv_f!$A$1:$E$136,4,FALSE),"")</f>
        <v/>
      </c>
      <c r="H2275" s="95" t="str">
        <f>IFERROR(VLOOKUP(A2275,[2]wms_lc_f!$A$1:$B$156,2,FALSE),"")</f>
        <v/>
      </c>
    </row>
    <row r="2276" spans="1:8" hidden="1">
      <c r="A2276" s="71">
        <v>33699</v>
      </c>
      <c r="B2276" s="69" t="s">
        <v>2609</v>
      </c>
      <c r="C2276" s="70" t="s">
        <v>1842</v>
      </c>
      <c r="D2276" s="70" t="s">
        <v>2614</v>
      </c>
      <c r="E2276" s="70"/>
      <c r="F2276" s="70"/>
      <c r="G2276" s="70" t="str">
        <f>IFERROR(VLOOKUP(A2276,[1]wms_iv_f!$A$1:$E$136,4,FALSE),"")</f>
        <v/>
      </c>
      <c r="H2276" s="95" t="str">
        <f>IFERROR(VLOOKUP(A2276,[2]wms_lc_f!$A$1:$B$156,2,FALSE),"")</f>
        <v/>
      </c>
    </row>
    <row r="2277" spans="1:8" hidden="1">
      <c r="A2277" s="71">
        <v>87602</v>
      </c>
      <c r="B2277" s="69" t="s">
        <v>2609</v>
      </c>
      <c r="C2277" s="70" t="s">
        <v>1854</v>
      </c>
      <c r="D2277" s="70" t="s">
        <v>2614</v>
      </c>
      <c r="E2277" s="70"/>
      <c r="F2277" s="70"/>
      <c r="G2277" s="70" t="str">
        <f>IFERROR(VLOOKUP(A2277,[1]wms_iv_f!$A$1:$E$136,4,FALSE),"")</f>
        <v/>
      </c>
      <c r="H2277" s="95" t="str">
        <f>IFERROR(VLOOKUP(A2277,[2]wms_lc_f!$A$1:$B$156,2,FALSE),"")</f>
        <v/>
      </c>
    </row>
    <row r="2278" spans="1:8" hidden="1">
      <c r="A2278" s="71">
        <v>19649</v>
      </c>
      <c r="B2278" s="69" t="s">
        <v>2609</v>
      </c>
      <c r="C2278" s="70" t="s">
        <v>1866</v>
      </c>
      <c r="D2278" s="70" t="s">
        <v>2614</v>
      </c>
      <c r="E2278" s="70"/>
      <c r="F2278" s="70"/>
      <c r="G2278" s="70" t="str">
        <f>IFERROR(VLOOKUP(A2278,[1]wms_iv_f!$A$1:$E$136,4,FALSE),"")</f>
        <v/>
      </c>
      <c r="H2278" s="95" t="str">
        <f>IFERROR(VLOOKUP(A2278,[2]wms_lc_f!$A$1:$B$156,2,FALSE),"")</f>
        <v/>
      </c>
    </row>
    <row r="2279" spans="1:8" hidden="1">
      <c r="A2279" s="71">
        <v>139896</v>
      </c>
      <c r="B2279" s="69" t="s">
        <v>2609</v>
      </c>
      <c r="C2279" s="70" t="s">
        <v>1953</v>
      </c>
      <c r="D2279" s="70" t="s">
        <v>2614</v>
      </c>
      <c r="E2279" s="70"/>
      <c r="F2279" s="70"/>
      <c r="G2279" s="70" t="str">
        <f>IFERROR(VLOOKUP(A2279,[1]wms_iv_f!$A$1:$E$136,4,FALSE),"")</f>
        <v/>
      </c>
      <c r="H2279" s="95" t="str">
        <f>IFERROR(VLOOKUP(A2279,[2]wms_lc_f!$A$1:$B$156,2,FALSE),"")</f>
        <v/>
      </c>
    </row>
    <row r="2280" spans="1:8" hidden="1">
      <c r="A2280" s="71">
        <v>121260</v>
      </c>
      <c r="B2280" s="69" t="s">
        <v>2609</v>
      </c>
      <c r="C2280" s="70" t="s">
        <v>1732</v>
      </c>
      <c r="D2280" s="70" t="s">
        <v>2614</v>
      </c>
      <c r="E2280" s="70"/>
      <c r="F2280" s="70"/>
      <c r="G2280" s="70" t="str">
        <f>IFERROR(VLOOKUP(A2280,[1]wms_iv_f!$A$1:$E$136,4,FALSE),"")</f>
        <v/>
      </c>
      <c r="H2280" s="95" t="str">
        <f>IFERROR(VLOOKUP(A2280,[2]wms_lc_f!$A$1:$B$156,2,FALSE),"")</f>
        <v/>
      </c>
    </row>
    <row r="2281" spans="1:8" hidden="1">
      <c r="A2281" s="71" t="str">
        <f>IFERROR(VLOOKUP(C2281,[3]wms_iv_f!$A$1:$D$135,2,FALSE),"")</f>
        <v/>
      </c>
      <c r="B2281" s="69" t="s">
        <v>2609</v>
      </c>
      <c r="C2281" s="70" t="s">
        <v>1744</v>
      </c>
      <c r="D2281" s="70" t="s">
        <v>2614</v>
      </c>
      <c r="E2281" s="70"/>
      <c r="F2281" s="70"/>
      <c r="G2281" s="70" t="str">
        <f>IFERROR(VLOOKUP(A2281,[1]wms_iv_f!$A$1:$E$136,4,FALSE),"")</f>
        <v/>
      </c>
      <c r="H2281" s="95" t="str">
        <f>IFERROR(VLOOKUP(A2281,[2]wms_lc_f!$A$1:$B$156,2,FALSE),"")</f>
        <v/>
      </c>
    </row>
    <row r="2282" spans="1:8" hidden="1">
      <c r="A2282" s="71" t="str">
        <f>IFERROR(VLOOKUP(C2282,[3]wms_iv_f!$A$1:$D$135,2,FALSE),"")</f>
        <v/>
      </c>
      <c r="B2282" s="69" t="s">
        <v>2609</v>
      </c>
      <c r="C2282" s="70" t="s">
        <v>1756</v>
      </c>
      <c r="D2282" s="70" t="s">
        <v>2614</v>
      </c>
      <c r="E2282" s="70"/>
      <c r="F2282" s="70"/>
      <c r="G2282" s="70" t="str">
        <f>IFERROR(VLOOKUP(A2282,[1]wms_iv_f!$A$1:$E$136,4,FALSE),"")</f>
        <v/>
      </c>
      <c r="H2282" s="95" t="str">
        <f>IFERROR(VLOOKUP(A2282,[2]wms_lc_f!$A$1:$B$156,2,FALSE),"")</f>
        <v/>
      </c>
    </row>
    <row r="2283" spans="1:8" hidden="1">
      <c r="A2283" s="71" t="str">
        <f>IFERROR(VLOOKUP(C2283,[3]wms_iv_f!$A$1:$D$135,2,FALSE),"")</f>
        <v/>
      </c>
      <c r="B2283" s="69" t="s">
        <v>2609</v>
      </c>
      <c r="C2283" s="70" t="s">
        <v>1843</v>
      </c>
      <c r="D2283" s="70" t="s">
        <v>2614</v>
      </c>
      <c r="E2283" s="70"/>
      <c r="F2283" s="70"/>
      <c r="G2283" s="70" t="str">
        <f>IFERROR(VLOOKUP(A2283,[1]wms_iv_f!$A$1:$E$136,4,FALSE),"")</f>
        <v/>
      </c>
      <c r="H2283" s="95" t="str">
        <f>IFERROR(VLOOKUP(A2283,[2]wms_lc_f!$A$1:$B$156,2,FALSE),"")</f>
        <v/>
      </c>
    </row>
    <row r="2284" spans="1:8" hidden="1">
      <c r="A2284" s="71" t="str">
        <f>IFERROR(VLOOKUP(C2284,[3]wms_iv_f!$A$1:$D$135,2,FALSE),"")</f>
        <v/>
      </c>
      <c r="B2284" s="69" t="s">
        <v>2609</v>
      </c>
      <c r="C2284" s="70" t="s">
        <v>1855</v>
      </c>
      <c r="D2284" s="70" t="s">
        <v>2614</v>
      </c>
      <c r="E2284" s="70"/>
      <c r="F2284" s="70"/>
      <c r="G2284" s="70" t="str">
        <f>IFERROR(VLOOKUP(A2284,[1]wms_iv_f!$A$1:$E$136,4,FALSE),"")</f>
        <v/>
      </c>
      <c r="H2284" s="95" t="str">
        <f>IFERROR(VLOOKUP(A2284,[2]wms_lc_f!$A$1:$B$156,2,FALSE),"")</f>
        <v/>
      </c>
    </row>
    <row r="2285" spans="1:8" hidden="1">
      <c r="A2285" s="71" t="str">
        <f>IFERROR(VLOOKUP(C2285,[3]wms_iv_f!$A$1:$D$135,2,FALSE),"")</f>
        <v/>
      </c>
      <c r="B2285" s="69" t="s">
        <v>2609</v>
      </c>
      <c r="C2285" s="70" t="s">
        <v>1867</v>
      </c>
      <c r="D2285" s="70" t="s">
        <v>2614</v>
      </c>
      <c r="E2285" s="70"/>
      <c r="F2285" s="70"/>
      <c r="G2285" s="70" t="str">
        <f>IFERROR(VLOOKUP(A2285,[1]wms_iv_f!$A$1:$E$136,4,FALSE),"")</f>
        <v/>
      </c>
      <c r="H2285" s="95" t="str">
        <f>IFERROR(VLOOKUP(A2285,[2]wms_lc_f!$A$1:$B$156,2,FALSE),"")</f>
        <v/>
      </c>
    </row>
    <row r="2286" spans="1:8" hidden="1">
      <c r="A2286" s="71" t="str">
        <f>IFERROR(VLOOKUP(C2286,[3]wms_iv_f!$A$1:$D$135,2,FALSE),"")</f>
        <v/>
      </c>
      <c r="B2286" s="69" t="s">
        <v>2609</v>
      </c>
      <c r="C2286" s="70" t="s">
        <v>1954</v>
      </c>
      <c r="D2286" s="70" t="s">
        <v>2614</v>
      </c>
      <c r="E2286" s="70"/>
      <c r="F2286" s="70"/>
      <c r="G2286" s="70" t="str">
        <f>IFERROR(VLOOKUP(A2286,[1]wms_iv_f!$A$1:$E$136,4,FALSE),"")</f>
        <v/>
      </c>
      <c r="H2286" s="95" t="str">
        <f>IFERROR(VLOOKUP(A2286,[2]wms_lc_f!$A$1:$B$156,2,FALSE),"")</f>
        <v/>
      </c>
    </row>
    <row r="2287" spans="1:8" hidden="1">
      <c r="A2287" s="71" t="str">
        <f>IFERROR(VLOOKUP(C2287,[3]wms_iv_f!$A$1:$D$135,2,FALSE),"")</f>
        <v/>
      </c>
      <c r="B2287" s="69" t="s">
        <v>2609</v>
      </c>
      <c r="C2287" s="70" t="s">
        <v>1638</v>
      </c>
      <c r="D2287" s="70" t="s">
        <v>2614</v>
      </c>
      <c r="E2287" s="70"/>
      <c r="F2287" s="70"/>
      <c r="G2287" s="70" t="str">
        <f>IFERROR(VLOOKUP(A2287,[1]wms_iv_f!$A$1:$E$136,4,FALSE),"")</f>
        <v/>
      </c>
      <c r="H2287" s="95" t="str">
        <f>IFERROR(VLOOKUP(A2287,[2]wms_lc_f!$A$1:$B$156,2,FALSE),"")</f>
        <v/>
      </c>
    </row>
    <row r="2288" spans="1:8" hidden="1">
      <c r="A2288" s="71" t="str">
        <f>IFERROR(VLOOKUP(C2288,[3]wms_iv_f!$A$1:$D$135,2,FALSE),"")</f>
        <v/>
      </c>
      <c r="B2288" s="69" t="s">
        <v>2609</v>
      </c>
      <c r="C2288" s="70" t="s">
        <v>1646</v>
      </c>
      <c r="D2288" s="70" t="s">
        <v>2614</v>
      </c>
      <c r="E2288" s="70"/>
      <c r="F2288" s="70"/>
      <c r="G2288" s="70" t="str">
        <f>IFERROR(VLOOKUP(A2288,[1]wms_iv_f!$A$1:$E$136,4,FALSE),"")</f>
        <v/>
      </c>
      <c r="H2288" s="95" t="str">
        <f>IFERROR(VLOOKUP(A2288,[2]wms_lc_f!$A$1:$B$156,2,FALSE),"")</f>
        <v/>
      </c>
    </row>
    <row r="2289" spans="1:8" hidden="1">
      <c r="A2289" s="71" t="str">
        <f>IFERROR(VLOOKUP(C2289,[3]wms_iv_f!$A$1:$D$135,2,FALSE),"")</f>
        <v/>
      </c>
      <c r="B2289" s="69" t="s">
        <v>2609</v>
      </c>
      <c r="C2289" s="70" t="s">
        <v>1733</v>
      </c>
      <c r="D2289" s="70" t="s">
        <v>2614</v>
      </c>
      <c r="E2289" s="70"/>
      <c r="F2289" s="70"/>
      <c r="G2289" s="70" t="str">
        <f>IFERROR(VLOOKUP(A2289,[1]wms_iv_f!$A$1:$E$136,4,FALSE),"")</f>
        <v/>
      </c>
      <c r="H2289" s="95" t="str">
        <f>IFERROR(VLOOKUP(A2289,[2]wms_lc_f!$A$1:$B$156,2,FALSE),"")</f>
        <v/>
      </c>
    </row>
    <row r="2290" spans="1:8" hidden="1">
      <c r="A2290" s="71" t="str">
        <f>IFERROR(VLOOKUP(C2290,[3]wms_iv_f!$A$1:$D$135,2,FALSE),"")</f>
        <v/>
      </c>
      <c r="B2290" s="69" t="s">
        <v>2609</v>
      </c>
      <c r="C2290" s="70" t="s">
        <v>1745</v>
      </c>
      <c r="D2290" s="70" t="s">
        <v>2614</v>
      </c>
      <c r="E2290" s="70"/>
      <c r="F2290" s="70"/>
      <c r="G2290" s="70" t="str">
        <f>IFERROR(VLOOKUP(A2290,[1]wms_iv_f!$A$1:$E$136,4,FALSE),"")</f>
        <v/>
      </c>
      <c r="H2290" s="95" t="str">
        <f>IFERROR(VLOOKUP(A2290,[2]wms_lc_f!$A$1:$B$156,2,FALSE),"")</f>
        <v/>
      </c>
    </row>
    <row r="2291" spans="1:8" hidden="1">
      <c r="A2291" s="71" t="str">
        <f>IFERROR(VLOOKUP(C2291,[3]wms_iv_f!$A$1:$D$135,2,FALSE),"")</f>
        <v/>
      </c>
      <c r="B2291" s="69" t="s">
        <v>2609</v>
      </c>
      <c r="C2291" s="70" t="s">
        <v>1757</v>
      </c>
      <c r="D2291" s="70" t="s">
        <v>2614</v>
      </c>
      <c r="E2291" s="70"/>
      <c r="F2291" s="70"/>
      <c r="G2291" s="70" t="str">
        <f>IFERROR(VLOOKUP(A2291,[1]wms_iv_f!$A$1:$E$136,4,FALSE),"")</f>
        <v/>
      </c>
      <c r="H2291" s="95" t="str">
        <f>IFERROR(VLOOKUP(A2291,[2]wms_lc_f!$A$1:$B$156,2,FALSE),"")</f>
        <v/>
      </c>
    </row>
    <row r="2292" spans="1:8" hidden="1">
      <c r="A2292" s="71" t="str">
        <f>IFERROR(VLOOKUP(C2292,[3]wms_iv_f!$A$1:$D$135,2,FALSE),"")</f>
        <v/>
      </c>
      <c r="B2292" s="69" t="s">
        <v>2609</v>
      </c>
      <c r="C2292" s="70" t="s">
        <v>1844</v>
      </c>
      <c r="D2292" s="70" t="s">
        <v>2614</v>
      </c>
      <c r="E2292" s="70"/>
      <c r="F2292" s="70"/>
      <c r="G2292" s="70" t="str">
        <f>IFERROR(VLOOKUP(A2292,[1]wms_iv_f!$A$1:$E$136,4,FALSE),"")</f>
        <v/>
      </c>
      <c r="H2292" s="95" t="str">
        <f>IFERROR(VLOOKUP(A2292,[2]wms_lc_f!$A$1:$B$156,2,FALSE),"")</f>
        <v/>
      </c>
    </row>
    <row r="2293" spans="1:8" hidden="1">
      <c r="A2293" s="71" t="str">
        <f>IFERROR(VLOOKUP(C2293,[3]wms_iv_f!$A$1:$D$135,2,FALSE),"")</f>
        <v/>
      </c>
      <c r="B2293" s="69" t="s">
        <v>2609</v>
      </c>
      <c r="C2293" s="70" t="s">
        <v>1856</v>
      </c>
      <c r="D2293" s="70" t="s">
        <v>2614</v>
      </c>
      <c r="E2293" s="70"/>
      <c r="F2293" s="70"/>
      <c r="G2293" s="70" t="str">
        <f>IFERROR(VLOOKUP(A2293,[1]wms_iv_f!$A$1:$E$136,4,FALSE),"")</f>
        <v/>
      </c>
      <c r="H2293" s="95" t="str">
        <f>IFERROR(VLOOKUP(A2293,[2]wms_lc_f!$A$1:$B$156,2,FALSE),"")</f>
        <v/>
      </c>
    </row>
    <row r="2294" spans="1:8" hidden="1">
      <c r="A2294" s="71" t="str">
        <f>IFERROR(VLOOKUP(C2294,[3]wms_iv_f!$A$1:$D$135,2,FALSE),"")</f>
        <v/>
      </c>
      <c r="B2294" s="69" t="s">
        <v>2609</v>
      </c>
      <c r="C2294" s="70" t="s">
        <v>1868</v>
      </c>
      <c r="D2294" s="70" t="s">
        <v>2614</v>
      </c>
      <c r="E2294" s="70"/>
      <c r="F2294" s="70"/>
      <c r="G2294" s="70" t="str">
        <f>IFERROR(VLOOKUP(A2294,[1]wms_iv_f!$A$1:$E$136,4,FALSE),"")</f>
        <v/>
      </c>
      <c r="H2294" s="95" t="str">
        <f>IFERROR(VLOOKUP(A2294,[2]wms_lc_f!$A$1:$B$156,2,FALSE),"")</f>
        <v/>
      </c>
    </row>
    <row r="2295" spans="1:8" hidden="1">
      <c r="A2295" s="71" t="str">
        <f>IFERROR(VLOOKUP(C2295,[3]wms_iv_f!$A$1:$D$135,2,FALSE),"")</f>
        <v/>
      </c>
      <c r="B2295" s="69" t="s">
        <v>2609</v>
      </c>
      <c r="C2295" s="70" t="s">
        <v>1955</v>
      </c>
      <c r="D2295" s="70" t="s">
        <v>2614</v>
      </c>
      <c r="E2295" s="70"/>
      <c r="F2295" s="70"/>
      <c r="G2295" s="70" t="str">
        <f>IFERROR(VLOOKUP(A2295,[1]wms_iv_f!$A$1:$E$136,4,FALSE),"")</f>
        <v/>
      </c>
      <c r="H2295" s="95" t="str">
        <f>IFERROR(VLOOKUP(A2295,[2]wms_lc_f!$A$1:$B$156,2,FALSE),"")</f>
        <v/>
      </c>
    </row>
    <row r="2296" spans="1:8" hidden="1">
      <c r="A2296" s="71" t="str">
        <f>IFERROR(VLOOKUP(C2296,[3]wms_iv_f!$A$1:$D$135,2,FALSE),"")</f>
        <v/>
      </c>
      <c r="B2296" s="69" t="s">
        <v>2609</v>
      </c>
      <c r="C2296" s="70" t="s">
        <v>1639</v>
      </c>
      <c r="D2296" s="70" t="s">
        <v>2614</v>
      </c>
      <c r="E2296" s="70"/>
      <c r="F2296" s="70"/>
      <c r="G2296" s="70" t="str">
        <f>IFERROR(VLOOKUP(A2296,[1]wms_iv_f!$A$1:$E$136,4,FALSE),"")</f>
        <v/>
      </c>
      <c r="H2296" s="95" t="str">
        <f>IFERROR(VLOOKUP(A2296,[2]wms_lc_f!$A$1:$B$156,2,FALSE),"")</f>
        <v/>
      </c>
    </row>
    <row r="2297" spans="1:8" hidden="1">
      <c r="A2297" s="71" t="str">
        <f>IFERROR(VLOOKUP(C2297,[3]wms_iv_f!$A$1:$D$135,2,FALSE),"")</f>
        <v/>
      </c>
      <c r="B2297" s="69" t="s">
        <v>2609</v>
      </c>
      <c r="C2297" s="70" t="s">
        <v>1647</v>
      </c>
      <c r="D2297" s="70" t="s">
        <v>2614</v>
      </c>
      <c r="E2297" s="70"/>
      <c r="F2297" s="70"/>
      <c r="G2297" s="70" t="str">
        <f>IFERROR(VLOOKUP(A2297,[1]wms_iv_f!$A$1:$E$136,4,FALSE),"")</f>
        <v/>
      </c>
      <c r="H2297" s="95" t="str">
        <f>IFERROR(VLOOKUP(A2297,[2]wms_lc_f!$A$1:$B$156,2,FALSE),"")</f>
        <v/>
      </c>
    </row>
    <row r="2298" spans="1:8" hidden="1">
      <c r="A2298" s="71" t="str">
        <f>IFERROR(VLOOKUP(C2298,[3]wms_iv_f!$A$1:$D$135,2,FALSE),"")</f>
        <v/>
      </c>
      <c r="B2298" s="69" t="s">
        <v>2609</v>
      </c>
      <c r="C2298" s="70" t="s">
        <v>1734</v>
      </c>
      <c r="D2298" s="70" t="s">
        <v>2614</v>
      </c>
      <c r="E2298" s="70"/>
      <c r="F2298" s="70"/>
      <c r="G2298" s="70" t="str">
        <f>IFERROR(VLOOKUP(A2298,[1]wms_iv_f!$A$1:$E$136,4,FALSE),"")</f>
        <v/>
      </c>
      <c r="H2298" s="95" t="str">
        <f>IFERROR(VLOOKUP(A2298,[2]wms_lc_f!$A$1:$B$156,2,FALSE),"")</f>
        <v/>
      </c>
    </row>
    <row r="2299" spans="1:8" hidden="1">
      <c r="A2299" s="71" t="str">
        <f>IFERROR(VLOOKUP(C2299,[3]wms_iv_f!$A$1:$D$135,2,FALSE),"")</f>
        <v/>
      </c>
      <c r="B2299" s="69" t="s">
        <v>2609</v>
      </c>
      <c r="C2299" s="70" t="s">
        <v>1746</v>
      </c>
      <c r="D2299" s="70" t="s">
        <v>2614</v>
      </c>
      <c r="E2299" s="70"/>
      <c r="F2299" s="70"/>
      <c r="G2299" s="70" t="str">
        <f>IFERROR(VLOOKUP(A2299,[1]wms_iv_f!$A$1:$E$136,4,FALSE),"")</f>
        <v/>
      </c>
      <c r="H2299" s="95" t="str">
        <f>IFERROR(VLOOKUP(A2299,[2]wms_lc_f!$A$1:$B$156,2,FALSE),"")</f>
        <v/>
      </c>
    </row>
    <row r="2300" spans="1:8" hidden="1">
      <c r="A2300" s="71" t="str">
        <f>IFERROR(VLOOKUP(C2300,[3]wms_iv_f!$A$1:$D$135,2,FALSE),"")</f>
        <v/>
      </c>
      <c r="B2300" s="69" t="s">
        <v>2609</v>
      </c>
      <c r="C2300" s="70" t="s">
        <v>1758</v>
      </c>
      <c r="D2300" s="70" t="s">
        <v>2614</v>
      </c>
      <c r="E2300" s="70"/>
      <c r="F2300" s="70"/>
      <c r="G2300" s="70" t="str">
        <f>IFERROR(VLOOKUP(A2300,[1]wms_iv_f!$A$1:$E$136,4,FALSE),"")</f>
        <v/>
      </c>
      <c r="H2300" s="95" t="str">
        <f>IFERROR(VLOOKUP(A2300,[2]wms_lc_f!$A$1:$B$156,2,FALSE),"")</f>
        <v/>
      </c>
    </row>
    <row r="2301" spans="1:8" hidden="1">
      <c r="A2301" s="71" t="str">
        <f>IFERROR(VLOOKUP(C2301,[3]wms_iv_f!$A$1:$D$135,2,FALSE),"")</f>
        <v/>
      </c>
      <c r="B2301" s="69" t="s">
        <v>2609</v>
      </c>
      <c r="C2301" s="70" t="s">
        <v>1845</v>
      </c>
      <c r="D2301" s="70" t="s">
        <v>2614</v>
      </c>
      <c r="E2301" s="70"/>
      <c r="F2301" s="70"/>
      <c r="G2301" s="70" t="str">
        <f>IFERROR(VLOOKUP(A2301,[1]wms_iv_f!$A$1:$E$136,4,FALSE),"")</f>
        <v/>
      </c>
      <c r="H2301" s="95" t="str">
        <f>IFERROR(VLOOKUP(A2301,[2]wms_lc_f!$A$1:$B$156,2,FALSE),"")</f>
        <v/>
      </c>
    </row>
    <row r="2302" spans="1:8" hidden="1">
      <c r="A2302" s="71" t="str">
        <f>IFERROR(VLOOKUP(C2302,[3]wms_iv_f!$A$1:$D$135,2,FALSE),"")</f>
        <v/>
      </c>
      <c r="B2302" s="69" t="s">
        <v>2609</v>
      </c>
      <c r="C2302" s="70" t="s">
        <v>1857</v>
      </c>
      <c r="D2302" s="70" t="s">
        <v>2614</v>
      </c>
      <c r="E2302" s="70"/>
      <c r="F2302" s="70"/>
      <c r="G2302" s="70" t="str">
        <f>IFERROR(VLOOKUP(A2302,[1]wms_iv_f!$A$1:$E$136,4,FALSE),"")</f>
        <v/>
      </c>
      <c r="H2302" s="95" t="str">
        <f>IFERROR(VLOOKUP(A2302,[2]wms_lc_f!$A$1:$B$156,2,FALSE),"")</f>
        <v/>
      </c>
    </row>
    <row r="2303" spans="1:8" hidden="1">
      <c r="A2303" s="71" t="str">
        <f>IFERROR(VLOOKUP(C2303,[3]wms_iv_f!$A$1:$D$135,2,FALSE),"")</f>
        <v/>
      </c>
      <c r="B2303" s="69" t="s">
        <v>2609</v>
      </c>
      <c r="C2303" s="70" t="s">
        <v>1869</v>
      </c>
      <c r="D2303" s="70" t="s">
        <v>2614</v>
      </c>
      <c r="E2303" s="70"/>
      <c r="F2303" s="70"/>
      <c r="G2303" s="70" t="str">
        <f>IFERROR(VLOOKUP(A2303,[1]wms_iv_f!$A$1:$E$136,4,FALSE),"")</f>
        <v/>
      </c>
      <c r="H2303" s="95" t="str">
        <f>IFERROR(VLOOKUP(A2303,[2]wms_lc_f!$A$1:$B$156,2,FALSE),"")</f>
        <v/>
      </c>
    </row>
    <row r="2304" spans="1:8" hidden="1">
      <c r="A2304" s="71" t="str">
        <f>IFERROR(VLOOKUP(C2304,[3]wms_iv_f!$A$1:$D$135,2,FALSE),"")</f>
        <v/>
      </c>
      <c r="B2304" s="69" t="s">
        <v>2609</v>
      </c>
      <c r="C2304" s="70" t="s">
        <v>1956</v>
      </c>
      <c r="D2304" s="70" t="s">
        <v>2614</v>
      </c>
      <c r="E2304" s="70"/>
      <c r="F2304" s="70"/>
      <c r="G2304" s="70" t="str">
        <f>IFERROR(VLOOKUP(A2304,[1]wms_iv_f!$A$1:$E$136,4,FALSE),"")</f>
        <v/>
      </c>
      <c r="H2304" s="95" t="str">
        <f>IFERROR(VLOOKUP(A2304,[2]wms_lc_f!$A$1:$B$156,2,FALSE),"")</f>
        <v/>
      </c>
    </row>
    <row r="2305" spans="1:8" hidden="1">
      <c r="A2305" s="71"/>
      <c r="B2305" s="69" t="s">
        <v>2609</v>
      </c>
      <c r="C2305" s="70" t="s">
        <v>1632</v>
      </c>
      <c r="D2305" s="70" t="s">
        <v>2614</v>
      </c>
      <c r="E2305" s="70"/>
      <c r="F2305" s="70"/>
      <c r="G2305" s="70" t="str">
        <f>IFERROR(VLOOKUP(A2305,[1]wms_iv_f!$A$1:$E$136,4,FALSE),"")</f>
        <v/>
      </c>
      <c r="H2305" s="95" t="str">
        <f>IFERROR(VLOOKUP(A2305,[2]wms_lc_f!$A$1:$B$156,2,FALSE),"")</f>
        <v/>
      </c>
    </row>
    <row r="2306" spans="1:8" hidden="1">
      <c r="A2306" s="71"/>
      <c r="B2306" s="69" t="s">
        <v>2609</v>
      </c>
      <c r="C2306" s="70" t="s">
        <v>1640</v>
      </c>
      <c r="D2306" s="70" t="s">
        <v>2614</v>
      </c>
      <c r="E2306" s="70"/>
      <c r="F2306" s="70"/>
      <c r="G2306" s="70" t="str">
        <f>IFERROR(VLOOKUP(A2306,[1]wms_iv_f!$A$1:$E$136,4,FALSE),"")</f>
        <v/>
      </c>
      <c r="H2306" s="95" t="str">
        <f>IFERROR(VLOOKUP(A2306,[2]wms_lc_f!$A$1:$B$156,2,FALSE),"")</f>
        <v/>
      </c>
    </row>
    <row r="2307" spans="1:8" hidden="1">
      <c r="A2307" s="71"/>
      <c r="B2307" s="69" t="s">
        <v>2609</v>
      </c>
      <c r="C2307" s="70" t="s">
        <v>1690</v>
      </c>
      <c r="D2307" s="70" t="s">
        <v>2614</v>
      </c>
      <c r="E2307" s="70"/>
      <c r="F2307" s="70"/>
      <c r="G2307" s="70" t="str">
        <f>IFERROR(VLOOKUP(A2307,[1]wms_iv_f!$A$1:$E$136,4,FALSE),"")</f>
        <v/>
      </c>
      <c r="H2307" s="95" t="str">
        <f>IFERROR(VLOOKUP(A2307,[2]wms_lc_f!$A$1:$B$156,2,FALSE),"")</f>
        <v/>
      </c>
    </row>
    <row r="2308" spans="1:8" hidden="1">
      <c r="A2308" s="71"/>
      <c r="B2308" s="69" t="s">
        <v>2609</v>
      </c>
      <c r="C2308" s="70" t="s">
        <v>1735</v>
      </c>
      <c r="D2308" s="70" t="s">
        <v>2614</v>
      </c>
      <c r="E2308" s="70"/>
      <c r="F2308" s="70"/>
      <c r="G2308" s="70" t="str">
        <f>IFERROR(VLOOKUP(A2308,[1]wms_iv_f!$A$1:$E$136,4,FALSE),"")</f>
        <v/>
      </c>
      <c r="H2308" s="95" t="str">
        <f>IFERROR(VLOOKUP(A2308,[2]wms_lc_f!$A$1:$B$156,2,FALSE),"")</f>
        <v/>
      </c>
    </row>
    <row r="2309" spans="1:8" hidden="1">
      <c r="A2309" s="71"/>
      <c r="B2309" s="69" t="s">
        <v>2609</v>
      </c>
      <c r="C2309" s="70" t="s">
        <v>1747</v>
      </c>
      <c r="D2309" s="70" t="s">
        <v>2614</v>
      </c>
      <c r="E2309" s="70"/>
      <c r="F2309" s="70"/>
      <c r="G2309" s="70" t="str">
        <f>IFERROR(VLOOKUP(A2309,[1]wms_iv_f!$A$1:$E$136,4,FALSE),"")</f>
        <v/>
      </c>
      <c r="H2309" s="95" t="str">
        <f>IFERROR(VLOOKUP(A2309,[2]wms_lc_f!$A$1:$B$156,2,FALSE),"")</f>
        <v/>
      </c>
    </row>
    <row r="2310" spans="1:8" hidden="1">
      <c r="A2310" s="71"/>
      <c r="B2310" s="69" t="s">
        <v>2609</v>
      </c>
      <c r="C2310" s="70" t="s">
        <v>1801</v>
      </c>
      <c r="D2310" s="70" t="s">
        <v>2614</v>
      </c>
      <c r="E2310" s="70"/>
      <c r="F2310" s="70"/>
      <c r="G2310" s="70" t="str">
        <f>IFERROR(VLOOKUP(A2310,[1]wms_iv_f!$A$1:$E$136,4,FALSE),"")</f>
        <v/>
      </c>
      <c r="H2310" s="95" t="str">
        <f>IFERROR(VLOOKUP(A2310,[2]wms_lc_f!$A$1:$B$156,2,FALSE),"")</f>
        <v/>
      </c>
    </row>
    <row r="2311" spans="1:8" hidden="1">
      <c r="A2311" s="71"/>
      <c r="B2311" s="69" t="s">
        <v>2609</v>
      </c>
      <c r="C2311" s="70" t="s">
        <v>1846</v>
      </c>
      <c r="D2311" s="70" t="s">
        <v>2614</v>
      </c>
      <c r="E2311" s="70"/>
      <c r="F2311" s="70"/>
      <c r="G2311" s="70" t="str">
        <f>IFERROR(VLOOKUP(A2311,[1]wms_iv_f!$A$1:$E$136,4,FALSE),"")</f>
        <v/>
      </c>
      <c r="H2311" s="95" t="str">
        <f>IFERROR(VLOOKUP(A2311,[2]wms_lc_f!$A$1:$B$156,2,FALSE),"")</f>
        <v/>
      </c>
    </row>
    <row r="2312" spans="1:8" hidden="1">
      <c r="A2312" s="71"/>
      <c r="B2312" s="69" t="s">
        <v>2609</v>
      </c>
      <c r="C2312" s="70" t="s">
        <v>1858</v>
      </c>
      <c r="D2312" s="70" t="s">
        <v>2614</v>
      </c>
      <c r="E2312" s="70"/>
      <c r="F2312" s="70"/>
      <c r="G2312" s="70" t="str">
        <f>IFERROR(VLOOKUP(A2312,[1]wms_iv_f!$A$1:$E$136,4,FALSE),"")</f>
        <v/>
      </c>
      <c r="H2312" s="95" t="str">
        <f>IFERROR(VLOOKUP(A2312,[2]wms_lc_f!$A$1:$B$156,2,FALSE),"")</f>
        <v/>
      </c>
    </row>
    <row r="2313" spans="1:8" hidden="1">
      <c r="A2313" s="71"/>
      <c r="B2313" s="69" t="s">
        <v>2609</v>
      </c>
      <c r="C2313" s="70" t="s">
        <v>1912</v>
      </c>
      <c r="D2313" s="70" t="s">
        <v>2614</v>
      </c>
      <c r="E2313" s="70"/>
      <c r="F2313" s="70"/>
      <c r="G2313" s="70" t="str">
        <f>IFERROR(VLOOKUP(A2313,[1]wms_iv_f!$A$1:$E$136,4,FALSE),"")</f>
        <v/>
      </c>
      <c r="H2313" s="95" t="str">
        <f>IFERROR(VLOOKUP(A2313,[2]wms_lc_f!$A$1:$B$156,2,FALSE),"")</f>
        <v/>
      </c>
    </row>
    <row r="2314" spans="1:8" hidden="1">
      <c r="A2314" s="71"/>
      <c r="B2314" s="69" t="s">
        <v>2609</v>
      </c>
      <c r="C2314" s="70" t="s">
        <v>1633</v>
      </c>
      <c r="D2314" s="70" t="s">
        <v>2614</v>
      </c>
      <c r="E2314" s="70"/>
      <c r="F2314" s="70"/>
      <c r="G2314" s="70" t="str">
        <f>IFERROR(VLOOKUP(A2314,[1]wms_iv_f!$A$1:$E$136,4,FALSE),"")</f>
        <v/>
      </c>
      <c r="H2314" s="95" t="str">
        <f>IFERROR(VLOOKUP(A2314,[2]wms_lc_f!$A$1:$B$156,2,FALSE),"")</f>
        <v/>
      </c>
    </row>
    <row r="2315" spans="1:8" hidden="1">
      <c r="A2315" s="71"/>
      <c r="B2315" s="69" t="s">
        <v>2609</v>
      </c>
      <c r="C2315" s="70" t="s">
        <v>1641</v>
      </c>
      <c r="D2315" s="70" t="s">
        <v>2614</v>
      </c>
      <c r="E2315" s="70"/>
      <c r="F2315" s="70"/>
      <c r="G2315" s="70" t="str">
        <f>IFERROR(VLOOKUP(A2315,[1]wms_iv_f!$A$1:$E$136,4,FALSE),"")</f>
        <v/>
      </c>
      <c r="H2315" s="95" t="str">
        <f>IFERROR(VLOOKUP(A2315,[2]wms_lc_f!$A$1:$B$156,2,FALSE),"")</f>
        <v/>
      </c>
    </row>
    <row r="2316" spans="1:8" hidden="1">
      <c r="A2316" s="71"/>
      <c r="B2316" s="69" t="s">
        <v>2609</v>
      </c>
      <c r="C2316" s="70" t="s">
        <v>1691</v>
      </c>
      <c r="D2316" s="70" t="s">
        <v>2614</v>
      </c>
      <c r="E2316" s="70"/>
      <c r="F2316" s="70"/>
      <c r="G2316" s="70" t="str">
        <f>IFERROR(VLOOKUP(A2316,[1]wms_iv_f!$A$1:$E$136,4,FALSE),"")</f>
        <v/>
      </c>
      <c r="H2316" s="95" t="str">
        <f>IFERROR(VLOOKUP(A2316,[2]wms_lc_f!$A$1:$B$156,2,FALSE),"")</f>
        <v/>
      </c>
    </row>
    <row r="2317" spans="1:8" hidden="1">
      <c r="A2317" s="71"/>
      <c r="B2317" s="69" t="s">
        <v>2609</v>
      </c>
      <c r="C2317" s="70" t="s">
        <v>1736</v>
      </c>
      <c r="D2317" s="70" t="s">
        <v>2614</v>
      </c>
      <c r="E2317" s="70"/>
      <c r="F2317" s="70"/>
      <c r="G2317" s="70" t="str">
        <f>IFERROR(VLOOKUP(A2317,[1]wms_iv_f!$A$1:$E$136,4,FALSE),"")</f>
        <v/>
      </c>
      <c r="H2317" s="95" t="str">
        <f>IFERROR(VLOOKUP(A2317,[2]wms_lc_f!$A$1:$B$156,2,FALSE),"")</f>
        <v/>
      </c>
    </row>
    <row r="2318" spans="1:8" hidden="1">
      <c r="A2318" s="71"/>
      <c r="B2318" s="69" t="s">
        <v>2609</v>
      </c>
      <c r="C2318" s="70" t="s">
        <v>1748</v>
      </c>
      <c r="D2318" s="70" t="s">
        <v>2614</v>
      </c>
      <c r="E2318" s="70"/>
      <c r="F2318" s="70"/>
      <c r="G2318" s="70" t="str">
        <f>IFERROR(VLOOKUP(A2318,[1]wms_iv_f!$A$1:$E$136,4,FALSE),"")</f>
        <v/>
      </c>
      <c r="H2318" s="95" t="str">
        <f>IFERROR(VLOOKUP(A2318,[2]wms_lc_f!$A$1:$B$156,2,FALSE),"")</f>
        <v/>
      </c>
    </row>
    <row r="2319" spans="1:8" hidden="1">
      <c r="A2319" s="71"/>
      <c r="B2319" s="69" t="s">
        <v>2609</v>
      </c>
      <c r="C2319" s="70" t="s">
        <v>1802</v>
      </c>
      <c r="D2319" s="70" t="s">
        <v>2614</v>
      </c>
      <c r="E2319" s="70"/>
      <c r="F2319" s="70"/>
      <c r="G2319" s="70" t="str">
        <f>IFERROR(VLOOKUP(A2319,[1]wms_iv_f!$A$1:$E$136,4,FALSE),"")</f>
        <v/>
      </c>
      <c r="H2319" s="95" t="str">
        <f>IFERROR(VLOOKUP(A2319,[2]wms_lc_f!$A$1:$B$156,2,FALSE),"")</f>
        <v/>
      </c>
    </row>
    <row r="2320" spans="1:8" hidden="1">
      <c r="A2320" s="73"/>
      <c r="B2320" s="69" t="s">
        <v>2609</v>
      </c>
      <c r="C2320" s="74" t="s">
        <v>1847</v>
      </c>
      <c r="D2320" s="74" t="s">
        <v>2614</v>
      </c>
      <c r="E2320" s="70"/>
      <c r="F2320" s="70"/>
      <c r="G2320" s="70" t="str">
        <f>IFERROR(VLOOKUP(A2320,[1]wms_iv_f!$A$1:$E$136,4,FALSE),"")</f>
        <v/>
      </c>
      <c r="H2320" s="95" t="str">
        <f>IFERROR(VLOOKUP(A2320,[2]wms_lc_f!$A$1:$B$156,2,FALSE),"")</f>
        <v/>
      </c>
    </row>
    <row r="2321" spans="1:8" hidden="1">
      <c r="A2321" s="69"/>
      <c r="B2321" s="69" t="s">
        <v>2609</v>
      </c>
      <c r="C2321" s="70" t="s">
        <v>1859</v>
      </c>
      <c r="D2321" s="70" t="s">
        <v>2614</v>
      </c>
      <c r="E2321" s="70"/>
      <c r="F2321" s="70"/>
      <c r="G2321" s="70" t="str">
        <f>IFERROR(VLOOKUP(A2321,[1]wms_iv_f!$A$1:$E$136,4,FALSE),"")</f>
        <v/>
      </c>
      <c r="H2321" s="95" t="str">
        <f>IFERROR(VLOOKUP(A2321,[2]wms_lc_f!$A$1:$B$156,2,FALSE),"")</f>
        <v/>
      </c>
    </row>
    <row r="2322" spans="1:8" hidden="1">
      <c r="A2322" s="69"/>
      <c r="B2322" s="69" t="s">
        <v>2609</v>
      </c>
      <c r="C2322" s="70" t="s">
        <v>1913</v>
      </c>
      <c r="D2322" s="70" t="s">
        <v>2614</v>
      </c>
      <c r="E2322" s="70"/>
      <c r="F2322" s="70"/>
      <c r="G2322" s="70" t="str">
        <f>IFERROR(VLOOKUP(A2322,[1]wms_iv_f!$A$1:$E$136,4,FALSE),"")</f>
        <v/>
      </c>
      <c r="H2322" s="95" t="str">
        <f>IFERROR(VLOOKUP(A2322,[2]wms_lc_f!$A$1:$B$156,2,FALSE),"")</f>
        <v/>
      </c>
    </row>
    <row r="2323" spans="1:8" hidden="1">
      <c r="A2323" s="69" t="str">
        <f>IFERROR(VLOOKUP(C2323,[3]wms_iv_f!$A$1:$D$135,2,FALSE),"")</f>
        <v/>
      </c>
      <c r="B2323" s="69" t="s">
        <v>2609</v>
      </c>
      <c r="C2323" s="70" t="s">
        <v>1692</v>
      </c>
      <c r="D2323" s="70" t="s">
        <v>2614</v>
      </c>
      <c r="E2323" s="70"/>
      <c r="F2323" s="70"/>
      <c r="G2323" s="70" t="str">
        <f>IFERROR(VLOOKUP(A2323,[1]wms_iv_f!$A$1:$E$136,4,FALSE),"")</f>
        <v/>
      </c>
      <c r="H2323" s="95" t="str">
        <f>IFERROR(VLOOKUP(A2323,[2]wms_lc_f!$A$1:$B$156,2,FALSE),"")</f>
        <v/>
      </c>
    </row>
    <row r="2324" spans="1:8" hidden="1">
      <c r="A2324" s="69" t="str">
        <f>IFERROR(VLOOKUP(C2324,[3]wms_iv_f!$A$1:$D$135,2,FALSE),"")</f>
        <v/>
      </c>
      <c r="B2324" s="69" t="s">
        <v>2609</v>
      </c>
      <c r="C2324" s="70" t="s">
        <v>1737</v>
      </c>
      <c r="D2324" s="70" t="s">
        <v>2614</v>
      </c>
      <c r="E2324" s="70"/>
      <c r="F2324" s="70"/>
      <c r="G2324" s="70" t="str">
        <f>IFERROR(VLOOKUP(A2324,[1]wms_iv_f!$A$1:$E$136,4,FALSE),"")</f>
        <v/>
      </c>
      <c r="H2324" s="95" t="str">
        <f>IFERROR(VLOOKUP(A2324,[2]wms_lc_f!$A$1:$B$156,2,FALSE),"")</f>
        <v/>
      </c>
    </row>
    <row r="2325" spans="1:8" hidden="1">
      <c r="A2325" s="69" t="str">
        <f>IFERROR(VLOOKUP(C2325,[3]wms_iv_f!$A$1:$D$135,2,FALSE),"")</f>
        <v/>
      </c>
      <c r="B2325" s="69" t="s">
        <v>2609</v>
      </c>
      <c r="C2325" s="70" t="s">
        <v>1749</v>
      </c>
      <c r="D2325" s="70" t="s">
        <v>2614</v>
      </c>
      <c r="E2325" s="70"/>
      <c r="F2325" s="70"/>
      <c r="G2325" s="70" t="str">
        <f>IFERROR(VLOOKUP(A2325,[1]wms_iv_f!$A$1:$E$136,4,FALSE),"")</f>
        <v/>
      </c>
      <c r="H2325" s="95" t="str">
        <f>IFERROR(VLOOKUP(A2325,[2]wms_lc_f!$A$1:$B$156,2,FALSE),"")</f>
        <v/>
      </c>
    </row>
    <row r="2326" spans="1:8" hidden="1">
      <c r="A2326" s="69" t="str">
        <f>IFERROR(VLOOKUP(C2326,[3]wms_iv_f!$A$1:$D$135,2,FALSE),"")</f>
        <v/>
      </c>
      <c r="B2326" s="69" t="s">
        <v>2609</v>
      </c>
      <c r="C2326" s="70" t="s">
        <v>1803</v>
      </c>
      <c r="D2326" s="70" t="s">
        <v>2614</v>
      </c>
      <c r="E2326" s="70"/>
      <c r="F2326" s="70"/>
      <c r="G2326" s="70" t="str">
        <f>IFERROR(VLOOKUP(A2326,[1]wms_iv_f!$A$1:$E$136,4,FALSE),"")</f>
        <v/>
      </c>
      <c r="H2326" s="95" t="str">
        <f>IFERROR(VLOOKUP(A2326,[2]wms_lc_f!$A$1:$B$156,2,FALSE),"")</f>
        <v/>
      </c>
    </row>
    <row r="2327" spans="1:8" hidden="1">
      <c r="A2327" s="69" t="str">
        <f>IFERROR(VLOOKUP(C2327,[3]wms_iv_f!$A$1:$D$135,2,FALSE),"")</f>
        <v/>
      </c>
      <c r="B2327" s="69" t="s">
        <v>2609</v>
      </c>
      <c r="C2327" s="70" t="s">
        <v>1848</v>
      </c>
      <c r="D2327" s="70" t="s">
        <v>2614</v>
      </c>
      <c r="E2327" s="70"/>
      <c r="F2327" s="70"/>
      <c r="G2327" s="70" t="str">
        <f>IFERROR(VLOOKUP(A2327,[1]wms_iv_f!$A$1:$E$136,4,FALSE),"")</f>
        <v/>
      </c>
      <c r="H2327" s="95" t="str">
        <f>IFERROR(VLOOKUP(A2327,[2]wms_lc_f!$A$1:$B$156,2,FALSE),"")</f>
        <v/>
      </c>
    </row>
    <row r="2328" spans="1:8" hidden="1">
      <c r="A2328" s="69" t="str">
        <f>IFERROR(VLOOKUP(C2328,[3]wms_iv_f!$A$1:$D$135,2,FALSE),"")</f>
        <v/>
      </c>
      <c r="B2328" s="69" t="s">
        <v>2609</v>
      </c>
      <c r="C2328" s="70" t="s">
        <v>1860</v>
      </c>
      <c r="D2328" s="70" t="s">
        <v>2614</v>
      </c>
      <c r="E2328" s="70"/>
      <c r="F2328" s="70"/>
      <c r="G2328" s="70" t="str">
        <f>IFERROR(VLOOKUP(A2328,[1]wms_iv_f!$A$1:$E$136,4,FALSE),"")</f>
        <v/>
      </c>
      <c r="H2328" s="95" t="str">
        <f>IFERROR(VLOOKUP(A2328,[2]wms_lc_f!$A$1:$B$156,2,FALSE),"")</f>
        <v/>
      </c>
    </row>
    <row r="2329" spans="1:8" hidden="1">
      <c r="A2329" s="69" t="str">
        <f>IFERROR(VLOOKUP(C2329,[3]wms_iv_f!$A$1:$D$135,2,FALSE),"")</f>
        <v/>
      </c>
      <c r="B2329" s="69" t="s">
        <v>2609</v>
      </c>
      <c r="C2329" s="70" t="s">
        <v>1914</v>
      </c>
      <c r="D2329" s="70" t="s">
        <v>2614</v>
      </c>
      <c r="E2329" s="70"/>
      <c r="F2329" s="70"/>
      <c r="G2329" s="70" t="str">
        <f>IFERROR(VLOOKUP(A2329,[1]wms_iv_f!$A$1:$E$136,4,FALSE),"")</f>
        <v/>
      </c>
      <c r="H2329" s="95" t="str">
        <f>IFERROR(VLOOKUP(A2329,[2]wms_lc_f!$A$1:$B$156,2,FALSE),"")</f>
        <v/>
      </c>
    </row>
    <row r="2330" spans="1:8" hidden="1">
      <c r="A2330" s="69" t="str">
        <f>IFERROR(VLOOKUP(C2330,[3]wms_iv_f!$A$1:$D$135,2,FALSE),"")</f>
        <v/>
      </c>
      <c r="B2330" s="69" t="s">
        <v>2609</v>
      </c>
      <c r="C2330" s="70" t="s">
        <v>1693</v>
      </c>
      <c r="D2330" s="70" t="s">
        <v>2614</v>
      </c>
      <c r="E2330" s="70"/>
      <c r="F2330" s="70"/>
      <c r="G2330" s="70" t="str">
        <f>IFERROR(VLOOKUP(A2330,[1]wms_iv_f!$A$1:$E$136,4,FALSE),"")</f>
        <v/>
      </c>
      <c r="H2330" s="95" t="str">
        <f>IFERROR(VLOOKUP(A2330,[2]wms_lc_f!$A$1:$B$156,2,FALSE),"")</f>
        <v/>
      </c>
    </row>
    <row r="2331" spans="1:8" hidden="1">
      <c r="A2331" s="69" t="str">
        <f>IFERROR(VLOOKUP(C2331,[3]wms_iv_f!$A$1:$D$135,2,FALSE),"")</f>
        <v/>
      </c>
      <c r="B2331" s="69" t="s">
        <v>2609</v>
      </c>
      <c r="C2331" s="70" t="s">
        <v>1738</v>
      </c>
      <c r="D2331" s="70" t="s">
        <v>2614</v>
      </c>
      <c r="E2331" s="70"/>
      <c r="F2331" s="70"/>
      <c r="G2331" s="70" t="str">
        <f>IFERROR(VLOOKUP(A2331,[1]wms_iv_f!$A$1:$E$136,4,FALSE),"")</f>
        <v/>
      </c>
      <c r="H2331" s="95" t="str">
        <f>IFERROR(VLOOKUP(A2331,[2]wms_lc_f!$A$1:$B$156,2,FALSE),"")</f>
        <v/>
      </c>
    </row>
    <row r="2332" spans="1:8" hidden="1">
      <c r="A2332" s="69" t="str">
        <f>IFERROR(VLOOKUP(C2332,[3]wms_iv_f!$A$1:$D$135,2,FALSE),"")</f>
        <v/>
      </c>
      <c r="B2332" s="69" t="s">
        <v>2609</v>
      </c>
      <c r="C2332" s="70" t="s">
        <v>1750</v>
      </c>
      <c r="D2332" s="70" t="s">
        <v>2614</v>
      </c>
      <c r="E2332" s="70"/>
      <c r="F2332" s="70"/>
      <c r="G2332" s="70" t="str">
        <f>IFERROR(VLOOKUP(A2332,[1]wms_iv_f!$A$1:$E$136,4,FALSE),"")</f>
        <v/>
      </c>
      <c r="H2332" s="95" t="str">
        <f>IFERROR(VLOOKUP(A2332,[2]wms_lc_f!$A$1:$B$156,2,FALSE),"")</f>
        <v/>
      </c>
    </row>
    <row r="2333" spans="1:8" hidden="1">
      <c r="A2333" s="69" t="str">
        <f>IFERROR(VLOOKUP(C2333,[3]wms_iv_f!$A$1:$D$135,2,FALSE),"")</f>
        <v/>
      </c>
      <c r="B2333" s="69" t="s">
        <v>2609</v>
      </c>
      <c r="C2333" s="70" t="s">
        <v>1804</v>
      </c>
      <c r="D2333" s="70" t="s">
        <v>2614</v>
      </c>
      <c r="E2333" s="70"/>
      <c r="F2333" s="70"/>
      <c r="G2333" s="70" t="str">
        <f>IFERROR(VLOOKUP(A2333,[1]wms_iv_f!$A$1:$E$136,4,FALSE),"")</f>
        <v/>
      </c>
      <c r="H2333" s="95" t="str">
        <f>IFERROR(VLOOKUP(A2333,[2]wms_lc_f!$A$1:$B$156,2,FALSE),"")</f>
        <v/>
      </c>
    </row>
    <row r="2334" spans="1:8" hidden="1">
      <c r="A2334" s="69" t="str">
        <f>IFERROR(VLOOKUP(C2334,[3]wms_iv_f!$A$1:$D$135,2,FALSE),"")</f>
        <v/>
      </c>
      <c r="B2334" s="69" t="s">
        <v>2609</v>
      </c>
      <c r="C2334" s="70" t="s">
        <v>1849</v>
      </c>
      <c r="D2334" s="70" t="s">
        <v>2614</v>
      </c>
      <c r="E2334" s="70"/>
      <c r="F2334" s="70"/>
      <c r="G2334" s="70" t="str">
        <f>IFERROR(VLOOKUP(A2334,[1]wms_iv_f!$A$1:$E$136,4,FALSE),"")</f>
        <v/>
      </c>
      <c r="H2334" s="95" t="str">
        <f>IFERROR(VLOOKUP(A2334,[2]wms_lc_f!$A$1:$B$156,2,FALSE),"")</f>
        <v/>
      </c>
    </row>
    <row r="2335" spans="1:8" hidden="1">
      <c r="A2335" s="69" t="str">
        <f>IFERROR(VLOOKUP(C2335,[3]wms_iv_f!$A$1:$D$135,2,FALSE),"")</f>
        <v/>
      </c>
      <c r="B2335" s="69" t="s">
        <v>2609</v>
      </c>
      <c r="C2335" s="70" t="s">
        <v>1861</v>
      </c>
      <c r="D2335" s="70" t="s">
        <v>2614</v>
      </c>
      <c r="E2335" s="70"/>
      <c r="F2335" s="70"/>
      <c r="G2335" s="70" t="str">
        <f>IFERROR(VLOOKUP(A2335,[1]wms_iv_f!$A$1:$E$136,4,FALSE),"")</f>
        <v/>
      </c>
      <c r="H2335" s="95" t="str">
        <f>IFERROR(VLOOKUP(A2335,[2]wms_lc_f!$A$1:$B$156,2,FALSE),"")</f>
        <v/>
      </c>
    </row>
    <row r="2336" spans="1:8" hidden="1">
      <c r="A2336" s="69" t="str">
        <f>IFERROR(VLOOKUP(C2336,[3]wms_iv_f!$A$1:$D$135,2,FALSE),"")</f>
        <v/>
      </c>
      <c r="B2336" s="69" t="s">
        <v>2609</v>
      </c>
      <c r="C2336" s="70" t="s">
        <v>1915</v>
      </c>
      <c r="D2336" s="70" t="s">
        <v>2614</v>
      </c>
      <c r="E2336" s="70"/>
      <c r="F2336" s="70"/>
      <c r="G2336" s="70" t="str">
        <f>IFERROR(VLOOKUP(A2336,[1]wms_iv_f!$A$1:$E$136,4,FALSE),"")</f>
        <v/>
      </c>
      <c r="H2336" s="95" t="str">
        <f>IFERROR(VLOOKUP(A2336,[2]wms_lc_f!$A$1:$B$156,2,FALSE),"")</f>
        <v/>
      </c>
    </row>
    <row r="2337" spans="1:8" hidden="1">
      <c r="A2337" s="69" t="str">
        <f>IFERROR(VLOOKUP(C2337,[3]wms_iv_f!$A$1:$D$135,2,FALSE),"")</f>
        <v/>
      </c>
      <c r="B2337" s="69" t="s">
        <v>2609</v>
      </c>
      <c r="C2337" s="70" t="s">
        <v>1634</v>
      </c>
      <c r="D2337" s="70" t="s">
        <v>2614</v>
      </c>
      <c r="E2337" s="70"/>
      <c r="F2337" s="70"/>
      <c r="G2337" s="70" t="str">
        <f>IFERROR(VLOOKUP(A2337,[1]wms_iv_f!$A$1:$E$136,4,FALSE),"")</f>
        <v/>
      </c>
      <c r="H2337" s="95" t="str">
        <f>IFERROR(VLOOKUP(A2337,[2]wms_lc_f!$A$1:$B$156,2,FALSE),"")</f>
        <v/>
      </c>
    </row>
    <row r="2338" spans="1:8" hidden="1">
      <c r="A2338" s="69" t="str">
        <f>IFERROR(VLOOKUP(C2338,[3]wms_iv_f!$A$1:$D$135,2,FALSE),"")</f>
        <v/>
      </c>
      <c r="B2338" s="69" t="s">
        <v>2609</v>
      </c>
      <c r="C2338" s="70" t="s">
        <v>1642</v>
      </c>
      <c r="D2338" s="70" t="s">
        <v>2614</v>
      </c>
      <c r="E2338" s="70"/>
      <c r="F2338" s="70"/>
      <c r="G2338" s="70" t="str">
        <f>IFERROR(VLOOKUP(A2338,[1]wms_iv_f!$A$1:$E$136,4,FALSE),"")</f>
        <v/>
      </c>
      <c r="H2338" s="95" t="str">
        <f>IFERROR(VLOOKUP(A2338,[2]wms_lc_f!$A$1:$B$156,2,FALSE),"")</f>
        <v/>
      </c>
    </row>
    <row r="2339" spans="1:8" hidden="1">
      <c r="A2339" s="69" t="str">
        <f>IFERROR(VLOOKUP(C2339,[3]wms_iv_f!$A$1:$D$135,2,FALSE),"")</f>
        <v/>
      </c>
      <c r="B2339" s="69" t="s">
        <v>2609</v>
      </c>
      <c r="C2339" s="70" t="s">
        <v>1694</v>
      </c>
      <c r="D2339" s="70" t="s">
        <v>2614</v>
      </c>
      <c r="E2339" s="70"/>
      <c r="F2339" s="70"/>
      <c r="G2339" s="70" t="str">
        <f>IFERROR(VLOOKUP(A2339,[1]wms_iv_f!$A$1:$E$136,4,FALSE),"")</f>
        <v/>
      </c>
      <c r="H2339" s="95" t="str">
        <f>IFERROR(VLOOKUP(A2339,[2]wms_lc_f!$A$1:$B$156,2,FALSE),"")</f>
        <v/>
      </c>
    </row>
    <row r="2340" spans="1:8" hidden="1">
      <c r="A2340" s="69" t="str">
        <f>IFERROR(VLOOKUP(C2340,[3]wms_iv_f!$A$1:$D$135,2,FALSE),"")</f>
        <v/>
      </c>
      <c r="B2340" s="69" t="s">
        <v>2609</v>
      </c>
      <c r="C2340" s="70" t="s">
        <v>1739</v>
      </c>
      <c r="D2340" s="70" t="s">
        <v>2614</v>
      </c>
      <c r="E2340" s="70"/>
      <c r="F2340" s="70"/>
      <c r="G2340" s="70" t="str">
        <f>IFERROR(VLOOKUP(A2340,[1]wms_iv_f!$A$1:$E$136,4,FALSE),"")</f>
        <v/>
      </c>
      <c r="H2340" s="95" t="str">
        <f>IFERROR(VLOOKUP(A2340,[2]wms_lc_f!$A$1:$B$156,2,FALSE),"")</f>
        <v/>
      </c>
    </row>
    <row r="2341" spans="1:8" hidden="1">
      <c r="A2341" s="69" t="str">
        <f>IFERROR(VLOOKUP(C2341,[3]wms_iv_f!$A$1:$D$135,2,FALSE),"")</f>
        <v/>
      </c>
      <c r="B2341" s="69" t="s">
        <v>2609</v>
      </c>
      <c r="C2341" s="70" t="s">
        <v>1751</v>
      </c>
      <c r="D2341" s="70" t="s">
        <v>2614</v>
      </c>
      <c r="E2341" s="70"/>
      <c r="F2341" s="70"/>
      <c r="G2341" s="70" t="str">
        <f>IFERROR(VLOOKUP(A2341,[1]wms_iv_f!$A$1:$E$136,4,FALSE),"")</f>
        <v/>
      </c>
      <c r="H2341" s="95" t="str">
        <f>IFERROR(VLOOKUP(A2341,[2]wms_lc_f!$A$1:$B$156,2,FALSE),"")</f>
        <v/>
      </c>
    </row>
    <row r="2342" spans="1:8" hidden="1">
      <c r="A2342" s="69" t="str">
        <f>IFERROR(VLOOKUP(C2342,[3]wms_iv_f!$A$1:$D$135,2,FALSE),"")</f>
        <v/>
      </c>
      <c r="B2342" s="69" t="s">
        <v>2609</v>
      </c>
      <c r="C2342" s="70" t="s">
        <v>1805</v>
      </c>
      <c r="D2342" s="70" t="s">
        <v>2614</v>
      </c>
      <c r="E2342" s="70"/>
      <c r="F2342" s="70"/>
      <c r="G2342" s="70" t="str">
        <f>IFERROR(VLOOKUP(A2342,[1]wms_iv_f!$A$1:$E$136,4,FALSE),"")</f>
        <v/>
      </c>
      <c r="H2342" s="95" t="str">
        <f>IFERROR(VLOOKUP(A2342,[2]wms_lc_f!$A$1:$B$156,2,FALSE),"")</f>
        <v/>
      </c>
    </row>
    <row r="2343" spans="1:8" hidden="1">
      <c r="A2343" s="69" t="str">
        <f>IFERROR(VLOOKUP(C2343,[3]wms_iv_f!$A$1:$D$135,2,FALSE),"")</f>
        <v/>
      </c>
      <c r="B2343" s="69" t="s">
        <v>2609</v>
      </c>
      <c r="C2343" s="70" t="s">
        <v>1850</v>
      </c>
      <c r="D2343" s="70" t="s">
        <v>2614</v>
      </c>
      <c r="E2343" s="70"/>
      <c r="F2343" s="70"/>
      <c r="G2343" s="70" t="str">
        <f>IFERROR(VLOOKUP(A2343,[1]wms_iv_f!$A$1:$E$136,4,FALSE),"")</f>
        <v/>
      </c>
      <c r="H2343" s="95" t="str">
        <f>IFERROR(VLOOKUP(A2343,[2]wms_lc_f!$A$1:$B$156,2,FALSE),"")</f>
        <v/>
      </c>
    </row>
    <row r="2344" spans="1:8" hidden="1">
      <c r="A2344" s="69" t="str">
        <f>IFERROR(VLOOKUP(C2344,[3]wms_iv_f!$A$1:$D$135,2,FALSE),"")</f>
        <v/>
      </c>
      <c r="B2344" s="69" t="s">
        <v>2609</v>
      </c>
      <c r="C2344" s="70" t="s">
        <v>1862</v>
      </c>
      <c r="D2344" s="70" t="s">
        <v>2614</v>
      </c>
      <c r="E2344" s="70"/>
      <c r="F2344" s="70"/>
      <c r="G2344" s="70" t="str">
        <f>IFERROR(VLOOKUP(A2344,[1]wms_iv_f!$A$1:$E$136,4,FALSE),"")</f>
        <v/>
      </c>
      <c r="H2344" s="95" t="str">
        <f>IFERROR(VLOOKUP(A2344,[2]wms_lc_f!$A$1:$B$156,2,FALSE),"")</f>
        <v/>
      </c>
    </row>
    <row r="2345" spans="1:8" hidden="1">
      <c r="A2345" s="69" t="str">
        <f>IFERROR(VLOOKUP(C2345,[3]wms_iv_f!$A$1:$D$135,2,FALSE),"")</f>
        <v/>
      </c>
      <c r="B2345" s="69" t="s">
        <v>2609</v>
      </c>
      <c r="C2345" s="70" t="s">
        <v>1916</v>
      </c>
      <c r="D2345" s="70" t="s">
        <v>2614</v>
      </c>
      <c r="E2345" s="70"/>
      <c r="F2345" s="70"/>
      <c r="G2345" s="70" t="str">
        <f>IFERROR(VLOOKUP(A2345,[1]wms_iv_f!$A$1:$E$136,4,FALSE),"")</f>
        <v/>
      </c>
      <c r="H2345" s="95" t="str">
        <f>IFERROR(VLOOKUP(A2345,[2]wms_lc_f!$A$1:$B$156,2,FALSE),"")</f>
        <v/>
      </c>
    </row>
    <row r="2346" spans="1:8" hidden="1">
      <c r="A2346" s="69" t="str">
        <f>IFERROR(VLOOKUP(C2346,[3]wms_iv_f!$A$1:$D$135,2,FALSE),"")</f>
        <v/>
      </c>
      <c r="B2346" s="69" t="s">
        <v>2609</v>
      </c>
      <c r="C2346" s="70" t="s">
        <v>1635</v>
      </c>
      <c r="D2346" s="70" t="s">
        <v>2614</v>
      </c>
      <c r="E2346" s="70"/>
      <c r="F2346" s="70"/>
      <c r="G2346" s="70" t="str">
        <f>IFERROR(VLOOKUP(A2346,[1]wms_iv_f!$A$1:$E$136,4,FALSE),"")</f>
        <v/>
      </c>
      <c r="H2346" s="95" t="str">
        <f>IFERROR(VLOOKUP(A2346,[2]wms_lc_f!$A$1:$B$156,2,FALSE),"")</f>
        <v/>
      </c>
    </row>
    <row r="2347" spans="1:8" hidden="1">
      <c r="A2347" s="69" t="str">
        <f>IFERROR(VLOOKUP(C2347,[3]wms_iv_f!$A$1:$D$135,2,FALSE),"")</f>
        <v/>
      </c>
      <c r="B2347" s="69" t="s">
        <v>2609</v>
      </c>
      <c r="C2347" s="70" t="s">
        <v>1643</v>
      </c>
      <c r="D2347" s="70" t="s">
        <v>2614</v>
      </c>
      <c r="E2347" s="70"/>
      <c r="F2347" s="70"/>
      <c r="G2347" s="70" t="str">
        <f>IFERROR(VLOOKUP(A2347,[1]wms_iv_f!$A$1:$E$136,4,FALSE),"")</f>
        <v/>
      </c>
      <c r="H2347" s="95" t="str">
        <f>IFERROR(VLOOKUP(A2347,[2]wms_lc_f!$A$1:$B$156,2,FALSE),"")</f>
        <v/>
      </c>
    </row>
    <row r="2348" spans="1:8" hidden="1">
      <c r="A2348" s="69" t="str">
        <f>IFERROR(VLOOKUP(C2348,[3]wms_iv_f!$A$1:$D$135,2,FALSE),"")</f>
        <v/>
      </c>
      <c r="B2348" s="69" t="s">
        <v>2609</v>
      </c>
      <c r="C2348" s="70" t="s">
        <v>1695</v>
      </c>
      <c r="D2348" s="70" t="s">
        <v>2614</v>
      </c>
      <c r="E2348" s="70"/>
      <c r="F2348" s="70"/>
      <c r="G2348" s="70" t="str">
        <f>IFERROR(VLOOKUP(A2348,[1]wms_iv_f!$A$1:$E$136,4,FALSE),"")</f>
        <v/>
      </c>
      <c r="H2348" s="95" t="str">
        <f>IFERROR(VLOOKUP(A2348,[2]wms_lc_f!$A$1:$B$156,2,FALSE),"")</f>
        <v/>
      </c>
    </row>
    <row r="2349" spans="1:8" hidden="1">
      <c r="A2349" s="69" t="str">
        <f>IFERROR(VLOOKUP(C2349,[3]wms_iv_f!$A$1:$D$135,2,FALSE),"")</f>
        <v/>
      </c>
      <c r="B2349" s="69" t="s">
        <v>2609</v>
      </c>
      <c r="C2349" s="70" t="s">
        <v>1740</v>
      </c>
      <c r="D2349" s="70" t="s">
        <v>2614</v>
      </c>
      <c r="E2349" s="70"/>
      <c r="F2349" s="70"/>
      <c r="G2349" s="70" t="str">
        <f>IFERROR(VLOOKUP(A2349,[1]wms_iv_f!$A$1:$E$136,4,FALSE),"")</f>
        <v/>
      </c>
      <c r="H2349" s="95" t="str">
        <f>IFERROR(VLOOKUP(A2349,[2]wms_lc_f!$A$1:$B$156,2,FALSE),"")</f>
        <v/>
      </c>
    </row>
    <row r="2350" spans="1:8" hidden="1">
      <c r="A2350" s="69" t="str">
        <f>IFERROR(VLOOKUP(C2350,[3]wms_iv_f!$A$1:$D$135,2,FALSE),"")</f>
        <v/>
      </c>
      <c r="B2350" s="69" t="s">
        <v>2609</v>
      </c>
      <c r="C2350" s="70" t="s">
        <v>1752</v>
      </c>
      <c r="D2350" s="70" t="s">
        <v>2614</v>
      </c>
      <c r="E2350" s="70"/>
      <c r="F2350" s="70"/>
      <c r="G2350" s="70" t="str">
        <f>IFERROR(VLOOKUP(A2350,[1]wms_iv_f!$A$1:$E$136,4,FALSE),"")</f>
        <v/>
      </c>
      <c r="H2350" s="95" t="str">
        <f>IFERROR(VLOOKUP(A2350,[2]wms_lc_f!$A$1:$B$156,2,FALSE),"")</f>
        <v/>
      </c>
    </row>
    <row r="2351" spans="1:8" hidden="1">
      <c r="A2351" s="69" t="str">
        <f>IFERROR(VLOOKUP(C2351,[3]wms_iv_f!$A$1:$D$135,2,FALSE),"")</f>
        <v/>
      </c>
      <c r="B2351" s="69" t="s">
        <v>2609</v>
      </c>
      <c r="C2351" s="70" t="s">
        <v>1806</v>
      </c>
      <c r="D2351" s="70" t="s">
        <v>2614</v>
      </c>
      <c r="E2351" s="70"/>
      <c r="F2351" s="70"/>
      <c r="G2351" s="70" t="str">
        <f>IFERROR(VLOOKUP(A2351,[1]wms_iv_f!$A$1:$E$136,4,FALSE),"")</f>
        <v/>
      </c>
      <c r="H2351" s="95" t="str">
        <f>IFERROR(VLOOKUP(A2351,[2]wms_lc_f!$A$1:$B$156,2,FALSE),"")</f>
        <v/>
      </c>
    </row>
    <row r="2352" spans="1:8" hidden="1">
      <c r="A2352" s="69" t="str">
        <f>IFERROR(VLOOKUP(C2352,[3]wms_iv_f!$A$1:$D$135,2,FALSE),"")</f>
        <v/>
      </c>
      <c r="B2352" s="69" t="s">
        <v>2609</v>
      </c>
      <c r="C2352" s="70" t="s">
        <v>1851</v>
      </c>
      <c r="D2352" s="70" t="s">
        <v>2614</v>
      </c>
      <c r="E2352" s="70"/>
      <c r="F2352" s="70"/>
      <c r="G2352" s="70" t="str">
        <f>IFERROR(VLOOKUP(A2352,[1]wms_iv_f!$A$1:$E$136,4,FALSE),"")</f>
        <v/>
      </c>
      <c r="H2352" s="95" t="str">
        <f>IFERROR(VLOOKUP(A2352,[2]wms_lc_f!$A$1:$B$156,2,FALSE),"")</f>
        <v/>
      </c>
    </row>
    <row r="2353" spans="1:8" hidden="1">
      <c r="A2353" s="69" t="str">
        <f>IFERROR(VLOOKUP(C2353,[3]wms_iv_f!$A$1:$D$135,2,FALSE),"")</f>
        <v/>
      </c>
      <c r="B2353" s="69" t="s">
        <v>2609</v>
      </c>
      <c r="C2353" s="70" t="s">
        <v>1863</v>
      </c>
      <c r="D2353" s="70" t="s">
        <v>2614</v>
      </c>
      <c r="E2353" s="70"/>
      <c r="F2353" s="70"/>
      <c r="G2353" s="70" t="str">
        <f>IFERROR(VLOOKUP(A2353,[1]wms_iv_f!$A$1:$E$136,4,FALSE),"")</f>
        <v/>
      </c>
      <c r="H2353" s="95" t="str">
        <f>IFERROR(VLOOKUP(A2353,[2]wms_lc_f!$A$1:$B$156,2,FALSE),"")</f>
        <v/>
      </c>
    </row>
    <row r="2354" spans="1:8" hidden="1">
      <c r="A2354" s="69" t="str">
        <f>IFERROR(VLOOKUP(C2354,[3]wms_iv_f!$A$1:$D$135,2,FALSE),"")</f>
        <v/>
      </c>
      <c r="B2354" s="69" t="s">
        <v>2609</v>
      </c>
      <c r="C2354" s="70" t="s">
        <v>1917</v>
      </c>
      <c r="D2354" s="70" t="s">
        <v>2614</v>
      </c>
      <c r="E2354" s="70"/>
      <c r="F2354" s="70"/>
      <c r="G2354" s="70" t="str">
        <f>IFERROR(VLOOKUP(A2354,[1]wms_iv_f!$A$1:$E$136,4,FALSE),"")</f>
        <v/>
      </c>
      <c r="H2354" s="95" t="str">
        <f>IFERROR(VLOOKUP(A2354,[2]wms_lc_f!$A$1:$B$156,2,FALSE),"")</f>
        <v/>
      </c>
    </row>
    <row r="2355" spans="1:8" hidden="1">
      <c r="A2355" s="69">
        <v>159070</v>
      </c>
      <c r="B2355" s="69" t="s">
        <v>2613</v>
      </c>
      <c r="C2355" s="70" t="s">
        <v>2280</v>
      </c>
      <c r="D2355" s="70" t="s">
        <v>2614</v>
      </c>
      <c r="E2355" s="70"/>
      <c r="F2355" s="70"/>
      <c r="G2355" s="70" t="str">
        <f>IFERROR(VLOOKUP(A2355,[1]wms_iv_f!$A$1:$E$136,4,FALSE),"")</f>
        <v/>
      </c>
      <c r="H2355" s="95" t="str">
        <f>IFERROR(VLOOKUP(A2355,[2]wms_lc_f!$A$1:$B$156,2,FALSE),"")</f>
        <v/>
      </c>
    </row>
    <row r="2356" spans="1:8" hidden="1">
      <c r="A2356" s="69">
        <v>63167</v>
      </c>
      <c r="B2356" s="69" t="s">
        <v>2613</v>
      </c>
      <c r="C2356" s="70" t="s">
        <v>2288</v>
      </c>
      <c r="D2356" s="70" t="s">
        <v>2614</v>
      </c>
      <c r="E2356" s="70"/>
      <c r="F2356" s="70"/>
      <c r="G2356" s="70" t="str">
        <f>IFERROR(VLOOKUP(A2356,[1]wms_iv_f!$A$1:$E$136,4,FALSE),"")</f>
        <v/>
      </c>
      <c r="H2356" s="95" t="str">
        <f>IFERROR(VLOOKUP(A2356,[2]wms_lc_f!$A$1:$B$156,2,FALSE),"")</f>
        <v/>
      </c>
    </row>
    <row r="2357" spans="1:8" hidden="1">
      <c r="A2357" s="69">
        <v>124950</v>
      </c>
      <c r="B2357" s="69" t="s">
        <v>2613</v>
      </c>
      <c r="C2357" s="70" t="s">
        <v>2334</v>
      </c>
      <c r="D2357" s="70" t="s">
        <v>2614</v>
      </c>
      <c r="E2357" s="70"/>
      <c r="F2357" s="70"/>
      <c r="G2357" s="70" t="str">
        <f>IFERROR(VLOOKUP(A2357,[1]wms_iv_f!$A$1:$E$136,4,FALSE),"")</f>
        <v/>
      </c>
      <c r="H2357" s="95" t="str">
        <f>IFERROR(VLOOKUP(A2357,[2]wms_lc_f!$A$1:$B$156,2,FALSE),"")</f>
        <v/>
      </c>
    </row>
    <row r="2358" spans="1:8" hidden="1">
      <c r="A2358" s="69">
        <v>152</v>
      </c>
      <c r="B2358" s="69" t="s">
        <v>2613</v>
      </c>
      <c r="C2358" s="70" t="s">
        <v>2385</v>
      </c>
      <c r="D2358" s="70" t="s">
        <v>2614</v>
      </c>
      <c r="E2358" s="70"/>
      <c r="F2358" s="70"/>
      <c r="G2358" s="70" t="str">
        <f>IFERROR(VLOOKUP(A2358,[1]wms_iv_f!$A$1:$E$136,4,FALSE),"")</f>
        <v/>
      </c>
      <c r="H2358" s="95" t="str">
        <f>IFERROR(VLOOKUP(A2358,[2]wms_lc_f!$A$1:$B$156,2,FALSE),"")</f>
        <v/>
      </c>
    </row>
    <row r="2359" spans="1:8" hidden="1">
      <c r="A2359" s="69">
        <v>51895</v>
      </c>
      <c r="B2359" s="69" t="s">
        <v>2613</v>
      </c>
      <c r="C2359" s="70" t="s">
        <v>2397</v>
      </c>
      <c r="D2359" s="70" t="s">
        <v>2614</v>
      </c>
      <c r="E2359" s="70"/>
      <c r="F2359" s="70"/>
      <c r="G2359" s="70" t="str">
        <f>IFERROR(VLOOKUP(A2359,[1]wms_iv_f!$A$1:$E$136,4,FALSE),"")</f>
        <v/>
      </c>
      <c r="H2359" s="95" t="str">
        <f>IFERROR(VLOOKUP(A2359,[2]wms_lc_f!$A$1:$B$156,2,FALSE),"")</f>
        <v/>
      </c>
    </row>
    <row r="2360" spans="1:8" hidden="1">
      <c r="A2360" s="69">
        <v>78496</v>
      </c>
      <c r="B2360" s="69" t="s">
        <v>2613</v>
      </c>
      <c r="C2360" s="70" t="s">
        <v>2445</v>
      </c>
      <c r="D2360" s="70" t="s">
        <v>2614</v>
      </c>
      <c r="E2360" s="70"/>
      <c r="F2360" s="70"/>
      <c r="G2360" s="70" t="str">
        <f>IFERROR(VLOOKUP(A2360,[1]wms_iv_f!$A$1:$E$136,4,FALSE),"")</f>
        <v/>
      </c>
      <c r="H2360" s="95" t="str">
        <f>IFERROR(VLOOKUP(A2360,[2]wms_lc_f!$A$1:$B$156,2,FALSE),"")</f>
        <v/>
      </c>
    </row>
    <row r="2361" spans="1:8" hidden="1">
      <c r="A2361" s="69">
        <v>8345</v>
      </c>
      <c r="B2361" s="69" t="s">
        <v>2613</v>
      </c>
      <c r="C2361" s="70" t="s">
        <v>2496</v>
      </c>
      <c r="D2361" s="70" t="s">
        <v>2614</v>
      </c>
      <c r="E2361" s="70"/>
      <c r="F2361" s="70"/>
      <c r="G2361" s="70" t="str">
        <f>IFERROR(VLOOKUP(A2361,[1]wms_iv_f!$A$1:$E$136,4,FALSE),"")</f>
        <v/>
      </c>
      <c r="H2361" s="95" t="str">
        <f>IFERROR(VLOOKUP(A2361,[2]wms_lc_f!$A$1:$B$156,2,FALSE),"")</f>
        <v/>
      </c>
    </row>
    <row r="2362" spans="1:8" hidden="1">
      <c r="A2362" s="69">
        <v>96316</v>
      </c>
      <c r="B2362" s="69" t="s">
        <v>2613</v>
      </c>
      <c r="C2362" s="70" t="s">
        <v>2508</v>
      </c>
      <c r="D2362" s="70" t="s">
        <v>2614</v>
      </c>
      <c r="E2362" s="70"/>
      <c r="F2362" s="70"/>
      <c r="G2362" s="70" t="str">
        <f>IFERROR(VLOOKUP(A2362,[1]wms_iv_f!$A$1:$E$136,4,FALSE),"")</f>
        <v/>
      </c>
      <c r="H2362" s="95" t="str">
        <f>IFERROR(VLOOKUP(A2362,[2]wms_lc_f!$A$1:$B$156,2,FALSE),"")</f>
        <v/>
      </c>
    </row>
    <row r="2363" spans="1:8" hidden="1">
      <c r="A2363" s="69">
        <v>11689</v>
      </c>
      <c r="B2363" s="69" t="s">
        <v>2613</v>
      </c>
      <c r="C2363" s="70" t="s">
        <v>2556</v>
      </c>
      <c r="D2363" s="70" t="s">
        <v>2614</v>
      </c>
      <c r="E2363" s="70"/>
      <c r="F2363" s="70"/>
      <c r="G2363" s="70" t="str">
        <f>IFERROR(VLOOKUP(A2363,[1]wms_iv_f!$A$1:$E$136,4,FALSE),"")</f>
        <v/>
      </c>
      <c r="H2363" s="95" t="str">
        <f>IFERROR(VLOOKUP(A2363,[2]wms_lc_f!$A$1:$B$156,2,FALSE),"")</f>
        <v/>
      </c>
    </row>
    <row r="2364" spans="1:8" hidden="1">
      <c r="A2364" s="69">
        <v>144223</v>
      </c>
      <c r="B2364" s="69" t="s">
        <v>2613</v>
      </c>
      <c r="C2364" s="70" t="s">
        <v>2281</v>
      </c>
      <c r="D2364" s="70" t="s">
        <v>2614</v>
      </c>
      <c r="E2364" s="70"/>
      <c r="F2364" s="70"/>
      <c r="G2364" s="70" t="str">
        <f>IFERROR(VLOOKUP(A2364,[1]wms_iv_f!$A$1:$E$136,4,FALSE),"")</f>
        <v/>
      </c>
      <c r="H2364" s="95" t="str">
        <f>IFERROR(VLOOKUP(A2364,[2]wms_lc_f!$A$1:$B$156,2,FALSE),"")</f>
        <v/>
      </c>
    </row>
    <row r="2365" spans="1:8" hidden="1">
      <c r="A2365" s="69">
        <f>IFERROR(VLOOKUP(C2365,[3]wms_iv_f!$A$1:$D$135,2,FALSE),"")</f>
        <v>31426</v>
      </c>
      <c r="B2365" s="69" t="s">
        <v>2613</v>
      </c>
      <c r="C2365" s="70" t="s">
        <v>2289</v>
      </c>
      <c r="D2365" s="70" t="s">
        <v>2614</v>
      </c>
      <c r="E2365" s="70"/>
      <c r="F2365" s="70"/>
      <c r="G2365" s="70" t="str">
        <f>IFERROR(VLOOKUP(A2365,[1]wms_iv_f!$A$1:$E$136,4,FALSE),"")</f>
        <v>M25-2-1B01</v>
      </c>
      <c r="H2365" s="95" t="str">
        <f>IFERROR(VLOOKUP(A2365,[2]wms_lc_f!$A$1:$B$156,2,FALSE),"")</f>
        <v/>
      </c>
    </row>
    <row r="2366" spans="1:8" hidden="1">
      <c r="A2366" s="69">
        <f>IFERROR(VLOOKUP(C2366,[3]wms_iv_f!$A$1:$D$135,2,FALSE),"")</f>
        <v>118905</v>
      </c>
      <c r="B2366" s="69" t="s">
        <v>2613</v>
      </c>
      <c r="C2366" s="70" t="s">
        <v>2335</v>
      </c>
      <c r="D2366" s="70" t="s">
        <v>2614</v>
      </c>
      <c r="E2366" s="70"/>
      <c r="F2366" s="70"/>
      <c r="G2366" s="70" t="str">
        <f>IFERROR(VLOOKUP(A2366,[1]wms_iv_f!$A$1:$E$136,4,FALSE),"")</f>
        <v>M25-2-1B02</v>
      </c>
      <c r="H2366" s="95" t="str">
        <f>IFERROR(VLOOKUP(A2366,[2]wms_lc_f!$A$1:$B$156,2,FALSE),"")</f>
        <v/>
      </c>
    </row>
    <row r="2367" spans="1:8" hidden="1">
      <c r="A2367" s="69">
        <v>12233</v>
      </c>
      <c r="B2367" s="69" t="s">
        <v>2613</v>
      </c>
      <c r="C2367" s="70" t="s">
        <v>2386</v>
      </c>
      <c r="D2367" s="70" t="s">
        <v>2614</v>
      </c>
      <c r="E2367" s="70"/>
      <c r="F2367" s="70"/>
      <c r="G2367" s="70" t="str">
        <f>IFERROR(VLOOKUP(A2367,[1]wms_iv_f!$A$1:$E$136,4,FALSE),"")</f>
        <v/>
      </c>
      <c r="H2367" s="95" t="str">
        <f>IFERROR(VLOOKUP(A2367,[2]wms_lc_f!$A$1:$B$156,2,FALSE),"")</f>
        <v/>
      </c>
    </row>
    <row r="2368" spans="1:8" hidden="1">
      <c r="A2368" s="69">
        <v>158188</v>
      </c>
      <c r="B2368" s="69" t="s">
        <v>2613</v>
      </c>
      <c r="C2368" s="70" t="s">
        <v>2398</v>
      </c>
      <c r="D2368" s="70" t="s">
        <v>2614</v>
      </c>
      <c r="E2368" s="70"/>
      <c r="F2368" s="70"/>
      <c r="G2368" s="70" t="str">
        <f>IFERROR(VLOOKUP(A2368,[1]wms_iv_f!$A$1:$E$136,4,FALSE),"")</f>
        <v/>
      </c>
      <c r="H2368" s="95" t="str">
        <f>IFERROR(VLOOKUP(A2368,[2]wms_lc_f!$A$1:$B$156,2,FALSE),"")</f>
        <v/>
      </c>
    </row>
    <row r="2369" spans="1:8" hidden="1">
      <c r="A2369" s="69">
        <v>13828</v>
      </c>
      <c r="B2369" s="69" t="s">
        <v>2613</v>
      </c>
      <c r="C2369" s="70" t="s">
        <v>2446</v>
      </c>
      <c r="D2369" s="70" t="s">
        <v>2614</v>
      </c>
      <c r="E2369" s="70"/>
      <c r="F2369" s="70"/>
      <c r="G2369" s="70" t="str">
        <f>IFERROR(VLOOKUP(A2369,[1]wms_iv_f!$A$1:$E$136,4,FALSE),"")</f>
        <v/>
      </c>
      <c r="H2369" s="95" t="str">
        <f>IFERROR(VLOOKUP(A2369,[2]wms_lc_f!$A$1:$B$156,2,FALSE),"")</f>
        <v/>
      </c>
    </row>
    <row r="2370" spans="1:8" hidden="1">
      <c r="A2370" s="69">
        <v>114613</v>
      </c>
      <c r="B2370" s="69" t="s">
        <v>2613</v>
      </c>
      <c r="C2370" s="70" t="s">
        <v>2497</v>
      </c>
      <c r="D2370" s="70" t="s">
        <v>2614</v>
      </c>
      <c r="E2370" s="70"/>
      <c r="F2370" s="70"/>
      <c r="G2370" s="70" t="str">
        <f>IFERROR(VLOOKUP(A2370,[1]wms_iv_f!$A$1:$E$136,4,FALSE),"")</f>
        <v/>
      </c>
      <c r="H2370" s="95" t="str">
        <f>IFERROR(VLOOKUP(A2370,[2]wms_lc_f!$A$1:$B$156,2,FALSE),"")</f>
        <v/>
      </c>
    </row>
    <row r="2371" spans="1:8" hidden="1">
      <c r="A2371" s="75">
        <v>37687</v>
      </c>
      <c r="B2371" s="69" t="s">
        <v>2613</v>
      </c>
      <c r="C2371" s="76" t="s">
        <v>2509</v>
      </c>
      <c r="D2371" s="76" t="s">
        <v>2614</v>
      </c>
      <c r="E2371" s="70"/>
      <c r="F2371" s="70"/>
      <c r="G2371" s="70" t="str">
        <f>IFERROR(VLOOKUP(A2371,[1]wms_iv_f!$A$1:$E$136,4,FALSE),"")</f>
        <v/>
      </c>
      <c r="H2371" s="95" t="str">
        <f>IFERROR(VLOOKUP(A2371,[2]wms_lc_f!$A$1:$B$156,2,FALSE),"")</f>
        <v/>
      </c>
    </row>
    <row r="2372" spans="1:8" hidden="1">
      <c r="A2372" s="69">
        <v>117145</v>
      </c>
      <c r="B2372" s="69" t="s">
        <v>2613</v>
      </c>
      <c r="C2372" s="70" t="s">
        <v>2557</v>
      </c>
      <c r="D2372" s="70" t="s">
        <v>2614</v>
      </c>
      <c r="E2372" s="70"/>
      <c r="F2372" s="70"/>
      <c r="G2372" s="70" t="str">
        <f>IFERROR(VLOOKUP(A2372,[1]wms_iv_f!$A$1:$E$136,4,FALSE),"")</f>
        <v/>
      </c>
      <c r="H2372" s="95" t="str">
        <f>IFERROR(VLOOKUP(A2372,[2]wms_lc_f!$A$1:$B$156,2,FALSE),"")</f>
        <v/>
      </c>
    </row>
    <row r="2373" spans="1:8" hidden="1">
      <c r="A2373" s="69">
        <f>IFERROR(VLOOKUP(C2373,[3]wms_iv_f!$A$1:$D$135,2,FALSE),"")</f>
        <v>78468</v>
      </c>
      <c r="B2373" s="69" t="s">
        <v>2613</v>
      </c>
      <c r="C2373" s="70" t="s">
        <v>2336</v>
      </c>
      <c r="D2373" s="70" t="s">
        <v>2614</v>
      </c>
      <c r="E2373" s="70"/>
      <c r="F2373" s="70"/>
      <c r="G2373" s="70" t="str">
        <f>IFERROR(VLOOKUP(A2373,[1]wms_iv_f!$A$1:$E$136,4,FALSE),"")</f>
        <v>M25-2-1B09</v>
      </c>
      <c r="H2373" s="95" t="str">
        <f>IFERROR(VLOOKUP(A2373,[2]wms_lc_f!$A$1:$B$156,2,FALSE),"")</f>
        <v/>
      </c>
    </row>
    <row r="2374" spans="1:8" hidden="1">
      <c r="A2374" s="69">
        <f>IFERROR(VLOOKUP(C2374,[3]wms_iv_f!$A$1:$D$135,2,FALSE),"")</f>
        <v>80739</v>
      </c>
      <c r="B2374" s="69" t="s">
        <v>2613</v>
      </c>
      <c r="C2374" s="70" t="s">
        <v>2387</v>
      </c>
      <c r="D2374" s="70" t="s">
        <v>2614</v>
      </c>
      <c r="E2374" s="70"/>
      <c r="F2374" s="70"/>
      <c r="G2374" s="70" t="str">
        <f>IFERROR(VLOOKUP(A2374,[1]wms_iv_f!$A$1:$E$136,4,FALSE),"")</f>
        <v>M25-2-1B10</v>
      </c>
      <c r="H2374" s="95" t="str">
        <f>IFERROR(VLOOKUP(A2374,[2]wms_lc_f!$A$1:$B$156,2,FALSE),"")</f>
        <v/>
      </c>
    </row>
    <row r="2375" spans="1:8" hidden="1">
      <c r="A2375" s="69">
        <f>IFERROR(VLOOKUP(C2375,[3]wms_iv_f!$A$1:$D$135,2,FALSE),"")</f>
        <v>1115</v>
      </c>
      <c r="B2375" s="69" t="s">
        <v>2613</v>
      </c>
      <c r="C2375" s="70" t="s">
        <v>2399</v>
      </c>
      <c r="D2375" s="70" t="s">
        <v>2614</v>
      </c>
      <c r="E2375" s="70"/>
      <c r="F2375" s="70"/>
      <c r="G2375" s="70" t="str">
        <f>IFERROR(VLOOKUP(A2375,[1]wms_iv_f!$A$1:$E$136,4,FALSE),"")</f>
        <v>M25-2-1C01</v>
      </c>
      <c r="H2375" s="95" t="str">
        <f>IFERROR(VLOOKUP(A2375,[2]wms_lc_f!$A$1:$B$156,2,FALSE),"")</f>
        <v/>
      </c>
    </row>
    <row r="2376" spans="1:8" hidden="1">
      <c r="A2376" s="69">
        <f>IFERROR(VLOOKUP(C2376,[3]wms_iv_f!$A$1:$D$135,2,FALSE),"")</f>
        <v>117930</v>
      </c>
      <c r="B2376" s="69" t="s">
        <v>2613</v>
      </c>
      <c r="C2376" s="70" t="s">
        <v>2447</v>
      </c>
      <c r="D2376" s="70" t="s">
        <v>2614</v>
      </c>
      <c r="E2376" s="70"/>
      <c r="F2376" s="70"/>
      <c r="G2376" s="70" t="str">
        <f>IFERROR(VLOOKUP(A2376,[1]wms_iv_f!$A$1:$E$136,4,FALSE),"")</f>
        <v>M25-2-1C02</v>
      </c>
      <c r="H2376" s="95" t="str">
        <f>IFERROR(VLOOKUP(A2376,[2]wms_lc_f!$A$1:$B$156,2,FALSE),"")</f>
        <v/>
      </c>
    </row>
    <row r="2377" spans="1:8" hidden="1">
      <c r="A2377" s="69">
        <v>134031</v>
      </c>
      <c r="B2377" s="69" t="s">
        <v>2613</v>
      </c>
      <c r="C2377" s="70" t="s">
        <v>2498</v>
      </c>
      <c r="D2377" s="70" t="s">
        <v>2614</v>
      </c>
      <c r="E2377" s="70"/>
      <c r="F2377" s="70"/>
      <c r="G2377" s="70" t="str">
        <f>IFERROR(VLOOKUP(A2377,[1]wms_iv_f!$A$1:$E$136,4,FALSE),"")</f>
        <v/>
      </c>
      <c r="H2377" s="95" t="str">
        <f>IFERROR(VLOOKUP(A2377,[2]wms_lc_f!$A$1:$B$156,2,FALSE),"")</f>
        <v/>
      </c>
    </row>
    <row r="2378" spans="1:8" hidden="1">
      <c r="A2378" s="69">
        <v>96958</v>
      </c>
      <c r="B2378" s="69" t="s">
        <v>2613</v>
      </c>
      <c r="C2378" s="70" t="s">
        <v>2510</v>
      </c>
      <c r="D2378" s="70" t="s">
        <v>2614</v>
      </c>
      <c r="E2378" s="70"/>
      <c r="F2378" s="70"/>
      <c r="G2378" s="70" t="str">
        <f>IFERROR(VLOOKUP(A2378,[1]wms_iv_f!$A$1:$E$136,4,FALSE),"")</f>
        <v/>
      </c>
      <c r="H2378" s="95" t="str">
        <f>IFERROR(VLOOKUP(A2378,[2]wms_lc_f!$A$1:$B$156,2,FALSE),"")</f>
        <v/>
      </c>
    </row>
    <row r="2379" spans="1:8" hidden="1">
      <c r="A2379" s="69">
        <v>82527</v>
      </c>
      <c r="B2379" s="69" t="s">
        <v>2613</v>
      </c>
      <c r="C2379" s="70" t="s">
        <v>2558</v>
      </c>
      <c r="D2379" s="70" t="s">
        <v>2614</v>
      </c>
      <c r="E2379" s="70"/>
      <c r="F2379" s="70"/>
      <c r="G2379" s="70" t="str">
        <f>IFERROR(VLOOKUP(A2379,[1]wms_iv_f!$A$1:$E$136,4,FALSE),"")</f>
        <v/>
      </c>
      <c r="H2379" s="95" t="str">
        <f>IFERROR(VLOOKUP(A2379,[2]wms_lc_f!$A$1:$B$156,2,FALSE),"")</f>
        <v/>
      </c>
    </row>
    <row r="2380" spans="1:8" hidden="1">
      <c r="A2380" s="69">
        <v>121419</v>
      </c>
      <c r="B2380" s="69" t="s">
        <v>2613</v>
      </c>
      <c r="C2380" s="70" t="s">
        <v>2337</v>
      </c>
      <c r="D2380" s="70" t="s">
        <v>2614</v>
      </c>
      <c r="E2380" s="70"/>
      <c r="F2380" s="70"/>
      <c r="G2380" s="70" t="str">
        <f>IFERROR(VLOOKUP(A2380,[1]wms_iv_f!$A$1:$E$136,4,FALSE),"")</f>
        <v/>
      </c>
      <c r="H2380" s="95" t="str">
        <f>IFERROR(VLOOKUP(A2380,[2]wms_lc_f!$A$1:$B$156,2,FALSE),"")</f>
        <v/>
      </c>
    </row>
    <row r="2381" spans="1:8" hidden="1">
      <c r="A2381" s="69">
        <v>96317</v>
      </c>
      <c r="B2381" s="69" t="s">
        <v>2613</v>
      </c>
      <c r="C2381" s="70" t="s">
        <v>2388</v>
      </c>
      <c r="D2381" s="70" t="s">
        <v>2614</v>
      </c>
      <c r="E2381" s="70"/>
      <c r="F2381" s="70"/>
      <c r="G2381" s="70" t="str">
        <f>IFERROR(VLOOKUP(A2381,[1]wms_iv_f!$A$1:$E$136,4,FALSE),"")</f>
        <v/>
      </c>
      <c r="H2381" s="95" t="str">
        <f>IFERROR(VLOOKUP(A2381,[2]wms_lc_f!$A$1:$B$156,2,FALSE),"")</f>
        <v/>
      </c>
    </row>
    <row r="2382" spans="1:8" hidden="1">
      <c r="A2382" s="69">
        <f>IFERROR(VLOOKUP(C2382,[3]wms_iv_f!$A$1:$D$135,2,FALSE),"")</f>
        <v>112427</v>
      </c>
      <c r="B2382" s="69" t="s">
        <v>2613</v>
      </c>
      <c r="C2382" s="70" t="s">
        <v>2400</v>
      </c>
      <c r="D2382" s="70" t="s">
        <v>2614</v>
      </c>
      <c r="E2382" s="70"/>
      <c r="F2382" s="70"/>
      <c r="G2382" s="70" t="str">
        <f>IFERROR(VLOOKUP(A2382,[1]wms_iv_f!$A$1:$E$136,4,FALSE),"")</f>
        <v>M25-2-1C08</v>
      </c>
      <c r="H2382" s="95" t="str">
        <f>IFERROR(VLOOKUP(A2382,[2]wms_lc_f!$A$1:$B$156,2,FALSE),"")</f>
        <v/>
      </c>
    </row>
    <row r="2383" spans="1:8" hidden="1">
      <c r="A2383" s="69">
        <f>IFERROR(VLOOKUP(C2383,[3]wms_iv_f!$A$1:$D$135,2,FALSE),"")</f>
        <v>88439</v>
      </c>
      <c r="B2383" s="69" t="s">
        <v>2613</v>
      </c>
      <c r="C2383" s="70" t="s">
        <v>2448</v>
      </c>
      <c r="D2383" s="70" t="s">
        <v>2614</v>
      </c>
      <c r="E2383" s="70"/>
      <c r="F2383" s="70"/>
      <c r="G2383" s="70" t="str">
        <f>IFERROR(VLOOKUP(A2383,[1]wms_iv_f!$A$1:$E$136,4,FALSE),"")</f>
        <v>M25-2-1C09</v>
      </c>
      <c r="H2383" s="95" t="str">
        <f>IFERROR(VLOOKUP(A2383,[2]wms_lc_f!$A$1:$B$156,2,FALSE),"")</f>
        <v/>
      </c>
    </row>
    <row r="2384" spans="1:8" hidden="1">
      <c r="A2384" s="69">
        <f>IFERROR(VLOOKUP(C2384,[3]wms_iv_f!$A$1:$D$135,2,FALSE),"")</f>
        <v>157797</v>
      </c>
      <c r="B2384" s="69" t="s">
        <v>2613</v>
      </c>
      <c r="C2384" s="70" t="s">
        <v>2499</v>
      </c>
      <c r="D2384" s="70" t="s">
        <v>2614</v>
      </c>
      <c r="E2384" s="70"/>
      <c r="F2384" s="70"/>
      <c r="G2384" s="70" t="str">
        <f>IFERROR(VLOOKUP(A2384,[1]wms_iv_f!$A$1:$E$136,4,FALSE),"")</f>
        <v>M25-2-1C10</v>
      </c>
      <c r="H2384" s="95" t="str">
        <f>IFERROR(VLOOKUP(A2384,[2]wms_lc_f!$A$1:$B$156,2,FALSE),"")</f>
        <v/>
      </c>
    </row>
    <row r="2385" spans="1:8" hidden="1">
      <c r="A2385" s="69">
        <v>25067</v>
      </c>
      <c r="B2385" s="69" t="s">
        <v>2613</v>
      </c>
      <c r="C2385" s="70" t="s">
        <v>2511</v>
      </c>
      <c r="D2385" s="70" t="s">
        <v>2614</v>
      </c>
      <c r="E2385" s="70"/>
      <c r="F2385" s="70"/>
      <c r="G2385" s="70" t="str">
        <f>IFERROR(VLOOKUP(A2385,[1]wms_iv_f!$A$1:$E$136,4,FALSE),"")</f>
        <v/>
      </c>
      <c r="H2385" s="95" t="str">
        <f>IFERROR(VLOOKUP(A2385,[2]wms_lc_f!$A$1:$B$156,2,FALSE),"")</f>
        <v/>
      </c>
    </row>
    <row r="2386" spans="1:8" hidden="1">
      <c r="A2386" s="69">
        <v>60082</v>
      </c>
      <c r="B2386" s="69" t="s">
        <v>2613</v>
      </c>
      <c r="C2386" s="70" t="s">
        <v>2559</v>
      </c>
      <c r="D2386" s="70" t="s">
        <v>2614</v>
      </c>
      <c r="E2386" s="70"/>
      <c r="F2386" s="70"/>
      <c r="G2386" s="70" t="str">
        <f>IFERROR(VLOOKUP(A2386,[1]wms_iv_f!$A$1:$E$136,4,FALSE),"")</f>
        <v/>
      </c>
      <c r="H2386" s="95" t="str">
        <f>IFERROR(VLOOKUP(A2386,[2]wms_lc_f!$A$1:$B$156,2,FALSE),"")</f>
        <v/>
      </c>
    </row>
    <row r="2387" spans="1:8" hidden="1">
      <c r="A2387" s="69">
        <v>65803</v>
      </c>
      <c r="B2387" s="69" t="s">
        <v>2613</v>
      </c>
      <c r="C2387" s="70" t="s">
        <v>2282</v>
      </c>
      <c r="D2387" s="70" t="s">
        <v>2614</v>
      </c>
      <c r="E2387" s="70"/>
      <c r="F2387" s="70"/>
      <c r="G2387" s="70" t="str">
        <f>IFERROR(VLOOKUP(A2387,[1]wms_iv_f!$A$1:$E$136,4,FALSE),"")</f>
        <v/>
      </c>
      <c r="H2387" s="95" t="str">
        <f>IFERROR(VLOOKUP(A2387,[2]wms_lc_f!$A$1:$B$156,2,FALSE),"")</f>
        <v/>
      </c>
    </row>
    <row r="2388" spans="1:8" hidden="1">
      <c r="A2388" s="69">
        <v>28492</v>
      </c>
      <c r="B2388" s="69" t="s">
        <v>2613</v>
      </c>
      <c r="C2388" s="70" t="s">
        <v>2290</v>
      </c>
      <c r="D2388" s="70" t="s">
        <v>2614</v>
      </c>
      <c r="E2388" s="70"/>
      <c r="F2388" s="70"/>
      <c r="G2388" s="70" t="str">
        <f>IFERROR(VLOOKUP(A2388,[1]wms_iv_f!$A$1:$E$136,4,FALSE),"")</f>
        <v/>
      </c>
      <c r="H2388" s="95" t="str">
        <f>IFERROR(VLOOKUP(A2388,[2]wms_lc_f!$A$1:$B$156,2,FALSE),"")</f>
        <v/>
      </c>
    </row>
    <row r="2389" spans="1:8" hidden="1">
      <c r="A2389" s="69">
        <v>19550</v>
      </c>
      <c r="B2389" s="69" t="s">
        <v>2613</v>
      </c>
      <c r="C2389" s="70" t="s">
        <v>2338</v>
      </c>
      <c r="D2389" s="70" t="s">
        <v>2614</v>
      </c>
      <c r="E2389" s="70"/>
      <c r="F2389" s="70"/>
      <c r="G2389" s="70" t="str">
        <f>IFERROR(VLOOKUP(A2389,[1]wms_iv_f!$A$1:$E$136,4,FALSE),"")</f>
        <v/>
      </c>
      <c r="H2389" s="95" t="str">
        <f>IFERROR(VLOOKUP(A2389,[2]wms_lc_f!$A$1:$B$156,2,FALSE),"")</f>
        <v/>
      </c>
    </row>
    <row r="2390" spans="1:8" hidden="1">
      <c r="A2390" s="69">
        <v>365</v>
      </c>
      <c r="B2390" s="69" t="s">
        <v>2613</v>
      </c>
      <c r="C2390" s="70" t="s">
        <v>2389</v>
      </c>
      <c r="D2390" s="70" t="s">
        <v>2614</v>
      </c>
      <c r="E2390" s="70"/>
      <c r="F2390" s="70"/>
      <c r="G2390" s="70" t="str">
        <f>IFERROR(VLOOKUP(A2390,[1]wms_iv_f!$A$1:$E$136,4,FALSE),"")</f>
        <v/>
      </c>
      <c r="H2390" s="95" t="str">
        <f>IFERROR(VLOOKUP(A2390,[2]wms_lc_f!$A$1:$B$156,2,FALSE),"")</f>
        <v/>
      </c>
    </row>
    <row r="2391" spans="1:8" hidden="1">
      <c r="A2391" s="69">
        <v>79501</v>
      </c>
      <c r="B2391" s="69" t="s">
        <v>2613</v>
      </c>
      <c r="C2391" s="70" t="s">
        <v>2401</v>
      </c>
      <c r="D2391" s="70" t="s">
        <v>2614</v>
      </c>
      <c r="E2391" s="70"/>
      <c r="F2391" s="70"/>
      <c r="G2391" s="70" t="str">
        <f>IFERROR(VLOOKUP(A2391,[1]wms_iv_f!$A$1:$E$136,4,FALSE),"")</f>
        <v/>
      </c>
      <c r="H2391" s="95" t="str">
        <f>IFERROR(VLOOKUP(A2391,[2]wms_lc_f!$A$1:$B$156,2,FALSE),"")</f>
        <v/>
      </c>
    </row>
    <row r="2392" spans="1:8" hidden="1">
      <c r="A2392" s="69">
        <v>963</v>
      </c>
      <c r="B2392" s="69" t="s">
        <v>2613</v>
      </c>
      <c r="C2392" s="70" t="s">
        <v>2449</v>
      </c>
      <c r="D2392" s="70" t="s">
        <v>2614</v>
      </c>
      <c r="E2392" s="70"/>
      <c r="F2392" s="70"/>
      <c r="G2392" s="70" t="str">
        <f>IFERROR(VLOOKUP(A2392,[1]wms_iv_f!$A$1:$E$136,4,FALSE),"")</f>
        <v/>
      </c>
      <c r="H2392" s="95" t="str">
        <f>IFERROR(VLOOKUP(A2392,[2]wms_lc_f!$A$1:$B$156,2,FALSE),"")</f>
        <v/>
      </c>
    </row>
    <row r="2393" spans="1:8" hidden="1">
      <c r="A2393" s="69">
        <v>35251</v>
      </c>
      <c r="B2393" s="69" t="s">
        <v>2613</v>
      </c>
      <c r="C2393" s="70" t="s">
        <v>2500</v>
      </c>
      <c r="D2393" s="70" t="s">
        <v>2614</v>
      </c>
      <c r="E2393" s="70"/>
      <c r="F2393" s="70"/>
      <c r="G2393" s="70" t="str">
        <f>IFERROR(VLOOKUP(A2393,[1]wms_iv_f!$A$1:$E$136,4,FALSE),"")</f>
        <v/>
      </c>
      <c r="H2393" s="95" t="str">
        <f>IFERROR(VLOOKUP(A2393,[2]wms_lc_f!$A$1:$B$156,2,FALSE),"")</f>
        <v/>
      </c>
    </row>
    <row r="2394" spans="1:8" hidden="1">
      <c r="A2394" s="69">
        <f>IFERROR(VLOOKUP(C2394,[3]wms_iv_f!$A$1:$D$135,2,FALSE),"")</f>
        <v>33312</v>
      </c>
      <c r="B2394" s="69" t="s">
        <v>2613</v>
      </c>
      <c r="C2394" s="70" t="s">
        <v>2512</v>
      </c>
      <c r="D2394" s="70" t="s">
        <v>2614</v>
      </c>
      <c r="E2394" s="70"/>
      <c r="F2394" s="70"/>
      <c r="G2394" s="70" t="str">
        <f>IFERROR(VLOOKUP(A2394,[1]wms_iv_f!$A$1:$E$136,4,FALSE),"")</f>
        <v>M25-2-1D10</v>
      </c>
      <c r="H2394" s="95" t="str">
        <f>IFERROR(VLOOKUP(A2394,[2]wms_lc_f!$A$1:$B$156,2,FALSE),"")</f>
        <v/>
      </c>
    </row>
    <row r="2395" spans="1:8" hidden="1">
      <c r="A2395" s="69">
        <v>7897</v>
      </c>
      <c r="B2395" s="69" t="s">
        <v>2613</v>
      </c>
      <c r="C2395" s="70" t="s">
        <v>2560</v>
      </c>
      <c r="D2395" s="70" t="s">
        <v>2614</v>
      </c>
      <c r="E2395" s="70"/>
      <c r="F2395" s="70"/>
      <c r="G2395" s="70" t="str">
        <f>IFERROR(VLOOKUP(A2395,[1]wms_iv_f!$A$1:$E$136,4,FALSE),"")</f>
        <v/>
      </c>
      <c r="H2395" s="95" t="str">
        <f>IFERROR(VLOOKUP(A2395,[2]wms_lc_f!$A$1:$B$156,2,FALSE),"")</f>
        <v/>
      </c>
    </row>
    <row r="2396" spans="1:8" hidden="1">
      <c r="A2396" s="69">
        <v>139098</v>
      </c>
      <c r="B2396" s="69" t="s">
        <v>2613</v>
      </c>
      <c r="C2396" s="70" t="s">
        <v>2283</v>
      </c>
      <c r="D2396" s="70" t="s">
        <v>2614</v>
      </c>
      <c r="E2396" s="70"/>
      <c r="F2396" s="70"/>
      <c r="G2396" s="70" t="str">
        <f>IFERROR(VLOOKUP(A2396,[1]wms_iv_f!$A$1:$E$136,4,FALSE),"")</f>
        <v/>
      </c>
      <c r="H2396" s="95" t="str">
        <f>IFERROR(VLOOKUP(A2396,[2]wms_lc_f!$A$1:$B$156,2,FALSE),"")</f>
        <v/>
      </c>
    </row>
    <row r="2397" spans="1:8" hidden="1">
      <c r="A2397" s="69">
        <v>110251</v>
      </c>
      <c r="B2397" s="69" t="s">
        <v>2613</v>
      </c>
      <c r="C2397" s="70" t="s">
        <v>2291</v>
      </c>
      <c r="D2397" s="70" t="s">
        <v>2614</v>
      </c>
      <c r="E2397" s="70"/>
      <c r="F2397" s="70"/>
      <c r="G2397" s="70" t="str">
        <f>IFERROR(VLOOKUP(A2397,[1]wms_iv_f!$A$1:$E$136,4,FALSE),"")</f>
        <v/>
      </c>
      <c r="H2397" s="95" t="str">
        <f>IFERROR(VLOOKUP(A2397,[2]wms_lc_f!$A$1:$B$156,2,FALSE),"")</f>
        <v/>
      </c>
    </row>
    <row r="2398" spans="1:8" hidden="1">
      <c r="A2398" s="69">
        <v>74068</v>
      </c>
      <c r="B2398" s="69" t="s">
        <v>2613</v>
      </c>
      <c r="C2398" s="70" t="s">
        <v>2339</v>
      </c>
      <c r="D2398" s="70" t="s">
        <v>2614</v>
      </c>
      <c r="E2398" s="70"/>
      <c r="F2398" s="70"/>
      <c r="G2398" s="70" t="str">
        <f>IFERROR(VLOOKUP(A2398,[1]wms_iv_f!$A$1:$E$136,4,FALSE),"")</f>
        <v/>
      </c>
      <c r="H2398" s="95" t="str">
        <f>IFERROR(VLOOKUP(A2398,[2]wms_lc_f!$A$1:$B$156,2,FALSE),"")</f>
        <v/>
      </c>
    </row>
    <row r="2399" spans="1:8" hidden="1">
      <c r="A2399" s="69">
        <v>73351</v>
      </c>
      <c r="B2399" s="69" t="s">
        <v>2613</v>
      </c>
      <c r="C2399" s="70" t="s">
        <v>2390</v>
      </c>
      <c r="D2399" s="70" t="s">
        <v>2614</v>
      </c>
      <c r="E2399" s="70"/>
      <c r="F2399" s="70"/>
      <c r="G2399" s="70" t="str">
        <f>IFERROR(VLOOKUP(A2399,[1]wms_iv_f!$A$1:$E$136,4,FALSE),"")</f>
        <v/>
      </c>
      <c r="H2399" s="95" t="str">
        <f>IFERROR(VLOOKUP(A2399,[2]wms_lc_f!$A$1:$B$156,2,FALSE),"")</f>
        <v/>
      </c>
    </row>
    <row r="2400" spans="1:8" hidden="1">
      <c r="A2400" s="69">
        <v>87064</v>
      </c>
      <c r="B2400" s="69" t="s">
        <v>2613</v>
      </c>
      <c r="C2400" s="70" t="s">
        <v>2402</v>
      </c>
      <c r="D2400" s="70" t="s">
        <v>2614</v>
      </c>
      <c r="E2400" s="70"/>
      <c r="F2400" s="70"/>
      <c r="G2400" s="70" t="str">
        <f>IFERROR(VLOOKUP(A2400,[1]wms_iv_f!$A$1:$E$136,4,FALSE),"")</f>
        <v/>
      </c>
      <c r="H2400" s="95" t="str">
        <f>IFERROR(VLOOKUP(A2400,[2]wms_lc_f!$A$1:$B$156,2,FALSE),"")</f>
        <v/>
      </c>
    </row>
    <row r="2401" spans="1:8" hidden="1">
      <c r="A2401" s="69">
        <v>66810</v>
      </c>
      <c r="B2401" s="69" t="s">
        <v>2613</v>
      </c>
      <c r="C2401" s="70" t="s">
        <v>2450</v>
      </c>
      <c r="D2401" s="70" t="s">
        <v>2614</v>
      </c>
      <c r="E2401" s="70"/>
      <c r="F2401" s="70"/>
      <c r="G2401" s="70" t="str">
        <f>IFERROR(VLOOKUP(A2401,[1]wms_iv_f!$A$1:$E$136,4,FALSE),"")</f>
        <v/>
      </c>
      <c r="H2401" s="95" t="str">
        <f>IFERROR(VLOOKUP(A2401,[2]wms_lc_f!$A$1:$B$156,2,FALSE),"")</f>
        <v/>
      </c>
    </row>
    <row r="2402" spans="1:8" hidden="1">
      <c r="A2402" s="69">
        <v>137029</v>
      </c>
      <c r="B2402" s="69" t="s">
        <v>2613</v>
      </c>
      <c r="C2402" s="70" t="s">
        <v>2501</v>
      </c>
      <c r="D2402" s="70" t="s">
        <v>2614</v>
      </c>
      <c r="E2402" s="70"/>
      <c r="F2402" s="70"/>
      <c r="G2402" s="70" t="str">
        <f>IFERROR(VLOOKUP(A2402,[1]wms_iv_f!$A$1:$E$136,4,FALSE),"")</f>
        <v/>
      </c>
      <c r="H2402" s="95" t="str">
        <f>IFERROR(VLOOKUP(A2402,[2]wms_lc_f!$A$1:$B$156,2,FALSE),"")</f>
        <v/>
      </c>
    </row>
    <row r="2403" spans="1:8" hidden="1">
      <c r="A2403" s="69">
        <v>5499</v>
      </c>
      <c r="B2403" s="69" t="s">
        <v>2613</v>
      </c>
      <c r="C2403" s="70" t="s">
        <v>2513</v>
      </c>
      <c r="D2403" s="70" t="s">
        <v>2614</v>
      </c>
      <c r="E2403" s="70"/>
      <c r="F2403" s="70"/>
      <c r="G2403" s="70" t="str">
        <f>IFERROR(VLOOKUP(A2403,[1]wms_iv_f!$A$1:$E$136,4,FALSE),"")</f>
        <v/>
      </c>
      <c r="H2403" s="95" t="str">
        <f>IFERROR(VLOOKUP(A2403,[2]wms_lc_f!$A$1:$B$156,2,FALSE),"")</f>
        <v/>
      </c>
    </row>
    <row r="2404" spans="1:8" hidden="1">
      <c r="A2404" s="69">
        <v>135400</v>
      </c>
      <c r="B2404" s="69" t="s">
        <v>2613</v>
      </c>
      <c r="C2404" s="70" t="s">
        <v>2561</v>
      </c>
      <c r="D2404" s="70" t="s">
        <v>2614</v>
      </c>
      <c r="E2404" s="70"/>
      <c r="F2404" s="70"/>
      <c r="G2404" s="70" t="str">
        <f>IFERROR(VLOOKUP(A2404,[1]wms_iv_f!$A$1:$E$136,4,FALSE),"")</f>
        <v/>
      </c>
      <c r="H2404" s="95" t="str">
        <f>IFERROR(VLOOKUP(A2404,[2]wms_lc_f!$A$1:$B$156,2,FALSE),"")</f>
        <v/>
      </c>
    </row>
    <row r="2405" spans="1:8" hidden="1">
      <c r="A2405" s="69">
        <v>2456</v>
      </c>
      <c r="B2405" s="69" t="s">
        <v>2613</v>
      </c>
      <c r="C2405" s="70" t="s">
        <v>2453</v>
      </c>
      <c r="D2405" s="70" t="s">
        <v>2610</v>
      </c>
      <c r="E2405" s="72"/>
      <c r="F2405" s="70" t="s">
        <v>2612</v>
      </c>
      <c r="G2405" s="70" t="str">
        <f>IFERROR(VLOOKUP(A2405,[1]wms_iv_f!$A$1:$E$136,4,FALSE),"")</f>
        <v/>
      </c>
      <c r="H2405" s="95" t="str">
        <f>IFERROR(VLOOKUP(A2405,[2]wms_lc_f!$A$1:$B$156,2,FALSE),"")</f>
        <v>12-125-A1</v>
      </c>
    </row>
    <row r="2406" spans="1:8" hidden="1">
      <c r="A2406" s="69">
        <v>22722</v>
      </c>
      <c r="B2406" s="69" t="s">
        <v>2613</v>
      </c>
      <c r="C2406" s="70" t="s">
        <v>2564</v>
      </c>
      <c r="D2406" s="70" t="s">
        <v>2610</v>
      </c>
      <c r="E2406" s="72"/>
      <c r="F2406" s="70"/>
      <c r="G2406" s="70" t="str">
        <f>IFERROR(VLOOKUP(A2406,[1]wms_iv_f!$A$1:$E$136,4,FALSE),"")</f>
        <v/>
      </c>
      <c r="H2406" s="95" t="str">
        <f>IFERROR(VLOOKUP(A2406,[2]wms_lc_f!$A$1:$B$156,2,FALSE),"")</f>
        <v/>
      </c>
    </row>
    <row r="2407" spans="1:8" hidden="1">
      <c r="A2407" s="71">
        <v>14103</v>
      </c>
      <c r="B2407" s="69" t="s">
        <v>2613</v>
      </c>
      <c r="C2407" s="70" t="s">
        <v>2566</v>
      </c>
      <c r="D2407" s="70" t="s">
        <v>2610</v>
      </c>
      <c r="E2407" s="72"/>
      <c r="F2407" s="70"/>
      <c r="G2407" s="70" t="str">
        <f>IFERROR(VLOOKUP(A2407,[1]wms_iv_f!$A$1:$E$136,4,FALSE),"")</f>
        <v/>
      </c>
      <c r="H2407" s="95" t="str">
        <f>IFERROR(VLOOKUP(A2407,[2]wms_lc_f!$A$1:$B$156,2,FALSE),"")</f>
        <v/>
      </c>
    </row>
    <row r="2408" spans="1:8" hidden="1">
      <c r="A2408" s="71">
        <v>14103</v>
      </c>
      <c r="B2408" s="69" t="s">
        <v>2613</v>
      </c>
      <c r="C2408" s="70" t="s">
        <v>2567</v>
      </c>
      <c r="D2408" s="70" t="s">
        <v>2610</v>
      </c>
      <c r="E2408" s="72"/>
      <c r="F2408" s="70"/>
      <c r="G2408" s="70" t="str">
        <f>IFERROR(VLOOKUP(A2408,[1]wms_iv_f!$A$1:$E$136,4,FALSE),"")</f>
        <v/>
      </c>
      <c r="H2408" s="95" t="str">
        <f>IFERROR(VLOOKUP(A2408,[2]wms_lc_f!$A$1:$B$156,2,FALSE),"")</f>
        <v/>
      </c>
    </row>
    <row r="2409" spans="1:8" hidden="1">
      <c r="A2409" s="71">
        <v>695</v>
      </c>
      <c r="B2409" s="69" t="s">
        <v>2613</v>
      </c>
      <c r="C2409" s="70" t="s">
        <v>2570</v>
      </c>
      <c r="D2409" s="70" t="s">
        <v>2610</v>
      </c>
      <c r="E2409" s="72"/>
      <c r="F2409" s="70"/>
      <c r="G2409" s="70" t="str">
        <f>IFERROR(VLOOKUP(A2409,[1]wms_iv_f!$A$1:$E$136,4,FALSE),"")</f>
        <v/>
      </c>
      <c r="H2409" s="95" t="str">
        <f>IFERROR(VLOOKUP(A2409,[2]wms_lc_f!$A$1:$B$156,2,FALSE),"")</f>
        <v/>
      </c>
    </row>
    <row r="2410" spans="1:8" hidden="1">
      <c r="A2410" s="71">
        <v>143812</v>
      </c>
      <c r="B2410" s="69" t="s">
        <v>2613</v>
      </c>
      <c r="C2410" s="70" t="s">
        <v>2575</v>
      </c>
      <c r="D2410" s="70" t="s">
        <v>2610</v>
      </c>
      <c r="E2410" s="72"/>
      <c r="F2410" s="70"/>
      <c r="G2410" s="70" t="str">
        <f>IFERROR(VLOOKUP(A2410,[1]wms_iv_f!$A$1:$E$136,4,FALSE),"")</f>
        <v/>
      </c>
      <c r="H2410" s="95" t="str">
        <f>IFERROR(VLOOKUP(A2410,[2]wms_lc_f!$A$1:$B$156,2,FALSE),"")</f>
        <v/>
      </c>
    </row>
    <row r="2411" spans="1:8" hidden="1">
      <c r="A2411" s="71">
        <v>143812</v>
      </c>
      <c r="B2411" s="69" t="s">
        <v>2613</v>
      </c>
      <c r="C2411" s="70" t="s">
        <v>2576</v>
      </c>
      <c r="D2411" s="70" t="s">
        <v>2610</v>
      </c>
      <c r="E2411" s="72"/>
      <c r="F2411" s="70"/>
      <c r="G2411" s="70" t="str">
        <f>IFERROR(VLOOKUP(A2411,[1]wms_iv_f!$A$1:$E$136,4,FALSE),"")</f>
        <v/>
      </c>
      <c r="H2411" s="95" t="str">
        <f>IFERROR(VLOOKUP(A2411,[2]wms_lc_f!$A$1:$B$156,2,FALSE),"")</f>
        <v/>
      </c>
    </row>
    <row r="2412" spans="1:8" hidden="1">
      <c r="A2412" s="71">
        <v>558</v>
      </c>
      <c r="B2412" s="69" t="s">
        <v>2613</v>
      </c>
      <c r="C2412" s="70" t="s">
        <v>2358</v>
      </c>
      <c r="D2412" s="70" t="s">
        <v>2610</v>
      </c>
      <c r="E2412" s="72"/>
      <c r="F2412" s="70"/>
      <c r="G2412" s="70" t="str">
        <f>IFERROR(VLOOKUP(A2412,[1]wms_iv_f!$A$1:$E$136,4,FALSE),"")</f>
        <v/>
      </c>
      <c r="H2412" s="95" t="str">
        <f>IFERROR(VLOOKUP(A2412,[2]wms_lc_f!$A$1:$B$156,2,FALSE),"")</f>
        <v/>
      </c>
    </row>
    <row r="2413" spans="1:8" hidden="1">
      <c r="A2413" s="71">
        <v>400</v>
      </c>
      <c r="B2413" s="69" t="s">
        <v>2613</v>
      </c>
      <c r="C2413" s="70" t="s">
        <v>2471</v>
      </c>
      <c r="D2413" s="70" t="s">
        <v>2610</v>
      </c>
      <c r="E2413" s="72"/>
      <c r="F2413" s="70"/>
      <c r="G2413" s="70" t="str">
        <f>IFERROR(VLOOKUP(A2413,[1]wms_iv_f!$A$1:$E$136,4,FALSE),"")</f>
        <v/>
      </c>
      <c r="H2413" s="95" t="str">
        <f>IFERROR(VLOOKUP(A2413,[2]wms_lc_f!$A$1:$B$156,2,FALSE),"")</f>
        <v/>
      </c>
    </row>
    <row r="2414" spans="1:8" hidden="1">
      <c r="A2414" s="71">
        <v>106840</v>
      </c>
      <c r="B2414" s="69" t="s">
        <v>2613</v>
      </c>
      <c r="C2414" s="70" t="s">
        <v>2473</v>
      </c>
      <c r="D2414" s="70" t="s">
        <v>2610</v>
      </c>
      <c r="E2414" s="72"/>
      <c r="F2414" s="70"/>
      <c r="G2414" s="70" t="str">
        <f>IFERROR(VLOOKUP(A2414,[1]wms_iv_f!$A$1:$E$136,4,FALSE),"")</f>
        <v/>
      </c>
      <c r="H2414" s="95" t="str">
        <f>IFERROR(VLOOKUP(A2414,[2]wms_lc_f!$A$1:$B$156,2,FALSE),"")</f>
        <v/>
      </c>
    </row>
    <row r="2415" spans="1:8" hidden="1">
      <c r="A2415" s="71">
        <v>106840</v>
      </c>
      <c r="B2415" s="69" t="s">
        <v>2613</v>
      </c>
      <c r="C2415" s="70" t="s">
        <v>2474</v>
      </c>
      <c r="D2415" s="70" t="s">
        <v>2610</v>
      </c>
      <c r="E2415" s="72"/>
      <c r="F2415" s="70"/>
      <c r="G2415" s="70" t="str">
        <f>IFERROR(VLOOKUP(A2415,[1]wms_iv_f!$A$1:$E$136,4,FALSE),"")</f>
        <v/>
      </c>
      <c r="H2415" s="95" t="str">
        <f>IFERROR(VLOOKUP(A2415,[2]wms_lc_f!$A$1:$B$156,2,FALSE),"")</f>
        <v/>
      </c>
    </row>
    <row r="2416" spans="1:8" hidden="1">
      <c r="A2416" s="71">
        <v>112686</v>
      </c>
      <c r="B2416" s="69" t="s">
        <v>2613</v>
      </c>
      <c r="C2416" s="70" t="s">
        <v>1998</v>
      </c>
      <c r="D2416" s="70" t="s">
        <v>2614</v>
      </c>
      <c r="E2416" s="70"/>
      <c r="F2416" s="70"/>
      <c r="G2416" s="70" t="str">
        <f>IFERROR(VLOOKUP(A2416,[1]wms_iv_f!$A$1:$E$136,4,FALSE),"")</f>
        <v/>
      </c>
      <c r="H2416" s="95" t="str">
        <f>IFERROR(VLOOKUP(A2416,[2]wms_lc_f!$A$1:$B$156,2,FALSE),"")</f>
        <v/>
      </c>
    </row>
    <row r="2417" spans="1:8" hidden="1">
      <c r="A2417" s="71">
        <v>86221</v>
      </c>
      <c r="B2417" s="69" t="s">
        <v>2613</v>
      </c>
      <c r="C2417" s="70" t="s">
        <v>2048</v>
      </c>
      <c r="D2417" s="70" t="s">
        <v>2614</v>
      </c>
      <c r="E2417" s="70"/>
      <c r="F2417" s="70"/>
      <c r="G2417" s="70" t="str">
        <f>IFERROR(VLOOKUP(A2417,[1]wms_iv_f!$A$1:$E$136,4,FALSE),"")</f>
        <v/>
      </c>
      <c r="H2417" s="95" t="str">
        <f>IFERROR(VLOOKUP(A2417,[2]wms_lc_f!$A$1:$B$156,2,FALSE),"")</f>
        <v/>
      </c>
    </row>
    <row r="2418" spans="1:8" hidden="1">
      <c r="A2418" s="71">
        <v>14034</v>
      </c>
      <c r="B2418" s="69" t="s">
        <v>2613</v>
      </c>
      <c r="C2418" s="70" t="s">
        <v>2060</v>
      </c>
      <c r="D2418" s="70" t="s">
        <v>2614</v>
      </c>
      <c r="E2418" s="70"/>
      <c r="F2418" s="70"/>
      <c r="G2418" s="70" t="str">
        <f>IFERROR(VLOOKUP(A2418,[1]wms_iv_f!$A$1:$E$136,4,FALSE),"")</f>
        <v/>
      </c>
      <c r="H2418" s="95" t="str">
        <f>IFERROR(VLOOKUP(A2418,[2]wms_lc_f!$A$1:$B$156,2,FALSE),"")</f>
        <v/>
      </c>
    </row>
    <row r="2419" spans="1:8" hidden="1">
      <c r="A2419" s="71">
        <v>29510</v>
      </c>
      <c r="B2419" s="69" t="s">
        <v>2613</v>
      </c>
      <c r="C2419" s="70" t="s">
        <v>2107</v>
      </c>
      <c r="D2419" s="70" t="s">
        <v>2614</v>
      </c>
      <c r="E2419" s="70"/>
      <c r="F2419" s="70"/>
      <c r="G2419" s="70" t="str">
        <f>IFERROR(VLOOKUP(A2419,[1]wms_iv_f!$A$1:$E$136,4,FALSE),"")</f>
        <v/>
      </c>
      <c r="H2419" s="95" t="str">
        <f>IFERROR(VLOOKUP(A2419,[2]wms_lc_f!$A$1:$B$156,2,FALSE),"")</f>
        <v/>
      </c>
    </row>
    <row r="2420" spans="1:8" hidden="1">
      <c r="A2420" s="71">
        <v>100213</v>
      </c>
      <c r="B2420" s="69" t="s">
        <v>2613</v>
      </c>
      <c r="C2420" s="70" t="s">
        <v>2157</v>
      </c>
      <c r="D2420" s="70" t="s">
        <v>2614</v>
      </c>
      <c r="E2420" s="70"/>
      <c r="F2420" s="70"/>
      <c r="G2420" s="70" t="str">
        <f>IFERROR(VLOOKUP(A2420,[1]wms_iv_f!$A$1:$E$136,4,FALSE),"")</f>
        <v/>
      </c>
      <c r="H2420" s="95" t="str">
        <f>IFERROR(VLOOKUP(A2420,[2]wms_lc_f!$A$1:$B$156,2,FALSE),"")</f>
        <v/>
      </c>
    </row>
    <row r="2421" spans="1:8" hidden="1">
      <c r="A2421" s="71">
        <v>123944</v>
      </c>
      <c r="B2421" s="69" t="s">
        <v>2613</v>
      </c>
      <c r="C2421" s="70" t="s">
        <v>2169</v>
      </c>
      <c r="D2421" s="70" t="s">
        <v>2614</v>
      </c>
      <c r="E2421" s="70"/>
      <c r="F2421" s="70"/>
      <c r="G2421" s="70" t="str">
        <f>IFERROR(VLOOKUP(A2421,[1]wms_iv_f!$A$1:$E$136,4,FALSE),"")</f>
        <v/>
      </c>
      <c r="H2421" s="95" t="str">
        <f>IFERROR(VLOOKUP(A2421,[2]wms_lc_f!$A$1:$B$156,2,FALSE),"")</f>
        <v/>
      </c>
    </row>
    <row r="2422" spans="1:8" hidden="1">
      <c r="A2422" s="71">
        <v>1944</v>
      </c>
      <c r="B2422" s="69" t="s">
        <v>2613</v>
      </c>
      <c r="C2422" s="70" t="s">
        <v>2216</v>
      </c>
      <c r="D2422" s="70" t="s">
        <v>2614</v>
      </c>
      <c r="E2422" s="70"/>
      <c r="F2422" s="70"/>
      <c r="G2422" s="70" t="str">
        <f>IFERROR(VLOOKUP(A2422,[1]wms_iv_f!$A$1:$E$136,4,FALSE),"")</f>
        <v/>
      </c>
      <c r="H2422" s="95" t="str">
        <f>IFERROR(VLOOKUP(A2422,[2]wms_lc_f!$A$1:$B$156,2,FALSE),"")</f>
        <v/>
      </c>
    </row>
    <row r="2423" spans="1:8" hidden="1">
      <c r="A2423" s="69">
        <v>157617</v>
      </c>
      <c r="B2423" s="69" t="s">
        <v>2613</v>
      </c>
      <c r="C2423" s="70" t="s">
        <v>2264</v>
      </c>
      <c r="D2423" s="70" t="s">
        <v>2614</v>
      </c>
      <c r="E2423" s="70"/>
      <c r="F2423" s="70"/>
      <c r="G2423" s="70" t="str">
        <f>IFERROR(VLOOKUP(A2423,[1]wms_iv_f!$A$1:$E$136,4,FALSE),"")</f>
        <v/>
      </c>
      <c r="H2423" s="95" t="str">
        <f>IFERROR(VLOOKUP(A2423,[2]wms_lc_f!$A$1:$B$156,2,FALSE),"")</f>
        <v/>
      </c>
    </row>
    <row r="2424" spans="1:8" hidden="1">
      <c r="A2424" s="69">
        <v>113983</v>
      </c>
      <c r="B2424" s="69" t="s">
        <v>2613</v>
      </c>
      <c r="C2424" s="70" t="s">
        <v>2272</v>
      </c>
      <c r="D2424" s="70" t="s">
        <v>2614</v>
      </c>
      <c r="E2424" s="70"/>
      <c r="F2424" s="70"/>
      <c r="G2424" s="70" t="str">
        <f>IFERROR(VLOOKUP(A2424,[1]wms_iv_f!$A$1:$E$136,4,FALSE),"")</f>
        <v/>
      </c>
      <c r="H2424" s="95" t="str">
        <f>IFERROR(VLOOKUP(A2424,[2]wms_lc_f!$A$1:$B$156,2,FALSE),"")</f>
        <v/>
      </c>
    </row>
    <row r="2425" spans="1:8" hidden="1">
      <c r="A2425" s="69">
        <f>IFERROR(VLOOKUP(C2425,[3]wms_iv_f!$A$1:$D$135,2,FALSE),"")</f>
        <v>159002</v>
      </c>
      <c r="B2425" s="69" t="s">
        <v>2613</v>
      </c>
      <c r="C2425" s="70" t="s">
        <v>1999</v>
      </c>
      <c r="D2425" s="70" t="s">
        <v>2614</v>
      </c>
      <c r="E2425" s="70"/>
      <c r="F2425" s="70"/>
      <c r="G2425" s="70" t="str">
        <f>IFERROR(VLOOKUP(A2425,[1]wms_iv_f!$A$1:$E$136,4,FALSE),"")</f>
        <v>M26-2-1A10</v>
      </c>
      <c r="H2425" s="95" t="str">
        <f>IFERROR(VLOOKUP(A2425,[2]wms_lc_f!$A$1:$B$156,2,FALSE),"")</f>
        <v/>
      </c>
    </row>
    <row r="2426" spans="1:8" hidden="1">
      <c r="A2426" s="69">
        <f>IFERROR(VLOOKUP(C2426,[3]wms_iv_f!$A$1:$D$135,2,FALSE),"")</f>
        <v>156867</v>
      </c>
      <c r="B2426" s="69" t="s">
        <v>2613</v>
      </c>
      <c r="C2426" s="70" t="s">
        <v>2049</v>
      </c>
      <c r="D2426" s="70" t="s">
        <v>2614</v>
      </c>
      <c r="E2426" s="70"/>
      <c r="F2426" s="70"/>
      <c r="G2426" s="70" t="str">
        <f>IFERROR(VLOOKUP(A2426,[1]wms_iv_f!$A$1:$E$136,4,FALSE),"")</f>
        <v>M26-2-1B01</v>
      </c>
      <c r="H2426" s="95" t="str">
        <f>IFERROR(VLOOKUP(A2426,[2]wms_lc_f!$A$1:$B$156,2,FALSE),"")</f>
        <v/>
      </c>
    </row>
    <row r="2427" spans="1:8" hidden="1">
      <c r="A2427" s="69">
        <f>IFERROR(VLOOKUP(C2427,[3]wms_iv_f!$A$1:$D$135,2,FALSE),"")</f>
        <v>1360</v>
      </c>
      <c r="B2427" s="69" t="s">
        <v>2613</v>
      </c>
      <c r="C2427" s="70" t="s">
        <v>2061</v>
      </c>
      <c r="D2427" s="70" t="s">
        <v>2614</v>
      </c>
      <c r="E2427" s="70"/>
      <c r="F2427" s="70"/>
      <c r="G2427" s="70" t="str">
        <f>IFERROR(VLOOKUP(A2427,[1]wms_iv_f!$A$1:$E$136,4,FALSE),"")</f>
        <v>M26-2-1B02</v>
      </c>
      <c r="H2427" s="95" t="str">
        <f>IFERROR(VLOOKUP(A2427,[2]wms_lc_f!$A$1:$B$156,2,FALSE),"")</f>
        <v/>
      </c>
    </row>
    <row r="2428" spans="1:8" hidden="1">
      <c r="A2428" s="69">
        <v>63153</v>
      </c>
      <c r="B2428" s="69" t="s">
        <v>2613</v>
      </c>
      <c r="C2428" s="70" t="s">
        <v>2108</v>
      </c>
      <c r="D2428" s="70" t="s">
        <v>2614</v>
      </c>
      <c r="E2428" s="70"/>
      <c r="F2428" s="70"/>
      <c r="G2428" s="70" t="str">
        <f>IFERROR(VLOOKUP(A2428,[1]wms_iv_f!$A$1:$E$136,4,FALSE),"")</f>
        <v/>
      </c>
      <c r="H2428" s="95" t="str">
        <f>IFERROR(VLOOKUP(A2428,[2]wms_lc_f!$A$1:$B$156,2,FALSE),"")</f>
        <v/>
      </c>
    </row>
    <row r="2429" spans="1:8" hidden="1">
      <c r="A2429" s="69">
        <v>86224</v>
      </c>
      <c r="B2429" s="69" t="s">
        <v>2613</v>
      </c>
      <c r="C2429" s="70" t="s">
        <v>2158</v>
      </c>
      <c r="D2429" s="70" t="s">
        <v>2614</v>
      </c>
      <c r="E2429" s="70"/>
      <c r="F2429" s="70"/>
      <c r="G2429" s="70" t="str">
        <f>IFERROR(VLOOKUP(A2429,[1]wms_iv_f!$A$1:$E$136,4,FALSE),"")</f>
        <v/>
      </c>
      <c r="H2429" s="95" t="str">
        <f>IFERROR(VLOOKUP(A2429,[2]wms_lc_f!$A$1:$B$156,2,FALSE),"")</f>
        <v/>
      </c>
    </row>
    <row r="2430" spans="1:8" hidden="1">
      <c r="A2430" s="69">
        <v>119975</v>
      </c>
      <c r="B2430" s="69" t="s">
        <v>2613</v>
      </c>
      <c r="C2430" s="70" t="s">
        <v>2170</v>
      </c>
      <c r="D2430" s="70" t="s">
        <v>2614</v>
      </c>
      <c r="E2430" s="70"/>
      <c r="F2430" s="70"/>
      <c r="G2430" s="70" t="str">
        <f>IFERROR(VLOOKUP(A2430,[1]wms_iv_f!$A$1:$E$136,4,FALSE),"")</f>
        <v/>
      </c>
      <c r="H2430" s="95" t="str">
        <f>IFERROR(VLOOKUP(A2430,[2]wms_lc_f!$A$1:$B$156,2,FALSE),"")</f>
        <v/>
      </c>
    </row>
    <row r="2431" spans="1:8" hidden="1">
      <c r="A2431" s="69">
        <v>143990</v>
      </c>
      <c r="B2431" s="69" t="s">
        <v>2613</v>
      </c>
      <c r="C2431" s="70" t="s">
        <v>2217</v>
      </c>
      <c r="D2431" s="70" t="s">
        <v>2614</v>
      </c>
      <c r="E2431" s="70"/>
      <c r="F2431" s="70"/>
      <c r="G2431" s="70" t="str">
        <f>IFERROR(VLOOKUP(A2431,[1]wms_iv_f!$A$1:$E$136,4,FALSE),"")</f>
        <v/>
      </c>
      <c r="H2431" s="95" t="str">
        <f>IFERROR(VLOOKUP(A2431,[2]wms_lc_f!$A$1:$B$156,2,FALSE),"")</f>
        <v/>
      </c>
    </row>
    <row r="2432" spans="1:8" hidden="1">
      <c r="A2432" s="69">
        <v>132802</v>
      </c>
      <c r="B2432" s="69" t="s">
        <v>2613</v>
      </c>
      <c r="C2432" s="70" t="s">
        <v>2265</v>
      </c>
      <c r="D2432" s="70" t="s">
        <v>2614</v>
      </c>
      <c r="E2432" s="70"/>
      <c r="F2432" s="70"/>
      <c r="G2432" s="70" t="str">
        <f>IFERROR(VLOOKUP(A2432,[1]wms_iv_f!$A$1:$E$136,4,FALSE),"")</f>
        <v/>
      </c>
      <c r="H2432" s="95" t="str">
        <f>IFERROR(VLOOKUP(A2432,[2]wms_lc_f!$A$1:$B$156,2,FALSE),"")</f>
        <v/>
      </c>
    </row>
    <row r="2433" spans="1:8" hidden="1">
      <c r="A2433" s="69">
        <v>33299</v>
      </c>
      <c r="B2433" s="69" t="s">
        <v>2613</v>
      </c>
      <c r="C2433" s="70" t="s">
        <v>2273</v>
      </c>
      <c r="D2433" s="70" t="s">
        <v>2614</v>
      </c>
      <c r="E2433" s="70"/>
      <c r="F2433" s="70"/>
      <c r="G2433" s="70" t="str">
        <f>IFERROR(VLOOKUP(A2433,[1]wms_iv_f!$A$1:$E$136,4,FALSE),"")</f>
        <v/>
      </c>
      <c r="H2433" s="95" t="str">
        <f>IFERROR(VLOOKUP(A2433,[2]wms_lc_f!$A$1:$B$156,2,FALSE),"")</f>
        <v/>
      </c>
    </row>
    <row r="2434" spans="1:8" hidden="1">
      <c r="A2434" s="69">
        <v>114950</v>
      </c>
      <c r="B2434" s="69" t="s">
        <v>2613</v>
      </c>
      <c r="C2434" s="70" t="s">
        <v>2000</v>
      </c>
      <c r="D2434" s="70" t="s">
        <v>2614</v>
      </c>
      <c r="E2434" s="70"/>
      <c r="F2434" s="70"/>
      <c r="G2434" s="70" t="str">
        <f>IFERROR(VLOOKUP(A2434,[1]wms_iv_f!$A$1:$E$136,4,FALSE),"")</f>
        <v/>
      </c>
      <c r="H2434" s="95" t="str">
        <f>IFERROR(VLOOKUP(A2434,[2]wms_lc_f!$A$1:$B$156,2,FALSE),"")</f>
        <v/>
      </c>
    </row>
    <row r="2435" spans="1:8" hidden="1">
      <c r="A2435" s="69">
        <f>IFERROR(VLOOKUP(C2435,[3]wms_iv_f!$A$1:$D$135,2,FALSE),"")</f>
        <v>157041</v>
      </c>
      <c r="B2435" s="69" t="s">
        <v>2613</v>
      </c>
      <c r="C2435" s="70" t="s">
        <v>2050</v>
      </c>
      <c r="D2435" s="70" t="s">
        <v>2614</v>
      </c>
      <c r="E2435" s="70"/>
      <c r="F2435" s="70"/>
      <c r="G2435" s="70" t="str">
        <f>IFERROR(VLOOKUP(A2435,[1]wms_iv_f!$A$1:$E$136,4,FALSE),"")</f>
        <v>M26-2-1B10</v>
      </c>
      <c r="H2435" s="95" t="str">
        <f>IFERROR(VLOOKUP(A2435,[2]wms_lc_f!$A$1:$B$156,2,FALSE),"")</f>
        <v/>
      </c>
    </row>
    <row r="2436" spans="1:8" hidden="1">
      <c r="A2436" s="69">
        <f>IFERROR(VLOOKUP(C2436,[3]wms_iv_f!$A$1:$D$135,2,FALSE),"")</f>
        <v>120175</v>
      </c>
      <c r="B2436" s="69" t="s">
        <v>2613</v>
      </c>
      <c r="C2436" s="70" t="s">
        <v>2062</v>
      </c>
      <c r="D2436" s="70" t="s">
        <v>2614</v>
      </c>
      <c r="E2436" s="70"/>
      <c r="F2436" s="70"/>
      <c r="G2436" s="70" t="str">
        <f>IFERROR(VLOOKUP(A2436,[1]wms_iv_f!$A$1:$E$136,4,FALSE),"")</f>
        <v>M26-2-1C01</v>
      </c>
      <c r="H2436" s="95" t="str">
        <f>IFERROR(VLOOKUP(A2436,[2]wms_lc_f!$A$1:$B$156,2,FALSE),"")</f>
        <v/>
      </c>
    </row>
    <row r="2437" spans="1:8" hidden="1">
      <c r="A2437" s="69">
        <f>IFERROR(VLOOKUP(C2437,[3]wms_iv_f!$A$1:$D$135,2,FALSE),"")</f>
        <v>14732</v>
      </c>
      <c r="B2437" s="69" t="s">
        <v>2613</v>
      </c>
      <c r="C2437" s="70" t="s">
        <v>2109</v>
      </c>
      <c r="D2437" s="70" t="s">
        <v>2614</v>
      </c>
      <c r="E2437" s="70"/>
      <c r="F2437" s="70"/>
      <c r="G2437" s="70" t="str">
        <f>IFERROR(VLOOKUP(A2437,[1]wms_iv_f!$A$1:$E$136,4,FALSE),"")</f>
        <v>M26-2-1C02</v>
      </c>
      <c r="H2437" s="95" t="str">
        <f>IFERROR(VLOOKUP(A2437,[2]wms_lc_f!$A$1:$B$156,2,FALSE),"")</f>
        <v/>
      </c>
    </row>
    <row r="2438" spans="1:8" hidden="1">
      <c r="A2438" s="69">
        <f>IFERROR(VLOOKUP(C2438,[3]wms_iv_f!$A$1:$D$135,2,FALSE),"")</f>
        <v>120173</v>
      </c>
      <c r="B2438" s="69" t="s">
        <v>2613</v>
      </c>
      <c r="C2438" s="70" t="s">
        <v>2159</v>
      </c>
      <c r="D2438" s="70" t="s">
        <v>2614</v>
      </c>
      <c r="E2438" s="70"/>
      <c r="F2438" s="70"/>
      <c r="G2438" s="70" t="str">
        <f>IFERROR(VLOOKUP(A2438,[1]wms_iv_f!$A$1:$E$136,4,FALSE),"")</f>
        <v>M26-2-1C03</v>
      </c>
      <c r="H2438" s="95" t="str">
        <f>IFERROR(VLOOKUP(A2438,[2]wms_lc_f!$A$1:$B$156,2,FALSE),"")</f>
        <v/>
      </c>
    </row>
    <row r="2439" spans="1:8" hidden="1">
      <c r="A2439" s="69">
        <f>IFERROR(VLOOKUP(C2439,[3]wms_iv_f!$A$1:$D$135,2,FALSE),"")</f>
        <v>275</v>
      </c>
      <c r="B2439" s="69" t="s">
        <v>2613</v>
      </c>
      <c r="C2439" s="70" t="s">
        <v>2171</v>
      </c>
      <c r="D2439" s="70" t="s">
        <v>2614</v>
      </c>
      <c r="E2439" s="70"/>
      <c r="F2439" s="70"/>
      <c r="G2439" s="70" t="str">
        <f>IFERROR(VLOOKUP(A2439,[1]wms_iv_f!$A$1:$E$136,4,FALSE),"")</f>
        <v>M26-2-1C04</v>
      </c>
      <c r="H2439" s="95" t="str">
        <f>IFERROR(VLOOKUP(A2439,[2]wms_lc_f!$A$1:$B$156,2,FALSE),"")</f>
        <v/>
      </c>
    </row>
    <row r="2440" spans="1:8" hidden="1">
      <c r="A2440" s="69">
        <v>74333</v>
      </c>
      <c r="B2440" s="69" t="s">
        <v>2613</v>
      </c>
      <c r="C2440" s="70" t="s">
        <v>2218</v>
      </c>
      <c r="D2440" s="70" t="s">
        <v>2614</v>
      </c>
      <c r="E2440" s="70"/>
      <c r="F2440" s="70"/>
      <c r="G2440" s="70" t="str">
        <f>IFERROR(VLOOKUP(A2440,[1]wms_iv_f!$A$1:$E$136,4,FALSE),"")</f>
        <v/>
      </c>
      <c r="H2440" s="95" t="str">
        <f>IFERROR(VLOOKUP(A2440,[2]wms_lc_f!$A$1:$B$156,2,FALSE),"")</f>
        <v/>
      </c>
    </row>
    <row r="2441" spans="1:8" hidden="1">
      <c r="A2441" s="69">
        <v>1931</v>
      </c>
      <c r="B2441" s="69" t="s">
        <v>2613</v>
      </c>
      <c r="C2441" s="70" t="s">
        <v>2001</v>
      </c>
      <c r="D2441" s="70" t="s">
        <v>2614</v>
      </c>
      <c r="E2441" s="70"/>
      <c r="F2441" s="70"/>
      <c r="G2441" s="70" t="str">
        <f>IFERROR(VLOOKUP(A2441,[1]wms_iv_f!$A$1:$E$136,4,FALSE),"")</f>
        <v/>
      </c>
      <c r="H2441" s="95" t="str">
        <f>IFERROR(VLOOKUP(A2441,[2]wms_lc_f!$A$1:$B$156,2,FALSE),"")</f>
        <v/>
      </c>
    </row>
    <row r="2442" spans="1:8" hidden="1">
      <c r="A2442" s="69">
        <v>113326</v>
      </c>
      <c r="B2442" s="69" t="s">
        <v>2613</v>
      </c>
      <c r="C2442" s="70" t="s">
        <v>2051</v>
      </c>
      <c r="D2442" s="70" t="s">
        <v>2614</v>
      </c>
      <c r="E2442" s="70"/>
      <c r="F2442" s="70"/>
      <c r="G2442" s="70" t="str">
        <f>IFERROR(VLOOKUP(A2442,[1]wms_iv_f!$A$1:$E$136,4,FALSE),"")</f>
        <v/>
      </c>
      <c r="H2442" s="95" t="str">
        <f>IFERROR(VLOOKUP(A2442,[2]wms_lc_f!$A$1:$B$156,2,FALSE),"")</f>
        <v/>
      </c>
    </row>
    <row r="2443" spans="1:8" hidden="1">
      <c r="A2443" s="69">
        <v>7759</v>
      </c>
      <c r="B2443" s="69" t="s">
        <v>2613</v>
      </c>
      <c r="C2443" s="70" t="s">
        <v>2063</v>
      </c>
      <c r="D2443" s="70" t="s">
        <v>2614</v>
      </c>
      <c r="E2443" s="70"/>
      <c r="F2443" s="70"/>
      <c r="G2443" s="70" t="str">
        <f>IFERROR(VLOOKUP(A2443,[1]wms_iv_f!$A$1:$E$136,4,FALSE),"")</f>
        <v/>
      </c>
      <c r="H2443" s="95" t="str">
        <f>IFERROR(VLOOKUP(A2443,[2]wms_lc_f!$A$1:$B$156,2,FALSE),"")</f>
        <v/>
      </c>
    </row>
    <row r="2444" spans="1:8" hidden="1">
      <c r="A2444" s="69">
        <f>IFERROR(VLOOKUP(C2444,[3]wms_iv_f!$A$1:$D$135,2,FALSE),"")</f>
        <v>82352</v>
      </c>
      <c r="B2444" s="69" t="s">
        <v>2613</v>
      </c>
      <c r="C2444" s="70" t="s">
        <v>2110</v>
      </c>
      <c r="D2444" s="70" t="s">
        <v>2614</v>
      </c>
      <c r="E2444" s="70"/>
      <c r="F2444" s="70"/>
      <c r="G2444" s="70" t="str">
        <f>IFERROR(VLOOKUP(A2444,[1]wms_iv_f!$A$1:$E$136,4,FALSE),"")</f>
        <v>M26-2-1C09</v>
      </c>
      <c r="H2444" s="95" t="str">
        <f>IFERROR(VLOOKUP(A2444,[2]wms_lc_f!$A$1:$B$156,2,FALSE),"")</f>
        <v/>
      </c>
    </row>
    <row r="2445" spans="1:8" hidden="1">
      <c r="A2445" s="69">
        <f>IFERROR(VLOOKUP(C2445,[3]wms_iv_f!$A$1:$D$135,2,FALSE),"")</f>
        <v>83917</v>
      </c>
      <c r="B2445" s="69" t="s">
        <v>2613</v>
      </c>
      <c r="C2445" s="70" t="s">
        <v>2160</v>
      </c>
      <c r="D2445" s="70" t="s">
        <v>2614</v>
      </c>
      <c r="E2445" s="70"/>
      <c r="F2445" s="70"/>
      <c r="G2445" s="70" t="str">
        <f>IFERROR(VLOOKUP(A2445,[1]wms_iv_f!$A$1:$E$136,4,FALSE),"")</f>
        <v>M26-2-1C10</v>
      </c>
      <c r="H2445" s="95" t="str">
        <f>IFERROR(VLOOKUP(A2445,[2]wms_lc_f!$A$1:$B$156,2,FALSE),"")</f>
        <v/>
      </c>
    </row>
    <row r="2446" spans="1:8" hidden="1">
      <c r="A2446" s="69">
        <f>IFERROR(VLOOKUP(C2446,[3]wms_iv_f!$A$1:$D$135,2,FALSE),"")</f>
        <v>3710</v>
      </c>
      <c r="B2446" s="69" t="s">
        <v>2613</v>
      </c>
      <c r="C2446" s="70" t="s">
        <v>2172</v>
      </c>
      <c r="D2446" s="70" t="s">
        <v>2614</v>
      </c>
      <c r="E2446" s="70"/>
      <c r="F2446" s="70"/>
      <c r="G2446" s="70" t="str">
        <f>IFERROR(VLOOKUP(A2446,[1]wms_iv_f!$A$1:$E$136,4,FALSE),"")</f>
        <v>M26-2-1D01</v>
      </c>
      <c r="H2446" s="95" t="str">
        <f>IFERROR(VLOOKUP(A2446,[2]wms_lc_f!$A$1:$B$156,2,FALSE),"")</f>
        <v/>
      </c>
    </row>
    <row r="2447" spans="1:8" hidden="1">
      <c r="A2447" s="69">
        <v>1080</v>
      </c>
      <c r="B2447" s="69" t="s">
        <v>2613</v>
      </c>
      <c r="C2447" s="70" t="s">
        <v>2219</v>
      </c>
      <c r="D2447" s="70" t="s">
        <v>2614</v>
      </c>
      <c r="E2447" s="70"/>
      <c r="F2447" s="70"/>
      <c r="G2447" s="70" t="str">
        <f>IFERROR(VLOOKUP(A2447,[1]wms_iv_f!$A$1:$E$136,4,FALSE),"")</f>
        <v/>
      </c>
      <c r="H2447" s="95" t="str">
        <f>IFERROR(VLOOKUP(A2447,[2]wms_lc_f!$A$1:$B$156,2,FALSE),"")</f>
        <v/>
      </c>
    </row>
    <row r="2448" spans="1:8" hidden="1">
      <c r="A2448" s="69">
        <v>35162</v>
      </c>
      <c r="B2448" s="69" t="s">
        <v>2613</v>
      </c>
      <c r="C2448" s="70" t="s">
        <v>2002</v>
      </c>
      <c r="D2448" s="70" t="s">
        <v>2614</v>
      </c>
      <c r="E2448" s="70"/>
      <c r="F2448" s="70"/>
      <c r="G2448" s="70" t="str">
        <f>IFERROR(VLOOKUP(A2448,[1]wms_iv_f!$A$1:$E$136,4,FALSE),"")</f>
        <v/>
      </c>
      <c r="H2448" s="95" t="str">
        <f>IFERROR(VLOOKUP(A2448,[2]wms_lc_f!$A$1:$B$156,2,FALSE),"")</f>
        <v/>
      </c>
    </row>
    <row r="2449" spans="1:8" hidden="1">
      <c r="A2449" s="69">
        <v>35254</v>
      </c>
      <c r="B2449" s="69" t="s">
        <v>2613</v>
      </c>
      <c r="C2449" s="70" t="s">
        <v>2052</v>
      </c>
      <c r="D2449" s="70" t="s">
        <v>2614</v>
      </c>
      <c r="E2449" s="70"/>
      <c r="F2449" s="70"/>
      <c r="G2449" s="70" t="str">
        <f>IFERROR(VLOOKUP(A2449,[1]wms_iv_f!$A$1:$E$136,4,FALSE),"")</f>
        <v/>
      </c>
      <c r="H2449" s="95" t="str">
        <f>IFERROR(VLOOKUP(A2449,[2]wms_lc_f!$A$1:$B$156,2,FALSE),"")</f>
        <v/>
      </c>
    </row>
    <row r="2450" spans="1:8" hidden="1">
      <c r="A2450" s="69">
        <v>138289</v>
      </c>
      <c r="B2450" s="69" t="s">
        <v>2613</v>
      </c>
      <c r="C2450" s="70" t="s">
        <v>2064</v>
      </c>
      <c r="D2450" s="70" t="s">
        <v>2614</v>
      </c>
      <c r="E2450" s="70"/>
      <c r="F2450" s="70"/>
      <c r="G2450" s="70" t="str">
        <f>IFERROR(VLOOKUP(A2450,[1]wms_iv_f!$A$1:$E$136,4,FALSE),"")</f>
        <v/>
      </c>
      <c r="H2450" s="95" t="str">
        <f>IFERROR(VLOOKUP(A2450,[2]wms_lc_f!$A$1:$B$156,2,FALSE),"")</f>
        <v/>
      </c>
    </row>
    <row r="2451" spans="1:8" hidden="1">
      <c r="A2451" s="69">
        <v>14500</v>
      </c>
      <c r="B2451" s="69" t="s">
        <v>2613</v>
      </c>
      <c r="C2451" s="70" t="s">
        <v>2111</v>
      </c>
      <c r="D2451" s="70" t="s">
        <v>2614</v>
      </c>
      <c r="E2451" s="70"/>
      <c r="F2451" s="70"/>
      <c r="G2451" s="70" t="str">
        <f>IFERROR(VLOOKUP(A2451,[1]wms_iv_f!$A$1:$E$136,4,FALSE),"")</f>
        <v/>
      </c>
      <c r="H2451" s="95" t="str">
        <f>IFERROR(VLOOKUP(A2451,[2]wms_lc_f!$A$1:$B$156,2,FALSE),"")</f>
        <v/>
      </c>
    </row>
    <row r="2452" spans="1:8" hidden="1">
      <c r="A2452" s="69">
        <v>36992</v>
      </c>
      <c r="B2452" s="69" t="s">
        <v>2613</v>
      </c>
      <c r="C2452" s="70" t="s">
        <v>2161</v>
      </c>
      <c r="D2452" s="70" t="s">
        <v>2614</v>
      </c>
      <c r="E2452" s="70"/>
      <c r="F2452" s="70"/>
      <c r="G2452" s="70" t="str">
        <f>IFERROR(VLOOKUP(A2452,[1]wms_iv_f!$A$1:$E$136,4,FALSE),"")</f>
        <v/>
      </c>
      <c r="H2452" s="95" t="str">
        <f>IFERROR(VLOOKUP(A2452,[2]wms_lc_f!$A$1:$B$156,2,FALSE),"")</f>
        <v/>
      </c>
    </row>
    <row r="2453" spans="1:8" hidden="1">
      <c r="A2453" s="69">
        <v>35267</v>
      </c>
      <c r="B2453" s="69" t="s">
        <v>2613</v>
      </c>
      <c r="C2453" s="70" t="s">
        <v>2173</v>
      </c>
      <c r="D2453" s="70" t="s">
        <v>2614</v>
      </c>
      <c r="E2453" s="70"/>
      <c r="F2453" s="70"/>
      <c r="G2453" s="70" t="str">
        <f>IFERROR(VLOOKUP(A2453,[1]wms_iv_f!$A$1:$E$136,4,FALSE),"")</f>
        <v/>
      </c>
      <c r="H2453" s="95" t="str">
        <f>IFERROR(VLOOKUP(A2453,[2]wms_lc_f!$A$1:$B$156,2,FALSE),"")</f>
        <v/>
      </c>
    </row>
    <row r="2454" spans="1:8" hidden="1">
      <c r="A2454" s="69">
        <v>10881</v>
      </c>
      <c r="B2454" s="69" t="s">
        <v>2613</v>
      </c>
      <c r="C2454" s="70" t="s">
        <v>2220</v>
      </c>
      <c r="D2454" s="70" t="s">
        <v>2614</v>
      </c>
      <c r="E2454" s="70"/>
      <c r="F2454" s="70"/>
      <c r="G2454" s="70" t="str">
        <f>IFERROR(VLOOKUP(A2454,[1]wms_iv_f!$A$1:$E$136,4,FALSE),"")</f>
        <v/>
      </c>
      <c r="H2454" s="95" t="str">
        <f>IFERROR(VLOOKUP(A2454,[2]wms_lc_f!$A$1:$B$156,2,FALSE),"")</f>
        <v/>
      </c>
    </row>
    <row r="2455" spans="1:8" hidden="1">
      <c r="A2455" s="69">
        <v>73874</v>
      </c>
      <c r="B2455" s="69" t="s">
        <v>2613</v>
      </c>
      <c r="C2455" s="70" t="s">
        <v>2266</v>
      </c>
      <c r="D2455" s="70" t="s">
        <v>2614</v>
      </c>
      <c r="E2455" s="70"/>
      <c r="F2455" s="70"/>
      <c r="G2455" s="70" t="str">
        <f>IFERROR(VLOOKUP(A2455,[1]wms_iv_f!$A$1:$E$136,4,FALSE),"")</f>
        <v/>
      </c>
      <c r="H2455" s="95" t="str">
        <f>IFERROR(VLOOKUP(A2455,[2]wms_lc_f!$A$1:$B$156,2,FALSE),"")</f>
        <v/>
      </c>
    </row>
    <row r="2456" spans="1:8" hidden="1">
      <c r="A2456" s="69">
        <v>83661</v>
      </c>
      <c r="B2456" s="69" t="s">
        <v>2613</v>
      </c>
      <c r="C2456" s="70" t="s">
        <v>2274</v>
      </c>
      <c r="D2456" s="70" t="s">
        <v>2614</v>
      </c>
      <c r="E2456" s="70"/>
      <c r="F2456" s="70"/>
      <c r="G2456" s="70" t="str">
        <f>IFERROR(VLOOKUP(A2456,[1]wms_iv_f!$A$1:$E$136,4,FALSE),"")</f>
        <v/>
      </c>
      <c r="H2456" s="95" t="str">
        <f>IFERROR(VLOOKUP(A2456,[2]wms_lc_f!$A$1:$B$156,2,FALSE),"")</f>
        <v/>
      </c>
    </row>
    <row r="2457" spans="1:8" hidden="1">
      <c r="A2457" s="69">
        <v>60788</v>
      </c>
      <c r="B2457" s="69" t="s">
        <v>2613</v>
      </c>
      <c r="C2457" s="70" t="s">
        <v>2003</v>
      </c>
      <c r="D2457" s="70" t="s">
        <v>2614</v>
      </c>
      <c r="E2457" s="70"/>
      <c r="F2457" s="70"/>
      <c r="G2457" s="70" t="str">
        <f>IFERROR(VLOOKUP(A2457,[1]wms_iv_f!$A$1:$E$136,4,FALSE),"")</f>
        <v/>
      </c>
      <c r="H2457" s="95" t="str">
        <f>IFERROR(VLOOKUP(A2457,[2]wms_lc_f!$A$1:$B$156,2,FALSE),"")</f>
        <v/>
      </c>
    </row>
    <row r="2458" spans="1:8" hidden="1">
      <c r="A2458" s="69">
        <v>90501</v>
      </c>
      <c r="B2458" s="69" t="s">
        <v>2613</v>
      </c>
      <c r="C2458" s="70" t="s">
        <v>2053</v>
      </c>
      <c r="D2458" s="70" t="s">
        <v>2614</v>
      </c>
      <c r="E2458" s="70"/>
      <c r="F2458" s="70"/>
      <c r="G2458" s="70" t="str">
        <f>IFERROR(VLOOKUP(A2458,[1]wms_iv_f!$A$1:$E$136,4,FALSE),"")</f>
        <v/>
      </c>
      <c r="H2458" s="95" t="str">
        <f>IFERROR(VLOOKUP(A2458,[2]wms_lc_f!$A$1:$B$156,2,FALSE),"")</f>
        <v/>
      </c>
    </row>
    <row r="2459" spans="1:8" hidden="1">
      <c r="A2459" s="69">
        <v>130157</v>
      </c>
      <c r="B2459" s="69" t="s">
        <v>2613</v>
      </c>
      <c r="C2459" s="70" t="s">
        <v>2065</v>
      </c>
      <c r="D2459" s="70" t="s">
        <v>2614</v>
      </c>
      <c r="E2459" s="70"/>
      <c r="F2459" s="70"/>
      <c r="G2459" s="70" t="str">
        <f>IFERROR(VLOOKUP(A2459,[1]wms_iv_f!$A$1:$E$136,4,FALSE),"")</f>
        <v/>
      </c>
      <c r="H2459" s="95" t="str">
        <f>IFERROR(VLOOKUP(A2459,[2]wms_lc_f!$A$1:$B$156,2,FALSE),"")</f>
        <v/>
      </c>
    </row>
    <row r="2460" spans="1:8" hidden="1">
      <c r="A2460" s="69">
        <v>111197</v>
      </c>
      <c r="B2460" s="69" t="s">
        <v>2613</v>
      </c>
      <c r="C2460" s="70" t="s">
        <v>2112</v>
      </c>
      <c r="D2460" s="70" t="s">
        <v>2614</v>
      </c>
      <c r="E2460" s="70"/>
      <c r="F2460" s="70"/>
      <c r="G2460" s="70" t="str">
        <f>IFERROR(VLOOKUP(A2460,[1]wms_iv_f!$A$1:$E$136,4,FALSE),"")</f>
        <v/>
      </c>
      <c r="H2460" s="95" t="str">
        <f>IFERROR(VLOOKUP(A2460,[2]wms_lc_f!$A$1:$B$156,2,FALSE),"")</f>
        <v/>
      </c>
    </row>
    <row r="2461" spans="1:8" hidden="1">
      <c r="A2461" s="69">
        <v>8366</v>
      </c>
      <c r="B2461" s="69" t="s">
        <v>2613</v>
      </c>
      <c r="C2461" s="70" t="s">
        <v>2162</v>
      </c>
      <c r="D2461" s="70" t="s">
        <v>2614</v>
      </c>
      <c r="E2461" s="70"/>
      <c r="F2461" s="70"/>
      <c r="G2461" s="70" t="str">
        <f>IFERROR(VLOOKUP(A2461,[1]wms_iv_f!$A$1:$E$136,4,FALSE),"")</f>
        <v/>
      </c>
      <c r="H2461" s="95" t="str">
        <f>IFERROR(VLOOKUP(A2461,[2]wms_lc_f!$A$1:$B$156,2,FALSE),"")</f>
        <v/>
      </c>
    </row>
    <row r="2462" spans="1:8" hidden="1">
      <c r="A2462" s="69">
        <v>60168</v>
      </c>
      <c r="B2462" s="69" t="s">
        <v>2613</v>
      </c>
      <c r="C2462" s="70" t="s">
        <v>2174</v>
      </c>
      <c r="D2462" s="70" t="s">
        <v>2614</v>
      </c>
      <c r="E2462" s="70"/>
      <c r="F2462" s="70"/>
      <c r="G2462" s="70" t="str">
        <f>IFERROR(VLOOKUP(A2462,[1]wms_iv_f!$A$1:$E$136,4,FALSE),"")</f>
        <v/>
      </c>
      <c r="H2462" s="95" t="str">
        <f>IFERROR(VLOOKUP(A2462,[2]wms_lc_f!$A$1:$B$156,2,FALSE),"")</f>
        <v/>
      </c>
    </row>
    <row r="2463" spans="1:8" hidden="1">
      <c r="A2463" s="69">
        <v>13898</v>
      </c>
      <c r="B2463" s="69" t="s">
        <v>2613</v>
      </c>
      <c r="C2463" s="70" t="s">
        <v>2221</v>
      </c>
      <c r="D2463" s="70" t="s">
        <v>2614</v>
      </c>
      <c r="E2463" s="70"/>
      <c r="F2463" s="70"/>
      <c r="G2463" s="70" t="str">
        <f>IFERROR(VLOOKUP(A2463,[1]wms_iv_f!$A$1:$E$136,4,FALSE),"")</f>
        <v/>
      </c>
      <c r="H2463" s="95" t="str">
        <f>IFERROR(VLOOKUP(A2463,[2]wms_lc_f!$A$1:$B$156,2,FALSE),"")</f>
        <v/>
      </c>
    </row>
    <row r="2464" spans="1:8" hidden="1">
      <c r="A2464" s="69">
        <v>101109</v>
      </c>
      <c r="B2464" s="69" t="s">
        <v>2613</v>
      </c>
      <c r="C2464" s="70" t="s">
        <v>2267</v>
      </c>
      <c r="D2464" s="70" t="s">
        <v>2614</v>
      </c>
      <c r="E2464" s="70"/>
      <c r="F2464" s="70"/>
      <c r="G2464" s="70" t="str">
        <f>IFERROR(VLOOKUP(A2464,[1]wms_iv_f!$A$1:$E$136,4,FALSE),"")</f>
        <v/>
      </c>
      <c r="H2464" s="95" t="str">
        <f>IFERROR(VLOOKUP(A2464,[2]wms_lc_f!$A$1:$B$156,2,FALSE),"")</f>
        <v/>
      </c>
    </row>
    <row r="2465" spans="1:8" hidden="1">
      <c r="A2465" s="69">
        <v>100684</v>
      </c>
      <c r="B2465" s="69" t="s">
        <v>2613</v>
      </c>
      <c r="C2465" s="70" t="s">
        <v>2275</v>
      </c>
      <c r="D2465" s="70" t="s">
        <v>2614</v>
      </c>
      <c r="E2465" s="70"/>
      <c r="F2465" s="70"/>
      <c r="G2465" s="70" t="str">
        <f>IFERROR(VLOOKUP(A2465,[1]wms_iv_f!$A$1:$E$136,4,FALSE),"")</f>
        <v/>
      </c>
      <c r="H2465" s="95" t="str">
        <f>IFERROR(VLOOKUP(A2465,[2]wms_lc_f!$A$1:$B$156,2,FALSE),"")</f>
        <v/>
      </c>
    </row>
    <row r="2466" spans="1:8" hidden="1">
      <c r="A2466" s="69">
        <v>129853</v>
      </c>
      <c r="B2466" s="69" t="s">
        <v>2613</v>
      </c>
      <c r="C2466" s="70" t="s">
        <v>2006</v>
      </c>
      <c r="D2466" s="70" t="s">
        <v>2610</v>
      </c>
      <c r="E2466" s="72"/>
      <c r="F2466" s="70"/>
      <c r="G2466" s="70" t="str">
        <f>IFERROR(VLOOKUP(A2466,[1]wms_iv_f!$A$1:$E$136,4,FALSE),"")</f>
        <v/>
      </c>
      <c r="H2466" s="95" t="str">
        <f>IFERROR(VLOOKUP(A2466,[2]wms_lc_f!$A$1:$B$156,2,FALSE),"")</f>
        <v/>
      </c>
    </row>
    <row r="2467" spans="1:8" hidden="1">
      <c r="A2467" s="69">
        <v>60043</v>
      </c>
      <c r="B2467" s="69" t="s">
        <v>2613</v>
      </c>
      <c r="C2467" s="70" t="s">
        <v>2010</v>
      </c>
      <c r="D2467" s="70" t="s">
        <v>2610</v>
      </c>
      <c r="E2467" s="72"/>
      <c r="F2467" s="70"/>
      <c r="G2467" s="70" t="str">
        <f>IFERROR(VLOOKUP(A2467,[1]wms_iv_f!$A$1:$E$136,4,FALSE),"")</f>
        <v/>
      </c>
      <c r="H2467" s="95" t="str">
        <f>IFERROR(VLOOKUP(A2467,[2]wms_lc_f!$A$1:$B$156,2,FALSE),"")</f>
        <v/>
      </c>
    </row>
    <row r="2468" spans="1:8" hidden="1">
      <c r="A2468" s="69">
        <v>37944</v>
      </c>
      <c r="B2468" s="69" t="s">
        <v>2613</v>
      </c>
      <c r="C2468" s="70" t="s">
        <v>2014</v>
      </c>
      <c r="D2468" s="70" t="s">
        <v>2610</v>
      </c>
      <c r="E2468" s="72"/>
      <c r="F2468" s="70"/>
      <c r="G2468" s="70" t="str">
        <f>IFERROR(VLOOKUP(A2468,[1]wms_iv_f!$A$1:$E$136,4,FALSE),"")</f>
        <v/>
      </c>
      <c r="H2468" s="95" t="str">
        <f>IFERROR(VLOOKUP(A2468,[2]wms_lc_f!$A$1:$B$156,2,FALSE),"")</f>
        <v/>
      </c>
    </row>
    <row r="2469" spans="1:8" hidden="1">
      <c r="A2469" s="69">
        <v>157514</v>
      </c>
      <c r="B2469" s="69" t="s">
        <v>2613</v>
      </c>
      <c r="C2469" s="70" t="s">
        <v>2129</v>
      </c>
      <c r="D2469" s="70" t="s">
        <v>2610</v>
      </c>
      <c r="E2469" s="72"/>
      <c r="F2469" s="70"/>
      <c r="G2469" s="70" t="str">
        <f>IFERROR(VLOOKUP(A2469,[1]wms_iv_f!$A$1:$E$136,4,FALSE),"")</f>
        <v/>
      </c>
      <c r="H2469" s="95" t="str">
        <f>IFERROR(VLOOKUP(A2469,[2]wms_lc_f!$A$1:$B$156,2,FALSE),"")</f>
        <v/>
      </c>
    </row>
    <row r="2470" spans="1:8" hidden="1">
      <c r="A2470" s="69">
        <v>157514</v>
      </c>
      <c r="B2470" s="69" t="s">
        <v>2613</v>
      </c>
      <c r="C2470" s="70" t="s">
        <v>2130</v>
      </c>
      <c r="D2470" s="70" t="s">
        <v>2610</v>
      </c>
      <c r="E2470" s="72"/>
      <c r="F2470" s="70"/>
      <c r="G2470" s="70" t="str">
        <f>IFERROR(VLOOKUP(A2470,[1]wms_iv_f!$A$1:$E$136,4,FALSE),"")</f>
        <v/>
      </c>
      <c r="H2470" s="95" t="str">
        <f>IFERROR(VLOOKUP(A2470,[2]wms_lc_f!$A$1:$B$156,2,FALSE),"")</f>
        <v/>
      </c>
    </row>
    <row r="2471" spans="1:8" hidden="1">
      <c r="A2471" s="69">
        <v>112289</v>
      </c>
      <c r="B2471" s="69" t="s">
        <v>2613</v>
      </c>
      <c r="C2471" s="70" t="s">
        <v>2133</v>
      </c>
      <c r="D2471" s="70" t="s">
        <v>2610</v>
      </c>
      <c r="E2471" s="72"/>
      <c r="F2471" s="70"/>
      <c r="G2471" s="70" t="str">
        <f>IFERROR(VLOOKUP(A2471,[1]wms_iv_f!$A$1:$E$136,4,FALSE),"")</f>
        <v/>
      </c>
      <c r="H2471" s="95" t="str">
        <f>IFERROR(VLOOKUP(A2471,[2]wms_lc_f!$A$1:$B$156,2,FALSE),"")</f>
        <v/>
      </c>
    </row>
    <row r="2472" spans="1:8" hidden="1">
      <c r="A2472" s="69">
        <v>157708</v>
      </c>
      <c r="B2472" s="69" t="s">
        <v>2613</v>
      </c>
      <c r="C2472" s="70" t="s">
        <v>2141</v>
      </c>
      <c r="D2472" s="70" t="s">
        <v>2610</v>
      </c>
      <c r="E2472" s="72"/>
      <c r="F2472" s="70"/>
      <c r="G2472" s="70" t="str">
        <f>IFERROR(VLOOKUP(A2472,[1]wms_iv_f!$A$1:$E$136,4,FALSE),"")</f>
        <v/>
      </c>
      <c r="H2472" s="95" t="str">
        <f>IFERROR(VLOOKUP(A2472,[2]wms_lc_f!$A$1:$B$156,2,FALSE),"")</f>
        <v/>
      </c>
    </row>
    <row r="2473" spans="1:8" hidden="1">
      <c r="A2473" s="69"/>
      <c r="B2473" s="69" t="s">
        <v>2613</v>
      </c>
      <c r="C2473" s="70" t="s">
        <v>2276</v>
      </c>
      <c r="D2473" s="70" t="s">
        <v>2614</v>
      </c>
      <c r="E2473" s="70"/>
      <c r="F2473" s="70"/>
      <c r="G2473" s="70" t="str">
        <f>IFERROR(VLOOKUP(A2473,[1]wms_iv_f!$A$1:$E$136,4,FALSE),"")</f>
        <v/>
      </c>
      <c r="H2473" s="95" t="str">
        <f>IFERROR(VLOOKUP(A2473,[2]wms_lc_f!$A$1:$B$156,2,FALSE),"")</f>
        <v/>
      </c>
    </row>
    <row r="2474" spans="1:8" hidden="1">
      <c r="A2474" s="69">
        <v>22138</v>
      </c>
      <c r="B2474" s="69" t="s">
        <v>2613</v>
      </c>
      <c r="C2474" s="70" t="s">
        <v>2284</v>
      </c>
      <c r="D2474" s="70" t="s">
        <v>2614</v>
      </c>
      <c r="E2474" s="70"/>
      <c r="F2474" s="70"/>
      <c r="G2474" s="70" t="str">
        <f>IFERROR(VLOOKUP(A2474,[1]wms_iv_f!$A$1:$E$136,4,FALSE),"")</f>
        <v/>
      </c>
      <c r="H2474" s="95" t="str">
        <f>IFERROR(VLOOKUP(A2474,[2]wms_lc_f!$A$1:$B$156,2,FALSE),"")</f>
        <v/>
      </c>
    </row>
    <row r="2475" spans="1:8" hidden="1">
      <c r="A2475" s="69">
        <v>156861</v>
      </c>
      <c r="B2475" s="69" t="s">
        <v>2613</v>
      </c>
      <c r="C2475" s="70" t="s">
        <v>2292</v>
      </c>
      <c r="D2475" s="70" t="s">
        <v>2614</v>
      </c>
      <c r="E2475" s="70"/>
      <c r="F2475" s="70"/>
      <c r="G2475" s="70" t="str">
        <f>IFERROR(VLOOKUP(A2475,[1]wms_iv_f!$A$1:$E$136,4,FALSE),"")</f>
        <v/>
      </c>
      <c r="H2475" s="95" t="str">
        <f>IFERROR(VLOOKUP(A2475,[2]wms_lc_f!$A$1:$B$156,2,FALSE),"")</f>
        <v/>
      </c>
    </row>
    <row r="2476" spans="1:8" hidden="1">
      <c r="A2476" s="69">
        <v>139736</v>
      </c>
      <c r="B2476" s="69" t="s">
        <v>2613</v>
      </c>
      <c r="C2476" s="70" t="s">
        <v>2379</v>
      </c>
      <c r="D2476" s="70" t="s">
        <v>2614</v>
      </c>
      <c r="E2476" s="70"/>
      <c r="F2476" s="70"/>
      <c r="G2476" s="70" t="str">
        <f>IFERROR(VLOOKUP(A2476,[1]wms_iv_f!$A$1:$E$136,4,FALSE),"")</f>
        <v/>
      </c>
      <c r="H2476" s="95" t="str">
        <f>IFERROR(VLOOKUP(A2476,[2]wms_lc_f!$A$1:$B$156,2,FALSE),"")</f>
        <v/>
      </c>
    </row>
    <row r="2477" spans="1:8" hidden="1">
      <c r="A2477" s="69">
        <v>96650</v>
      </c>
      <c r="B2477" s="69" t="s">
        <v>2613</v>
      </c>
      <c r="C2477" s="70" t="s">
        <v>2391</v>
      </c>
      <c r="D2477" s="70" t="s">
        <v>2614</v>
      </c>
      <c r="E2477" s="70"/>
      <c r="F2477" s="70"/>
      <c r="G2477" s="70" t="str">
        <f>IFERROR(VLOOKUP(A2477,[1]wms_iv_f!$A$1:$E$136,4,FALSE),"")</f>
        <v/>
      </c>
      <c r="H2477" s="95" t="str">
        <f>IFERROR(VLOOKUP(A2477,[2]wms_lc_f!$A$1:$B$156,2,FALSE),"")</f>
        <v/>
      </c>
    </row>
    <row r="2478" spans="1:8" hidden="1">
      <c r="A2478" s="69">
        <v>31456</v>
      </c>
      <c r="B2478" s="69" t="s">
        <v>2613</v>
      </c>
      <c r="C2478" s="70" t="s">
        <v>2403</v>
      </c>
      <c r="D2478" s="70" t="s">
        <v>2614</v>
      </c>
      <c r="E2478" s="70"/>
      <c r="F2478" s="70"/>
      <c r="G2478" s="70" t="str">
        <f>IFERROR(VLOOKUP(A2478,[1]wms_iv_f!$A$1:$E$136,4,FALSE),"")</f>
        <v/>
      </c>
      <c r="H2478" s="95" t="str">
        <f>IFERROR(VLOOKUP(A2478,[2]wms_lc_f!$A$1:$B$156,2,FALSE),"")</f>
        <v/>
      </c>
    </row>
    <row r="2479" spans="1:8" hidden="1">
      <c r="A2479" s="69">
        <v>118837</v>
      </c>
      <c r="B2479" s="69" t="s">
        <v>2613</v>
      </c>
      <c r="C2479" s="70" t="s">
        <v>2490</v>
      </c>
      <c r="D2479" s="70" t="s">
        <v>2614</v>
      </c>
      <c r="E2479" s="70"/>
      <c r="F2479" s="70"/>
      <c r="G2479" s="70" t="str">
        <f>IFERROR(VLOOKUP(A2479,[1]wms_iv_f!$A$1:$E$136,4,FALSE),"")</f>
        <v/>
      </c>
      <c r="H2479" s="95" t="str">
        <f>IFERROR(VLOOKUP(A2479,[2]wms_lc_f!$A$1:$B$156,2,FALSE),"")</f>
        <v/>
      </c>
    </row>
    <row r="2480" spans="1:8" hidden="1">
      <c r="A2480" s="69">
        <v>33449</v>
      </c>
      <c r="B2480" s="69" t="s">
        <v>2613</v>
      </c>
      <c r="C2480" s="70" t="s">
        <v>2502</v>
      </c>
      <c r="D2480" s="70" t="s">
        <v>2614</v>
      </c>
      <c r="E2480" s="70"/>
      <c r="F2480" s="70"/>
      <c r="G2480" s="70" t="str">
        <f>IFERROR(VLOOKUP(A2480,[1]wms_iv_f!$A$1:$E$136,4,FALSE),"")</f>
        <v/>
      </c>
      <c r="H2480" s="95" t="str">
        <f>IFERROR(VLOOKUP(A2480,[2]wms_lc_f!$A$1:$B$156,2,FALSE),"")</f>
        <v/>
      </c>
    </row>
    <row r="2481" spans="1:8" hidden="1">
      <c r="A2481" s="69">
        <v>2563</v>
      </c>
      <c r="B2481" s="69" t="s">
        <v>2613</v>
      </c>
      <c r="C2481" s="70" t="s">
        <v>2514</v>
      </c>
      <c r="D2481" s="70" t="s">
        <v>2614</v>
      </c>
      <c r="E2481" s="70"/>
      <c r="F2481" s="70"/>
      <c r="G2481" s="70" t="str">
        <f>IFERROR(VLOOKUP(A2481,[1]wms_iv_f!$A$1:$E$136,4,FALSE),"")</f>
        <v/>
      </c>
      <c r="H2481" s="95" t="str">
        <f>IFERROR(VLOOKUP(A2481,[2]wms_lc_f!$A$1:$B$156,2,FALSE),"")</f>
        <v/>
      </c>
    </row>
    <row r="2482" spans="1:8" hidden="1">
      <c r="A2482" s="69">
        <v>95357</v>
      </c>
      <c r="B2482" s="69" t="s">
        <v>2613</v>
      </c>
      <c r="C2482" s="70" t="s">
        <v>2277</v>
      </c>
      <c r="D2482" s="70" t="s">
        <v>2614</v>
      </c>
      <c r="E2482" s="70"/>
      <c r="F2482" s="70"/>
      <c r="G2482" s="70" t="str">
        <f>IFERROR(VLOOKUP(A2482,[1]wms_iv_f!$A$1:$E$136,4,FALSE),"")</f>
        <v/>
      </c>
      <c r="H2482" s="95" t="str">
        <f>IFERROR(VLOOKUP(A2482,[2]wms_lc_f!$A$1:$B$156,2,FALSE),"")</f>
        <v/>
      </c>
    </row>
    <row r="2483" spans="1:8" hidden="1">
      <c r="A2483" s="69">
        <f>IFERROR(VLOOKUP(C2483,[3]wms_iv_f!$A$1:$D$135,2,FALSE),"")</f>
        <v>128901</v>
      </c>
      <c r="B2483" s="69" t="s">
        <v>2613</v>
      </c>
      <c r="C2483" s="70" t="s">
        <v>2285</v>
      </c>
      <c r="D2483" s="70" t="s">
        <v>2614</v>
      </c>
      <c r="E2483" s="70"/>
      <c r="F2483" s="70"/>
      <c r="G2483" s="70" t="str">
        <f>IFERROR(VLOOKUP(A2483,[1]wms_iv_f!$A$1:$E$136,4,FALSE),"")</f>
        <v>M27-2-1B01</v>
      </c>
      <c r="H2483" s="95" t="str">
        <f>IFERROR(VLOOKUP(A2483,[2]wms_lc_f!$A$1:$B$156,2,FALSE),"")</f>
        <v/>
      </c>
    </row>
    <row r="2484" spans="1:8" hidden="1">
      <c r="A2484" s="69">
        <f>IFERROR(VLOOKUP(C2484,[3]wms_iv_f!$A$1:$D$135,2,FALSE),"")</f>
        <v>72705</v>
      </c>
      <c r="B2484" s="69" t="s">
        <v>2613</v>
      </c>
      <c r="C2484" s="70" t="s">
        <v>2293</v>
      </c>
      <c r="D2484" s="70" t="s">
        <v>2614</v>
      </c>
      <c r="E2484" s="70"/>
      <c r="F2484" s="70"/>
      <c r="G2484" s="70" t="str">
        <f>IFERROR(VLOOKUP(A2484,[1]wms_iv_f!$A$1:$E$136,4,FALSE),"")</f>
        <v>M27-2-1B02</v>
      </c>
      <c r="H2484" s="95" t="str">
        <f>IFERROR(VLOOKUP(A2484,[2]wms_lc_f!$A$1:$B$156,2,FALSE),"")</f>
        <v/>
      </c>
    </row>
    <row r="2485" spans="1:8" hidden="1">
      <c r="A2485" s="69">
        <f>IFERROR(VLOOKUP(C2485,[3]wms_iv_f!$A$1:$D$135,2,FALSE),"")</f>
        <v>27576</v>
      </c>
      <c r="B2485" s="69" t="s">
        <v>2613</v>
      </c>
      <c r="C2485" s="70" t="s">
        <v>2380</v>
      </c>
      <c r="D2485" s="70" t="s">
        <v>2614</v>
      </c>
      <c r="E2485" s="70"/>
      <c r="F2485" s="70"/>
      <c r="G2485" s="70" t="str">
        <f>IFERROR(VLOOKUP(A2485,[1]wms_iv_f!$A$1:$E$136,4,FALSE),"")</f>
        <v>M27-2-1B03</v>
      </c>
      <c r="H2485" s="95" t="str">
        <f>IFERROR(VLOOKUP(A2485,[2]wms_lc_f!$A$1:$B$156,2,FALSE),"")</f>
        <v/>
      </c>
    </row>
    <row r="2486" spans="1:8" hidden="1">
      <c r="A2486" s="69">
        <f>IFERROR(VLOOKUP(C2486,[3]wms_iv_f!$A$1:$D$135,2,FALSE),"")</f>
        <v>331</v>
      </c>
      <c r="B2486" s="69" t="s">
        <v>2613</v>
      </c>
      <c r="C2486" s="70" t="s">
        <v>2392</v>
      </c>
      <c r="D2486" s="70" t="s">
        <v>2614</v>
      </c>
      <c r="E2486" s="70"/>
      <c r="F2486" s="70"/>
      <c r="G2486" s="70" t="str">
        <f>IFERROR(VLOOKUP(A2486,[1]wms_iv_f!$A$1:$E$136,4,FALSE),"")</f>
        <v>M27-2-1B04</v>
      </c>
      <c r="H2486" s="95" t="str">
        <f>IFERROR(VLOOKUP(A2486,[2]wms_lc_f!$A$1:$B$156,2,FALSE),"")</f>
        <v/>
      </c>
    </row>
    <row r="2487" spans="1:8" hidden="1">
      <c r="A2487" s="69">
        <f>IFERROR(VLOOKUP(C2487,[3]wms_iv_f!$A$1:$D$135,2,FALSE),"")</f>
        <v>127509</v>
      </c>
      <c r="B2487" s="69" t="s">
        <v>2613</v>
      </c>
      <c r="C2487" s="70" t="s">
        <v>2404</v>
      </c>
      <c r="D2487" s="70" t="s">
        <v>2614</v>
      </c>
      <c r="E2487" s="70"/>
      <c r="F2487" s="70"/>
      <c r="G2487" s="70" t="str">
        <f>IFERROR(VLOOKUP(A2487,[1]wms_iv_f!$A$1:$E$136,4,FALSE),"")</f>
        <v>M27-2-1B05</v>
      </c>
      <c r="H2487" s="95" t="str">
        <f>IFERROR(VLOOKUP(A2487,[2]wms_lc_f!$A$1:$B$156,2,FALSE),"")</f>
        <v/>
      </c>
    </row>
    <row r="2488" spans="1:8" hidden="1">
      <c r="A2488" s="69">
        <f>IFERROR(VLOOKUP(C2488,[3]wms_iv_f!$A$1:$D$135,2,FALSE),"")</f>
        <v>38191</v>
      </c>
      <c r="B2488" s="69" t="s">
        <v>2613</v>
      </c>
      <c r="C2488" s="70" t="s">
        <v>2491</v>
      </c>
      <c r="D2488" s="70" t="s">
        <v>2614</v>
      </c>
      <c r="E2488" s="70"/>
      <c r="F2488" s="70"/>
      <c r="G2488" s="70" t="str">
        <f>IFERROR(VLOOKUP(A2488,[1]wms_iv_f!$A$1:$E$136,4,FALSE),"")</f>
        <v>M27-2-1B06</v>
      </c>
      <c r="H2488" s="95" t="str">
        <f>IFERROR(VLOOKUP(A2488,[2]wms_lc_f!$A$1:$B$156,2,FALSE),"")</f>
        <v/>
      </c>
    </row>
    <row r="2489" spans="1:8" hidden="1">
      <c r="A2489" s="69">
        <f>IFERROR(VLOOKUP(C2489,[3]wms_iv_f!$A$1:$D$135,2,FALSE),"")</f>
        <v>156659</v>
      </c>
      <c r="B2489" s="69" t="s">
        <v>2613</v>
      </c>
      <c r="C2489" s="70" t="s">
        <v>2503</v>
      </c>
      <c r="D2489" s="70" t="s">
        <v>2614</v>
      </c>
      <c r="E2489" s="70"/>
      <c r="F2489" s="70"/>
      <c r="G2489" s="70" t="str">
        <f>IFERROR(VLOOKUP(A2489,[1]wms_iv_f!$A$1:$E$136,4,FALSE),"")</f>
        <v>M27-2-1B07</v>
      </c>
      <c r="H2489" s="95" t="str">
        <f>IFERROR(VLOOKUP(A2489,[2]wms_lc_f!$A$1:$B$156,2,FALSE),"")</f>
        <v/>
      </c>
    </row>
    <row r="2490" spans="1:8" hidden="1">
      <c r="A2490" s="69">
        <v>9696</v>
      </c>
      <c r="B2490" s="69" t="s">
        <v>2613</v>
      </c>
      <c r="C2490" s="70" t="s">
        <v>2515</v>
      </c>
      <c r="D2490" s="70" t="s">
        <v>2614</v>
      </c>
      <c r="E2490" s="70"/>
      <c r="F2490" s="70"/>
      <c r="G2490" s="70" t="str">
        <f>IFERROR(VLOOKUP(A2490,[1]wms_iv_f!$A$1:$E$136,4,FALSE),"")</f>
        <v/>
      </c>
      <c r="H2490" s="95" t="str">
        <f>IFERROR(VLOOKUP(A2490,[2]wms_lc_f!$A$1:$B$156,2,FALSE),"")</f>
        <v/>
      </c>
    </row>
    <row r="2491" spans="1:8" hidden="1">
      <c r="A2491" s="69">
        <f>IFERROR(VLOOKUP(C2491,[3]wms_iv_f!$A$1:$D$135,2,FALSE),"")</f>
        <v>35156</v>
      </c>
      <c r="B2491" s="69" t="s">
        <v>2613</v>
      </c>
      <c r="C2491" s="70" t="s">
        <v>2294</v>
      </c>
      <c r="D2491" s="70" t="s">
        <v>2614</v>
      </c>
      <c r="E2491" s="70"/>
      <c r="F2491" s="70"/>
      <c r="G2491" s="70" t="str">
        <f>IFERROR(VLOOKUP(A2491,[1]wms_iv_f!$A$1:$E$136,4,FALSE),"")</f>
        <v>M27-2-1B09</v>
      </c>
      <c r="H2491" s="95" t="str">
        <f>IFERROR(VLOOKUP(A2491,[2]wms_lc_f!$A$1:$B$156,2,FALSE),"")</f>
        <v/>
      </c>
    </row>
    <row r="2492" spans="1:8" hidden="1">
      <c r="A2492" s="69">
        <f>IFERROR(VLOOKUP(C2492,[3]wms_iv_f!$A$1:$D$135,2,FALSE),"")</f>
        <v>103106</v>
      </c>
      <c r="B2492" s="69" t="s">
        <v>2613</v>
      </c>
      <c r="C2492" s="70" t="s">
        <v>2381</v>
      </c>
      <c r="D2492" s="70" t="s">
        <v>2614</v>
      </c>
      <c r="E2492" s="70"/>
      <c r="F2492" s="70"/>
      <c r="G2492" s="70" t="str">
        <f>IFERROR(VLOOKUP(A2492,[1]wms_iv_f!$A$1:$E$136,4,FALSE),"")</f>
        <v>M27-2-1B10</v>
      </c>
      <c r="H2492" s="95" t="str">
        <f>IFERROR(VLOOKUP(A2492,[2]wms_lc_f!$A$1:$B$156,2,FALSE),"")</f>
        <v/>
      </c>
    </row>
    <row r="2493" spans="1:8" hidden="1">
      <c r="A2493" s="69">
        <f>IFERROR(VLOOKUP(C2493,[3]wms_iv_f!$A$1:$D$135,2,FALSE),"")</f>
        <v>11489</v>
      </c>
      <c r="B2493" s="69" t="s">
        <v>2613</v>
      </c>
      <c r="C2493" s="70" t="s">
        <v>2393</v>
      </c>
      <c r="D2493" s="70" t="s">
        <v>2614</v>
      </c>
      <c r="E2493" s="70"/>
      <c r="F2493" s="70"/>
      <c r="G2493" s="70" t="str">
        <f>IFERROR(VLOOKUP(A2493,[1]wms_iv_f!$A$1:$E$136,4,FALSE),"")</f>
        <v>M27-2-1C01</v>
      </c>
      <c r="H2493" s="95" t="str">
        <f>IFERROR(VLOOKUP(A2493,[2]wms_lc_f!$A$1:$B$156,2,FALSE),"")</f>
        <v/>
      </c>
    </row>
    <row r="2494" spans="1:8" hidden="1">
      <c r="A2494" s="69">
        <f>IFERROR(VLOOKUP(C2494,[3]wms_iv_f!$A$1:$D$135,2,FALSE),"")</f>
        <v>35582</v>
      </c>
      <c r="B2494" s="69" t="s">
        <v>2613</v>
      </c>
      <c r="C2494" s="70" t="s">
        <v>2405</v>
      </c>
      <c r="D2494" s="70" t="s">
        <v>2614</v>
      </c>
      <c r="E2494" s="70"/>
      <c r="F2494" s="70"/>
      <c r="G2494" s="70" t="str">
        <f>IFERROR(VLOOKUP(A2494,[1]wms_iv_f!$A$1:$E$136,4,FALSE),"")</f>
        <v>M27-2-1C02</v>
      </c>
      <c r="H2494" s="95" t="str">
        <f>IFERROR(VLOOKUP(A2494,[2]wms_lc_f!$A$1:$B$156,2,FALSE),"")</f>
        <v/>
      </c>
    </row>
    <row r="2495" spans="1:8" hidden="1">
      <c r="A2495" s="69">
        <f>IFERROR(VLOOKUP(C2495,[3]wms_iv_f!$A$1:$D$135,2,FALSE),"")</f>
        <v>51104</v>
      </c>
      <c r="B2495" s="69" t="s">
        <v>2613</v>
      </c>
      <c r="C2495" s="70" t="s">
        <v>2492</v>
      </c>
      <c r="D2495" s="70" t="s">
        <v>2614</v>
      </c>
      <c r="E2495" s="70"/>
      <c r="F2495" s="70"/>
      <c r="G2495" s="70" t="str">
        <f>IFERROR(VLOOKUP(A2495,[1]wms_iv_f!$A$1:$E$136,4,FALSE),"")</f>
        <v>M27-2-1C03</v>
      </c>
      <c r="H2495" s="95" t="str">
        <f>IFERROR(VLOOKUP(A2495,[2]wms_lc_f!$A$1:$B$156,2,FALSE),"")</f>
        <v/>
      </c>
    </row>
    <row r="2496" spans="1:8" hidden="1">
      <c r="A2496" s="69">
        <f>IFERROR(VLOOKUP(C2496,[3]wms_iv_f!$A$1:$D$135,2,FALSE),"")</f>
        <v>64024</v>
      </c>
      <c r="B2496" s="69" t="s">
        <v>2613</v>
      </c>
      <c r="C2496" s="70" t="s">
        <v>2504</v>
      </c>
      <c r="D2496" s="70" t="s">
        <v>2614</v>
      </c>
      <c r="E2496" s="70"/>
      <c r="F2496" s="70"/>
      <c r="G2496" s="70" t="str">
        <f>IFERROR(VLOOKUP(A2496,[1]wms_iv_f!$A$1:$E$136,4,FALSE),"")</f>
        <v>M27-2-1C04</v>
      </c>
      <c r="H2496" s="95" t="str">
        <f>IFERROR(VLOOKUP(A2496,[2]wms_lc_f!$A$1:$B$156,2,FALSE),"")</f>
        <v/>
      </c>
    </row>
    <row r="2497" spans="1:8" hidden="1">
      <c r="A2497" s="69">
        <f>IFERROR(VLOOKUP(C2497,[3]wms_iv_f!$A$1:$D$135,2,FALSE),"")</f>
        <v>96225</v>
      </c>
      <c r="B2497" s="69" t="s">
        <v>2613</v>
      </c>
      <c r="C2497" s="70" t="s">
        <v>2516</v>
      </c>
      <c r="D2497" s="70" t="s">
        <v>2614</v>
      </c>
      <c r="E2497" s="70"/>
      <c r="F2497" s="70"/>
      <c r="G2497" s="70" t="str">
        <f>IFERROR(VLOOKUP(A2497,[1]wms_iv_f!$A$1:$E$136,4,FALSE),"")</f>
        <v>M27-2-1C05</v>
      </c>
      <c r="H2497" s="95" t="str">
        <f>IFERROR(VLOOKUP(A2497,[2]wms_lc_f!$A$1:$B$156,2,FALSE),"")</f>
        <v/>
      </c>
    </row>
    <row r="2498" spans="1:8" hidden="1">
      <c r="A2498" s="69">
        <f>IFERROR(VLOOKUP(C2498,[3]wms_iv_f!$A$1:$D$135,2,FALSE),"")</f>
        <v>59363</v>
      </c>
      <c r="B2498" s="69" t="s">
        <v>2613</v>
      </c>
      <c r="C2498" s="70" t="s">
        <v>2295</v>
      </c>
      <c r="D2498" s="70" t="s">
        <v>2614</v>
      </c>
      <c r="E2498" s="70"/>
      <c r="F2498" s="70"/>
      <c r="G2498" s="70" t="str">
        <f>IFERROR(VLOOKUP(A2498,[1]wms_iv_f!$A$1:$E$136,4,FALSE),"")</f>
        <v>M27-2-1C06</v>
      </c>
      <c r="H2498" s="95" t="str">
        <f>IFERROR(VLOOKUP(A2498,[2]wms_lc_f!$A$1:$B$156,2,FALSE),"")</f>
        <v/>
      </c>
    </row>
    <row r="2499" spans="1:8" hidden="1">
      <c r="A2499" s="69"/>
      <c r="B2499" s="69" t="s">
        <v>2613</v>
      </c>
      <c r="C2499" s="70" t="s">
        <v>2382</v>
      </c>
      <c r="D2499" s="70" t="s">
        <v>2614</v>
      </c>
      <c r="E2499" s="70"/>
      <c r="F2499" s="70"/>
      <c r="G2499" s="70" t="str">
        <f>IFERROR(VLOOKUP(A2499,[1]wms_iv_f!$A$1:$E$136,4,FALSE),"")</f>
        <v/>
      </c>
      <c r="H2499" s="95" t="str">
        <f>IFERROR(VLOOKUP(A2499,[2]wms_lc_f!$A$1:$B$156,2,FALSE),"")</f>
        <v/>
      </c>
    </row>
    <row r="2500" spans="1:8" hidden="1">
      <c r="A2500" s="69">
        <f>IFERROR(VLOOKUP(C2500,[3]wms_iv_f!$A$1:$D$135,2,FALSE),"")</f>
        <v>116941</v>
      </c>
      <c r="B2500" s="69" t="s">
        <v>2613</v>
      </c>
      <c r="C2500" s="70" t="s">
        <v>2394</v>
      </c>
      <c r="D2500" s="70" t="s">
        <v>2614</v>
      </c>
      <c r="E2500" s="70"/>
      <c r="F2500" s="70"/>
      <c r="G2500" s="70" t="str">
        <f>IFERROR(VLOOKUP(A2500,[1]wms_iv_f!$A$1:$E$136,4,FALSE),"")</f>
        <v>M27-2-1C08</v>
      </c>
      <c r="H2500" s="95" t="str">
        <f>IFERROR(VLOOKUP(A2500,[2]wms_lc_f!$A$1:$B$156,2,FALSE),"")</f>
        <v/>
      </c>
    </row>
    <row r="2501" spans="1:8" hidden="1">
      <c r="A2501" s="69">
        <f>IFERROR(VLOOKUP(C2501,[3]wms_iv_f!$A$1:$D$135,2,FALSE),"")</f>
        <v>1158</v>
      </c>
      <c r="B2501" s="69" t="s">
        <v>2613</v>
      </c>
      <c r="C2501" s="70" t="s">
        <v>2406</v>
      </c>
      <c r="D2501" s="70" t="s">
        <v>2614</v>
      </c>
      <c r="E2501" s="70"/>
      <c r="F2501" s="70"/>
      <c r="G2501" s="70" t="str">
        <f>IFERROR(VLOOKUP(A2501,[1]wms_iv_f!$A$1:$E$136,4,FALSE),"")</f>
        <v>M27-2-1C09</v>
      </c>
      <c r="H2501" s="95" t="str">
        <f>IFERROR(VLOOKUP(A2501,[2]wms_lc_f!$A$1:$B$156,2,FALSE),"")</f>
        <v/>
      </c>
    </row>
    <row r="2502" spans="1:8" hidden="1">
      <c r="A2502" s="69">
        <f>IFERROR(VLOOKUP(C2502,[3]wms_iv_f!$A$1:$D$135,2,FALSE),"")</f>
        <v>112434</v>
      </c>
      <c r="B2502" s="69" t="s">
        <v>2613</v>
      </c>
      <c r="C2502" s="70" t="s">
        <v>2493</v>
      </c>
      <c r="D2502" s="70" t="s">
        <v>2614</v>
      </c>
      <c r="E2502" s="70"/>
      <c r="F2502" s="70"/>
      <c r="G2502" s="70" t="str">
        <f>IFERROR(VLOOKUP(A2502,[1]wms_iv_f!$A$1:$E$136,4,FALSE),"")</f>
        <v>M27-2-1C10</v>
      </c>
      <c r="H2502" s="95" t="str">
        <f>IFERROR(VLOOKUP(A2502,[2]wms_lc_f!$A$1:$B$156,2,FALSE),"")</f>
        <v/>
      </c>
    </row>
    <row r="2503" spans="1:8" hidden="1">
      <c r="A2503" s="69">
        <f>IFERROR(VLOOKUP(C2503,[3]wms_iv_f!$A$1:$D$135,2,FALSE),"")</f>
        <v>101187</v>
      </c>
      <c r="B2503" s="69" t="s">
        <v>2613</v>
      </c>
      <c r="C2503" s="70" t="s">
        <v>2505</v>
      </c>
      <c r="D2503" s="70" t="s">
        <v>2614</v>
      </c>
      <c r="E2503" s="70"/>
      <c r="F2503" s="70"/>
      <c r="G2503" s="70" t="str">
        <f>IFERROR(VLOOKUP(A2503,[1]wms_iv_f!$A$1:$E$136,4,FALSE),"")</f>
        <v>M27-2-1D01</v>
      </c>
      <c r="H2503" s="95" t="str">
        <f>IFERROR(VLOOKUP(A2503,[2]wms_lc_f!$A$1:$B$156,2,FALSE),"")</f>
        <v/>
      </c>
    </row>
    <row r="2504" spans="1:8" hidden="1">
      <c r="A2504" s="69">
        <f>IFERROR(VLOOKUP(C2504,[3]wms_iv_f!$A$1:$D$135,2,FALSE),"")</f>
        <v>91386</v>
      </c>
      <c r="B2504" s="69" t="s">
        <v>2613</v>
      </c>
      <c r="C2504" s="70" t="s">
        <v>2517</v>
      </c>
      <c r="D2504" s="70" t="s">
        <v>2614</v>
      </c>
      <c r="E2504" s="70"/>
      <c r="F2504" s="70"/>
      <c r="G2504" s="70" t="str">
        <f>IFERROR(VLOOKUP(A2504,[1]wms_iv_f!$A$1:$E$136,4,FALSE),"")</f>
        <v>M27-2-1D02</v>
      </c>
      <c r="H2504" s="95" t="str">
        <f>IFERROR(VLOOKUP(A2504,[2]wms_lc_f!$A$1:$B$156,2,FALSE),"")</f>
        <v/>
      </c>
    </row>
    <row r="2505" spans="1:8" hidden="1">
      <c r="A2505" s="69">
        <f>IFERROR(VLOOKUP(C2505,[3]wms_iv_f!$A$1:$D$135,2,FALSE),"")</f>
        <v>105010</v>
      </c>
      <c r="B2505" s="69" t="s">
        <v>2613</v>
      </c>
      <c r="C2505" s="70" t="s">
        <v>2278</v>
      </c>
      <c r="D2505" s="70" t="s">
        <v>2614</v>
      </c>
      <c r="E2505" s="70"/>
      <c r="F2505" s="70"/>
      <c r="G2505" s="70" t="str">
        <f>IFERROR(VLOOKUP(A2505,[1]wms_iv_f!$A$1:$E$136,4,FALSE),"")</f>
        <v>M27-2-1D03</v>
      </c>
      <c r="H2505" s="95" t="str">
        <f>IFERROR(VLOOKUP(A2505,[2]wms_lc_f!$A$1:$B$156,2,FALSE),"")</f>
        <v/>
      </c>
    </row>
    <row r="2506" spans="1:8" hidden="1">
      <c r="A2506" s="69">
        <v>126138</v>
      </c>
      <c r="B2506" s="69" t="s">
        <v>2613</v>
      </c>
      <c r="C2506" s="70" t="s">
        <v>2286</v>
      </c>
      <c r="D2506" s="70" t="s">
        <v>2614</v>
      </c>
      <c r="E2506" s="70"/>
      <c r="F2506" s="70"/>
      <c r="G2506" s="70" t="str">
        <f>IFERROR(VLOOKUP(A2506,[1]wms_iv_f!$A$1:$E$136,4,FALSE),"")</f>
        <v/>
      </c>
      <c r="H2506" s="95" t="str">
        <f>IFERROR(VLOOKUP(A2506,[2]wms_lc_f!$A$1:$B$156,2,FALSE),"")</f>
        <v/>
      </c>
    </row>
    <row r="2507" spans="1:8" hidden="1">
      <c r="A2507" s="69">
        <f>IFERROR(VLOOKUP(C2507,[3]wms_iv_f!$A$1:$D$135,2,FALSE),"")</f>
        <v>100826</v>
      </c>
      <c r="B2507" s="69" t="s">
        <v>2613</v>
      </c>
      <c r="C2507" s="70" t="s">
        <v>2296</v>
      </c>
      <c r="D2507" s="70" t="s">
        <v>2614</v>
      </c>
      <c r="E2507" s="70"/>
      <c r="F2507" s="70"/>
      <c r="G2507" s="70" t="str">
        <f>IFERROR(VLOOKUP(A2507,[1]wms_iv_f!$A$1:$E$136,4,FALSE),"")</f>
        <v>M27-2-1D05</v>
      </c>
      <c r="H2507" s="95" t="str">
        <f>IFERROR(VLOOKUP(A2507,[2]wms_lc_f!$A$1:$B$156,2,FALSE),"")</f>
        <v/>
      </c>
    </row>
    <row r="2508" spans="1:8" hidden="1">
      <c r="A2508" s="69">
        <v>481</v>
      </c>
      <c r="B2508" s="69" t="s">
        <v>2613</v>
      </c>
      <c r="C2508" s="70" t="s">
        <v>2383</v>
      </c>
      <c r="D2508" s="70" t="s">
        <v>2614</v>
      </c>
      <c r="E2508" s="70"/>
      <c r="F2508" s="70"/>
      <c r="G2508" s="70" t="str">
        <f>IFERROR(VLOOKUP(A2508,[1]wms_iv_f!$A$1:$E$136,4,FALSE),"")</f>
        <v/>
      </c>
      <c r="H2508" s="95" t="str">
        <f>IFERROR(VLOOKUP(A2508,[2]wms_lc_f!$A$1:$B$156,2,FALSE),"")</f>
        <v/>
      </c>
    </row>
    <row r="2509" spans="1:8" hidden="1">
      <c r="A2509" s="69">
        <f>IFERROR(VLOOKUP(C2509,[3]wms_iv_f!$A$1:$D$135,2,FALSE),"")</f>
        <v>114346</v>
      </c>
      <c r="B2509" s="69" t="s">
        <v>2613</v>
      </c>
      <c r="C2509" s="70" t="s">
        <v>2395</v>
      </c>
      <c r="D2509" s="70" t="s">
        <v>2614</v>
      </c>
      <c r="E2509" s="70"/>
      <c r="F2509" s="70"/>
      <c r="G2509" s="70" t="str">
        <f>IFERROR(VLOOKUP(A2509,[1]wms_iv_f!$A$1:$E$136,4,FALSE),"")</f>
        <v>M27-2-1D07</v>
      </c>
      <c r="H2509" s="95" t="str">
        <f>IFERROR(VLOOKUP(A2509,[2]wms_lc_f!$A$1:$B$156,2,FALSE),"")</f>
        <v/>
      </c>
    </row>
    <row r="2510" spans="1:8" hidden="1">
      <c r="A2510" s="69">
        <f>IFERROR(VLOOKUP(C2510,[3]wms_iv_f!$A$1:$D$135,2,FALSE),"")</f>
        <v>131595</v>
      </c>
      <c r="B2510" s="69" t="s">
        <v>2613</v>
      </c>
      <c r="C2510" s="70" t="s">
        <v>2407</v>
      </c>
      <c r="D2510" s="70" t="s">
        <v>2614</v>
      </c>
      <c r="E2510" s="70"/>
      <c r="F2510" s="70"/>
      <c r="G2510" s="70" t="str">
        <f>IFERROR(VLOOKUP(A2510,[1]wms_iv_f!$A$1:$E$136,4,FALSE),"")</f>
        <v>M27-2-1D08</v>
      </c>
      <c r="H2510" s="95" t="str">
        <f>IFERROR(VLOOKUP(A2510,[2]wms_lc_f!$A$1:$B$156,2,FALSE),"")</f>
        <v/>
      </c>
    </row>
    <row r="2511" spans="1:8" hidden="1">
      <c r="A2511" s="69">
        <v>1452</v>
      </c>
      <c r="B2511" s="69" t="s">
        <v>2613</v>
      </c>
      <c r="C2511" s="70" t="s">
        <v>2494</v>
      </c>
      <c r="D2511" s="70" t="s">
        <v>2614</v>
      </c>
      <c r="E2511" s="70"/>
      <c r="F2511" s="70"/>
      <c r="G2511" s="70" t="str">
        <f>IFERROR(VLOOKUP(A2511,[1]wms_iv_f!$A$1:$E$136,4,FALSE),"")</f>
        <v/>
      </c>
      <c r="H2511" s="95" t="str">
        <f>IFERROR(VLOOKUP(A2511,[2]wms_lc_f!$A$1:$B$156,2,FALSE),"")</f>
        <v/>
      </c>
    </row>
    <row r="2512" spans="1:8" hidden="1">
      <c r="A2512" s="69">
        <f>IFERROR(VLOOKUP(C2512,[3]wms_iv_f!$A$1:$D$135,2,FALSE),"")</f>
        <v>8328</v>
      </c>
      <c r="B2512" s="69" t="s">
        <v>2613</v>
      </c>
      <c r="C2512" s="70" t="s">
        <v>2506</v>
      </c>
      <c r="D2512" s="70" t="s">
        <v>2614</v>
      </c>
      <c r="E2512" s="70"/>
      <c r="F2512" s="70"/>
      <c r="G2512" s="70" t="str">
        <f>IFERROR(VLOOKUP(A2512,[1]wms_iv_f!$A$1:$E$136,4,FALSE),"")</f>
        <v>M27-2-1D10</v>
      </c>
      <c r="H2512" s="95" t="str">
        <f>IFERROR(VLOOKUP(A2512,[2]wms_lc_f!$A$1:$B$156,2,FALSE),"")</f>
        <v/>
      </c>
    </row>
    <row r="2513" spans="1:8" hidden="1">
      <c r="A2513" s="69">
        <v>105327</v>
      </c>
      <c r="B2513" s="69" t="s">
        <v>2613</v>
      </c>
      <c r="C2513" s="70" t="s">
        <v>2518</v>
      </c>
      <c r="D2513" s="70" t="s">
        <v>2614</v>
      </c>
      <c r="E2513" s="70"/>
      <c r="F2513" s="70"/>
      <c r="G2513" s="70" t="str">
        <f>IFERROR(VLOOKUP(A2513,[1]wms_iv_f!$A$1:$E$136,4,FALSE),"")</f>
        <v/>
      </c>
      <c r="H2513" s="95" t="str">
        <f>IFERROR(VLOOKUP(A2513,[2]wms_lc_f!$A$1:$B$156,2,FALSE),"")</f>
        <v/>
      </c>
    </row>
    <row r="2514" spans="1:8" hidden="1">
      <c r="A2514" s="69">
        <v>89702</v>
      </c>
      <c r="B2514" s="69" t="s">
        <v>2613</v>
      </c>
      <c r="C2514" s="70" t="s">
        <v>2279</v>
      </c>
      <c r="D2514" s="70" t="s">
        <v>2614</v>
      </c>
      <c r="E2514" s="70"/>
      <c r="F2514" s="70"/>
      <c r="G2514" s="70" t="str">
        <f>IFERROR(VLOOKUP(A2514,[1]wms_iv_f!$A$1:$E$136,4,FALSE),"")</f>
        <v/>
      </c>
      <c r="H2514" s="95" t="str">
        <f>IFERROR(VLOOKUP(A2514,[2]wms_lc_f!$A$1:$B$156,2,FALSE),"")</f>
        <v/>
      </c>
    </row>
    <row r="2515" spans="1:8" hidden="1">
      <c r="A2515" s="69">
        <v>155832</v>
      </c>
      <c r="B2515" s="69" t="s">
        <v>2613</v>
      </c>
      <c r="C2515" s="70" t="s">
        <v>2287</v>
      </c>
      <c r="D2515" s="70" t="s">
        <v>2614</v>
      </c>
      <c r="E2515" s="70"/>
      <c r="F2515" s="70"/>
      <c r="G2515" s="70" t="str">
        <f>IFERROR(VLOOKUP(A2515,[1]wms_iv_f!$A$1:$E$136,4,FALSE),"")</f>
        <v/>
      </c>
      <c r="H2515" s="95" t="str">
        <f>IFERROR(VLOOKUP(A2515,[2]wms_lc_f!$A$1:$B$156,2,FALSE),"")</f>
        <v/>
      </c>
    </row>
    <row r="2516" spans="1:8" hidden="1">
      <c r="A2516" s="69">
        <v>138950</v>
      </c>
      <c r="B2516" s="69" t="s">
        <v>2613</v>
      </c>
      <c r="C2516" s="70" t="s">
        <v>2297</v>
      </c>
      <c r="D2516" s="70" t="s">
        <v>2614</v>
      </c>
      <c r="E2516" s="70"/>
      <c r="F2516" s="70"/>
      <c r="G2516" s="70" t="str">
        <f>IFERROR(VLOOKUP(A2516,[1]wms_iv_f!$A$1:$E$136,4,FALSE),"")</f>
        <v/>
      </c>
      <c r="H2516" s="95" t="str">
        <f>IFERROR(VLOOKUP(A2516,[2]wms_lc_f!$A$1:$B$156,2,FALSE),"")</f>
        <v/>
      </c>
    </row>
    <row r="2517" spans="1:8" hidden="1">
      <c r="A2517" s="69">
        <v>35294</v>
      </c>
      <c r="B2517" s="69" t="s">
        <v>2613</v>
      </c>
      <c r="C2517" s="70" t="s">
        <v>2384</v>
      </c>
      <c r="D2517" s="70" t="s">
        <v>2614</v>
      </c>
      <c r="E2517" s="70"/>
      <c r="F2517" s="70"/>
      <c r="G2517" s="70" t="str">
        <f>IFERROR(VLOOKUP(A2517,[1]wms_iv_f!$A$1:$E$136,4,FALSE),"")</f>
        <v/>
      </c>
      <c r="H2517" s="95" t="str">
        <f>IFERROR(VLOOKUP(A2517,[2]wms_lc_f!$A$1:$B$156,2,FALSE),"")</f>
        <v/>
      </c>
    </row>
    <row r="2518" spans="1:8" hidden="1">
      <c r="A2518" s="69">
        <v>112478</v>
      </c>
      <c r="B2518" s="69" t="s">
        <v>2613</v>
      </c>
      <c r="C2518" s="70" t="s">
        <v>2396</v>
      </c>
      <c r="D2518" s="70" t="s">
        <v>2614</v>
      </c>
      <c r="E2518" s="70"/>
      <c r="F2518" s="70"/>
      <c r="G2518" s="70" t="str">
        <f>IFERROR(VLOOKUP(A2518,[1]wms_iv_f!$A$1:$E$136,4,FALSE),"")</f>
        <v/>
      </c>
      <c r="H2518" s="95" t="str">
        <f>IFERROR(VLOOKUP(A2518,[2]wms_lc_f!$A$1:$B$156,2,FALSE),"")</f>
        <v/>
      </c>
    </row>
    <row r="2519" spans="1:8" hidden="1">
      <c r="A2519" s="69">
        <v>63401</v>
      </c>
      <c r="B2519" s="69" t="s">
        <v>2613</v>
      </c>
      <c r="C2519" s="70" t="s">
        <v>2408</v>
      </c>
      <c r="D2519" s="70" t="s">
        <v>2614</v>
      </c>
      <c r="E2519" s="70"/>
      <c r="F2519" s="70"/>
      <c r="G2519" s="70" t="str">
        <f>IFERROR(VLOOKUP(A2519,[1]wms_iv_f!$A$1:$E$136,4,FALSE),"")</f>
        <v/>
      </c>
      <c r="H2519" s="95" t="str">
        <f>IFERROR(VLOOKUP(A2519,[2]wms_lc_f!$A$1:$B$156,2,FALSE),"")</f>
        <v/>
      </c>
    </row>
    <row r="2520" spans="1:8" hidden="1">
      <c r="A2520" s="69">
        <v>5328</v>
      </c>
      <c r="B2520" s="69" t="s">
        <v>2613</v>
      </c>
      <c r="C2520" s="70" t="s">
        <v>2495</v>
      </c>
      <c r="D2520" s="70" t="s">
        <v>2614</v>
      </c>
      <c r="E2520" s="70"/>
      <c r="F2520" s="70"/>
      <c r="G2520" s="70" t="str">
        <f>IFERROR(VLOOKUP(A2520,[1]wms_iv_f!$A$1:$E$136,4,FALSE),"")</f>
        <v/>
      </c>
      <c r="H2520" s="95" t="str">
        <f>IFERROR(VLOOKUP(A2520,[2]wms_lc_f!$A$1:$B$156,2,FALSE),"")</f>
        <v/>
      </c>
    </row>
    <row r="2521" spans="1:8" hidden="1">
      <c r="A2521" s="69">
        <v>96468</v>
      </c>
      <c r="B2521" s="69" t="s">
        <v>2613</v>
      </c>
      <c r="C2521" s="70" t="s">
        <v>2507</v>
      </c>
      <c r="D2521" s="70" t="s">
        <v>2614</v>
      </c>
      <c r="E2521" s="70"/>
      <c r="F2521" s="70"/>
      <c r="G2521" s="70" t="str">
        <f>IFERROR(VLOOKUP(A2521,[1]wms_iv_f!$A$1:$E$136,4,FALSE),"")</f>
        <v/>
      </c>
      <c r="H2521" s="95" t="str">
        <f>IFERROR(VLOOKUP(A2521,[2]wms_lc_f!$A$1:$B$156,2,FALSE),"")</f>
        <v/>
      </c>
    </row>
    <row r="2522" spans="1:8" hidden="1">
      <c r="A2522" s="69">
        <v>36854</v>
      </c>
      <c r="B2522" s="69" t="s">
        <v>2613</v>
      </c>
      <c r="C2522" s="70" t="s">
        <v>2519</v>
      </c>
      <c r="D2522" s="70" t="s">
        <v>2614</v>
      </c>
      <c r="E2522" s="70"/>
      <c r="F2522" s="70"/>
      <c r="G2522" s="70" t="str">
        <f>IFERROR(VLOOKUP(A2522,[1]wms_iv_f!$A$1:$E$136,4,FALSE),"")</f>
        <v/>
      </c>
      <c r="H2522" s="95" t="str">
        <f>IFERROR(VLOOKUP(A2522,[2]wms_lc_f!$A$1:$B$156,2,FALSE),"")</f>
        <v/>
      </c>
    </row>
    <row r="2523" spans="1:8" hidden="1">
      <c r="A2523" s="69">
        <v>136580</v>
      </c>
      <c r="B2523" s="69" t="s">
        <v>2613</v>
      </c>
      <c r="C2523" s="70" t="s">
        <v>2308</v>
      </c>
      <c r="D2523" s="70" t="s">
        <v>2610</v>
      </c>
      <c r="E2523" s="72"/>
      <c r="F2523" s="70"/>
      <c r="G2523" s="70" t="str">
        <f>IFERROR(VLOOKUP(A2523,[1]wms_iv_f!$A$1:$E$136,4,FALSE),"")</f>
        <v/>
      </c>
      <c r="H2523" s="95" t="str">
        <f>IFERROR(VLOOKUP(A2523,[2]wms_lc_f!$A$1:$B$156,2,FALSE),"")</f>
        <v/>
      </c>
    </row>
    <row r="2524" spans="1:8" hidden="1">
      <c r="A2524" s="69">
        <v>54</v>
      </c>
      <c r="B2524" s="69" t="s">
        <v>2613</v>
      </c>
      <c r="C2524" s="70" t="s">
        <v>2419</v>
      </c>
      <c r="D2524" s="70" t="s">
        <v>2610</v>
      </c>
      <c r="E2524" s="72"/>
      <c r="F2524" s="70" t="s">
        <v>2612</v>
      </c>
      <c r="G2524" s="70" t="str">
        <f>IFERROR(VLOOKUP(A2524,[1]wms_iv_f!$A$1:$E$136,4,FALSE),"")</f>
        <v/>
      </c>
      <c r="H2524" s="95" t="str">
        <f>IFERROR(VLOOKUP(A2524,[2]wms_lc_f!$A$1:$B$156,2,FALSE),"")</f>
        <v>12-115-E1</v>
      </c>
    </row>
    <row r="2525" spans="1:8" hidden="1">
      <c r="A2525" s="69">
        <v>132475</v>
      </c>
      <c r="B2525" s="69" t="s">
        <v>2613</v>
      </c>
      <c r="C2525" s="70" t="s">
        <v>2426</v>
      </c>
      <c r="D2525" s="70" t="s">
        <v>2610</v>
      </c>
      <c r="E2525" s="72"/>
      <c r="F2525" s="70" t="s">
        <v>2612</v>
      </c>
      <c r="G2525" s="70" t="str">
        <f>IFERROR(VLOOKUP(A2525,[1]wms_iv_f!$A$1:$E$136,4,FALSE),"")</f>
        <v/>
      </c>
      <c r="H2525" s="95" t="str">
        <f>IFERROR(VLOOKUP(A2525,[2]wms_lc_f!$A$1:$B$156,2,FALSE),"")</f>
        <v/>
      </c>
    </row>
    <row r="2526" spans="1:8" hidden="1">
      <c r="A2526" s="69">
        <v>96</v>
      </c>
      <c r="B2526" s="69" t="s">
        <v>2613</v>
      </c>
      <c r="C2526" s="70" t="s">
        <v>2428</v>
      </c>
      <c r="D2526" s="70" t="s">
        <v>2610</v>
      </c>
      <c r="E2526" s="72"/>
      <c r="F2526" s="70"/>
      <c r="G2526" s="70" t="str">
        <f>IFERROR(VLOOKUP(A2526,[1]wms_iv_f!$A$1:$E$136,4,FALSE),"")</f>
        <v/>
      </c>
      <c r="H2526" s="95" t="str">
        <f>IFERROR(VLOOKUP(A2526,[2]wms_lc_f!$A$1:$B$156,2,FALSE),"")</f>
        <v/>
      </c>
    </row>
    <row r="2527" spans="1:8" hidden="1">
      <c r="A2527" s="69">
        <v>134099</v>
      </c>
      <c r="B2527" s="69" t="s">
        <v>2613</v>
      </c>
      <c r="C2527" s="70" t="s">
        <v>1957</v>
      </c>
      <c r="D2527" s="70" t="s">
        <v>2614</v>
      </c>
      <c r="E2527" s="70"/>
      <c r="F2527" s="70"/>
      <c r="G2527" s="70" t="str">
        <f>IFERROR(VLOOKUP(A2527,[1]wms_iv_f!$A$1:$E$136,4,FALSE),"")</f>
        <v/>
      </c>
      <c r="H2527" s="95" t="str">
        <f>IFERROR(VLOOKUP(A2527,[2]wms_lc_f!$A$1:$B$156,2,FALSE),"")</f>
        <v/>
      </c>
    </row>
    <row r="2528" spans="1:8" hidden="1">
      <c r="A2528" s="69">
        <f>IFERROR(VLOOKUP(C2528,[3]wms_iv_f!$A$1:$D$135,2,FALSE),"")</f>
        <v>115226</v>
      </c>
      <c r="B2528" s="69" t="s">
        <v>2613</v>
      </c>
      <c r="C2528" s="70" t="s">
        <v>2042</v>
      </c>
      <c r="D2528" s="70" t="s">
        <v>2614</v>
      </c>
      <c r="E2528" s="70"/>
      <c r="F2528" s="70"/>
      <c r="G2528" s="70" t="str">
        <f>IFERROR(VLOOKUP(A2528,[1]wms_iv_f!$A$1:$E$136,4,FALSE),"")</f>
        <v>M28-2-1A02</v>
      </c>
      <c r="H2528" s="95" t="str">
        <f>IFERROR(VLOOKUP(A2528,[2]wms_lc_f!$A$1:$B$156,2,FALSE),"")</f>
        <v/>
      </c>
    </row>
    <row r="2529" spans="1:8" hidden="1">
      <c r="A2529" s="69">
        <v>3119</v>
      </c>
      <c r="B2529" s="69" t="s">
        <v>2613</v>
      </c>
      <c r="C2529" s="70" t="s">
        <v>2054</v>
      </c>
      <c r="D2529" s="70" t="s">
        <v>2614</v>
      </c>
      <c r="E2529" s="70"/>
      <c r="F2529" s="70"/>
      <c r="G2529" s="70" t="str">
        <f>IFERROR(VLOOKUP(A2529,[1]wms_iv_f!$A$1:$E$136,4,FALSE),"")</f>
        <v/>
      </c>
      <c r="H2529" s="95" t="str">
        <f>IFERROR(VLOOKUP(A2529,[2]wms_lc_f!$A$1:$B$156,2,FALSE),"")</f>
        <v/>
      </c>
    </row>
    <row r="2530" spans="1:8" hidden="1">
      <c r="A2530" s="69">
        <f>IFERROR(VLOOKUP(C2530,[3]wms_iv_f!$A$1:$D$135,2,FALSE),"")</f>
        <v>131494</v>
      </c>
      <c r="B2530" s="69" t="s">
        <v>2613</v>
      </c>
      <c r="C2530" s="70" t="s">
        <v>2066</v>
      </c>
      <c r="D2530" s="70" t="s">
        <v>2614</v>
      </c>
      <c r="E2530" s="70"/>
      <c r="F2530" s="70"/>
      <c r="G2530" s="70" t="str">
        <f>IFERROR(VLOOKUP(A2530,[1]wms_iv_f!$A$1:$E$136,4,FALSE),"")</f>
        <v>M28-2-1A04</v>
      </c>
      <c r="H2530" s="95" t="str">
        <f>IFERROR(VLOOKUP(A2530,[2]wms_lc_f!$A$1:$B$156,2,FALSE),"")</f>
        <v/>
      </c>
    </row>
    <row r="2531" spans="1:8" hidden="1">
      <c r="A2531" s="69">
        <f>IFERROR(VLOOKUP(C2531,[3]wms_iv_f!$A$1:$D$135,2,FALSE),"")</f>
        <v>107963</v>
      </c>
      <c r="B2531" s="69" t="s">
        <v>2613</v>
      </c>
      <c r="C2531" s="70" t="s">
        <v>2151</v>
      </c>
      <c r="D2531" s="70" t="s">
        <v>2614</v>
      </c>
      <c r="E2531" s="70"/>
      <c r="F2531" s="70"/>
      <c r="G2531" s="70" t="str">
        <f>IFERROR(VLOOKUP(A2531,[1]wms_iv_f!$A$1:$E$136,4,FALSE),"")</f>
        <v>M28-2-1A05</v>
      </c>
      <c r="H2531" s="95" t="str">
        <f>IFERROR(VLOOKUP(A2531,[2]wms_lc_f!$A$1:$B$156,2,FALSE),"")</f>
        <v/>
      </c>
    </row>
    <row r="2532" spans="1:8" hidden="1">
      <c r="A2532" s="69">
        <f>IFERROR(VLOOKUP(C2532,[3]wms_iv_f!$A$1:$D$135,2,FALSE),"")</f>
        <v>157618</v>
      </c>
      <c r="B2532" s="69" t="s">
        <v>2613</v>
      </c>
      <c r="C2532" s="70" t="s">
        <v>2163</v>
      </c>
      <c r="D2532" s="70" t="s">
        <v>2614</v>
      </c>
      <c r="E2532" s="70"/>
      <c r="F2532" s="70"/>
      <c r="G2532" s="70" t="str">
        <f>IFERROR(VLOOKUP(A2532,[1]wms_iv_f!$A$1:$E$136,4,FALSE),"")</f>
        <v>M28-2-1A06</v>
      </c>
      <c r="H2532" s="95" t="str">
        <f>IFERROR(VLOOKUP(A2532,[2]wms_lc_f!$A$1:$B$156,2,FALSE),"")</f>
        <v/>
      </c>
    </row>
    <row r="2533" spans="1:8" hidden="1">
      <c r="A2533" s="69">
        <f>IFERROR(VLOOKUP(C2533,[3]wms_iv_f!$A$1:$D$135,2,FALSE),"")</f>
        <v>12007</v>
      </c>
      <c r="B2533" s="69" t="s">
        <v>2613</v>
      </c>
      <c r="C2533" s="70" t="s">
        <v>2175</v>
      </c>
      <c r="D2533" s="70" t="s">
        <v>2614</v>
      </c>
      <c r="E2533" s="70"/>
      <c r="F2533" s="70"/>
      <c r="G2533" s="70" t="str">
        <f>IFERROR(VLOOKUP(A2533,[1]wms_iv_f!$A$1:$E$136,4,FALSE),"")</f>
        <v>M28-2-1A07</v>
      </c>
      <c r="H2533" s="95" t="str">
        <f>IFERROR(VLOOKUP(A2533,[2]wms_lc_f!$A$1:$B$156,2,FALSE),"")</f>
        <v/>
      </c>
    </row>
    <row r="2534" spans="1:8" hidden="1">
      <c r="A2534" s="69">
        <f>IFERROR(VLOOKUP(C2534,[3]wms_iv_f!$A$1:$D$135,2,FALSE),"")</f>
        <v>116955</v>
      </c>
      <c r="B2534" s="69" t="s">
        <v>2613</v>
      </c>
      <c r="C2534" s="70" t="s">
        <v>2260</v>
      </c>
      <c r="D2534" s="70" t="s">
        <v>2614</v>
      </c>
      <c r="E2534" s="70"/>
      <c r="F2534" s="70"/>
      <c r="G2534" s="70" t="str">
        <f>IFERROR(VLOOKUP(A2534,[1]wms_iv_f!$A$1:$E$136,4,FALSE),"")</f>
        <v>M28-2-1A08</v>
      </c>
      <c r="H2534" s="95" t="str">
        <f>IFERROR(VLOOKUP(A2534,[2]wms_lc_f!$A$1:$B$156,2,FALSE),"")</f>
        <v/>
      </c>
    </row>
    <row r="2535" spans="1:8" hidden="1">
      <c r="A2535" s="69">
        <f>IFERROR(VLOOKUP(C2535,[3]wms_iv_f!$A$1:$D$135,2,FALSE),"")</f>
        <v>158172</v>
      </c>
      <c r="B2535" s="69" t="s">
        <v>2613</v>
      </c>
      <c r="C2535" s="70" t="s">
        <v>2268</v>
      </c>
      <c r="D2535" s="70" t="s">
        <v>2614</v>
      </c>
      <c r="E2535" s="70"/>
      <c r="F2535" s="70"/>
      <c r="G2535" s="70" t="str">
        <f>IFERROR(VLOOKUP(A2535,[1]wms_iv_f!$A$1:$E$136,4,FALSE),"")</f>
        <v>M28-2-1A09</v>
      </c>
      <c r="H2535" s="95" t="str">
        <f>IFERROR(VLOOKUP(A2535,[2]wms_lc_f!$A$1:$B$156,2,FALSE),"")</f>
        <v/>
      </c>
    </row>
    <row r="2536" spans="1:8" hidden="1">
      <c r="A2536" s="69">
        <f>IFERROR(VLOOKUP(C2536,[3]wms_iv_f!$A$1:$D$135,2,FALSE),"")</f>
        <v>118437</v>
      </c>
      <c r="B2536" s="69" t="s">
        <v>2613</v>
      </c>
      <c r="C2536" s="70" t="s">
        <v>1958</v>
      </c>
      <c r="D2536" s="70" t="s">
        <v>2614</v>
      </c>
      <c r="E2536" s="70"/>
      <c r="F2536" s="70"/>
      <c r="G2536" s="70" t="str">
        <f>IFERROR(VLOOKUP(A2536,[1]wms_iv_f!$A$1:$E$136,4,FALSE),"")</f>
        <v>M28-2-1A10</v>
      </c>
      <c r="H2536" s="95" t="str">
        <f>IFERROR(VLOOKUP(A2536,[2]wms_lc_f!$A$1:$B$156,2,FALSE),"")</f>
        <v/>
      </c>
    </row>
    <row r="2537" spans="1:8" hidden="1">
      <c r="A2537" s="69">
        <f>IFERROR(VLOOKUP(C2537,[3]wms_iv_f!$A$1:$D$135,2,FALSE),"")</f>
        <v>113437</v>
      </c>
      <c r="B2537" s="69" t="s">
        <v>2613</v>
      </c>
      <c r="C2537" s="70" t="s">
        <v>2043</v>
      </c>
      <c r="D2537" s="70" t="s">
        <v>2614</v>
      </c>
      <c r="E2537" s="70"/>
      <c r="F2537" s="70"/>
      <c r="G2537" s="70" t="str">
        <f>IFERROR(VLOOKUP(A2537,[1]wms_iv_f!$A$1:$E$136,4,FALSE),"")</f>
        <v>M28-2-1B01</v>
      </c>
      <c r="H2537" s="95" t="str">
        <f>IFERROR(VLOOKUP(A2537,[2]wms_lc_f!$A$1:$B$156,2,FALSE),"")</f>
        <v/>
      </c>
    </row>
    <row r="2538" spans="1:8" hidden="1">
      <c r="A2538" s="69">
        <v>61047</v>
      </c>
      <c r="B2538" s="69" t="s">
        <v>2613</v>
      </c>
      <c r="C2538" s="70" t="s">
        <v>2055</v>
      </c>
      <c r="D2538" s="70" t="s">
        <v>2614</v>
      </c>
      <c r="E2538" s="70"/>
      <c r="F2538" s="70"/>
      <c r="G2538" s="70" t="str">
        <f>IFERROR(VLOOKUP(A2538,[1]wms_iv_f!$A$1:$E$136,4,FALSE),"")</f>
        <v/>
      </c>
      <c r="H2538" s="95" t="str">
        <f>IFERROR(VLOOKUP(A2538,[2]wms_lc_f!$A$1:$B$156,2,FALSE),"")</f>
        <v/>
      </c>
    </row>
    <row r="2539" spans="1:8" hidden="1">
      <c r="A2539" s="69">
        <v>77271</v>
      </c>
      <c r="B2539" s="69" t="s">
        <v>2613</v>
      </c>
      <c r="C2539" s="70" t="s">
        <v>2067</v>
      </c>
      <c r="D2539" s="70" t="s">
        <v>2614</v>
      </c>
      <c r="E2539" s="70"/>
      <c r="F2539" s="70"/>
      <c r="G2539" s="70" t="str">
        <f>IFERROR(VLOOKUP(A2539,[1]wms_iv_f!$A$1:$E$136,4,FALSE),"")</f>
        <v/>
      </c>
      <c r="H2539" s="95" t="str">
        <f>IFERROR(VLOOKUP(A2539,[2]wms_lc_f!$A$1:$B$156,2,FALSE),"")</f>
        <v/>
      </c>
    </row>
    <row r="2540" spans="1:8" hidden="1">
      <c r="A2540" s="69">
        <f>IFERROR(VLOOKUP(C2540,[3]wms_iv_f!$A$1:$D$135,2,FALSE),"")</f>
        <v>98212</v>
      </c>
      <c r="B2540" s="69" t="s">
        <v>2613</v>
      </c>
      <c r="C2540" s="70" t="s">
        <v>2152</v>
      </c>
      <c r="D2540" s="70" t="s">
        <v>2614</v>
      </c>
      <c r="E2540" s="70"/>
      <c r="F2540" s="70"/>
      <c r="G2540" s="70" t="str">
        <f>IFERROR(VLOOKUP(A2540,[1]wms_iv_f!$A$1:$E$136,4,FALSE),"")</f>
        <v>M28-2-1B04</v>
      </c>
      <c r="H2540" s="95" t="str">
        <f>IFERROR(VLOOKUP(A2540,[2]wms_lc_f!$A$1:$B$156,2,FALSE),"")</f>
        <v/>
      </c>
    </row>
    <row r="2541" spans="1:8" hidden="1">
      <c r="A2541" s="69">
        <f>IFERROR(VLOOKUP(C2541,[3]wms_iv_f!$A$1:$D$135,2,FALSE),"")</f>
        <v>18396</v>
      </c>
      <c r="B2541" s="69" t="s">
        <v>2613</v>
      </c>
      <c r="C2541" s="70" t="s">
        <v>2164</v>
      </c>
      <c r="D2541" s="70" t="s">
        <v>2614</v>
      </c>
      <c r="E2541" s="70"/>
      <c r="F2541" s="70"/>
      <c r="G2541" s="70" t="str">
        <f>IFERROR(VLOOKUP(A2541,[1]wms_iv_f!$A$1:$E$136,4,FALSE),"")</f>
        <v>M28-2-1B05</v>
      </c>
      <c r="H2541" s="95" t="str">
        <f>IFERROR(VLOOKUP(A2541,[2]wms_lc_f!$A$1:$B$156,2,FALSE),"")</f>
        <v/>
      </c>
    </row>
    <row r="2542" spans="1:8" hidden="1">
      <c r="A2542" s="69">
        <f>IFERROR(VLOOKUP(C2542,[3]wms_iv_f!$A$1:$D$135,2,FALSE),"")</f>
        <v>23533</v>
      </c>
      <c r="B2542" s="69" t="s">
        <v>2613</v>
      </c>
      <c r="C2542" s="70" t="s">
        <v>2176</v>
      </c>
      <c r="D2542" s="70" t="s">
        <v>2614</v>
      </c>
      <c r="E2542" s="70"/>
      <c r="F2542" s="70"/>
      <c r="G2542" s="70" t="str">
        <f>IFERROR(VLOOKUP(A2542,[1]wms_iv_f!$A$1:$E$136,4,FALSE),"")</f>
        <v>M28-2-1B06</v>
      </c>
      <c r="H2542" s="95" t="str">
        <f>IFERROR(VLOOKUP(A2542,[2]wms_lc_f!$A$1:$B$156,2,FALSE),"")</f>
        <v/>
      </c>
    </row>
    <row r="2543" spans="1:8" hidden="1">
      <c r="A2543" s="69">
        <f>IFERROR(VLOOKUP(C2543,[3]wms_iv_f!$A$1:$D$135,2,FALSE),"")</f>
        <v>157507</v>
      </c>
      <c r="B2543" s="69" t="s">
        <v>2613</v>
      </c>
      <c r="C2543" s="70" t="s">
        <v>2261</v>
      </c>
      <c r="D2543" s="70" t="s">
        <v>2614</v>
      </c>
      <c r="E2543" s="70"/>
      <c r="F2543" s="70"/>
      <c r="G2543" s="70" t="str">
        <f>IFERROR(VLOOKUP(A2543,[1]wms_iv_f!$A$1:$E$136,4,FALSE),"")</f>
        <v>M28-2-1B07</v>
      </c>
      <c r="H2543" s="95" t="str">
        <f>IFERROR(VLOOKUP(A2543,[2]wms_lc_f!$A$1:$B$156,2,FALSE),"")</f>
        <v/>
      </c>
    </row>
    <row r="2544" spans="1:8" hidden="1">
      <c r="A2544" s="69">
        <f>IFERROR(VLOOKUP(C2544,[3]wms_iv_f!$A$1:$D$135,2,FALSE),"")</f>
        <v>23505</v>
      </c>
      <c r="B2544" s="69" t="s">
        <v>2613</v>
      </c>
      <c r="C2544" s="70" t="s">
        <v>2269</v>
      </c>
      <c r="D2544" s="70" t="s">
        <v>2614</v>
      </c>
      <c r="E2544" s="70"/>
      <c r="F2544" s="70"/>
      <c r="G2544" s="70" t="str">
        <f>IFERROR(VLOOKUP(A2544,[1]wms_iv_f!$A$1:$E$136,4,FALSE),"")</f>
        <v>M28-2-1B08</v>
      </c>
      <c r="H2544" s="95" t="str">
        <f>IFERROR(VLOOKUP(A2544,[2]wms_lc_f!$A$1:$B$156,2,FALSE),"")</f>
        <v/>
      </c>
    </row>
    <row r="2545" spans="1:8" hidden="1">
      <c r="A2545" s="69">
        <f>IFERROR(VLOOKUP(C2545,[3]wms_iv_f!$A$1:$D$135,2,FALSE),"")</f>
        <v>9384</v>
      </c>
      <c r="B2545" s="69" t="s">
        <v>2613</v>
      </c>
      <c r="C2545" s="70" t="s">
        <v>1959</v>
      </c>
      <c r="D2545" s="70" t="s">
        <v>2614</v>
      </c>
      <c r="E2545" s="70"/>
      <c r="F2545" s="70"/>
      <c r="G2545" s="70" t="str">
        <f>IFERROR(VLOOKUP(A2545,[1]wms_iv_f!$A$1:$E$136,4,FALSE),"")</f>
        <v>M28-2-1B09</v>
      </c>
      <c r="H2545" s="95" t="str">
        <f>IFERROR(VLOOKUP(A2545,[2]wms_lc_f!$A$1:$B$156,2,FALSE),"")</f>
        <v/>
      </c>
    </row>
    <row r="2546" spans="1:8" hidden="1">
      <c r="A2546" s="69">
        <f>IFERROR(VLOOKUP(C2546,[3]wms_iv_f!$A$1:$D$135,2,FALSE),"")</f>
        <v>8541</v>
      </c>
      <c r="B2546" s="69" t="s">
        <v>2613</v>
      </c>
      <c r="C2546" s="70" t="s">
        <v>2044</v>
      </c>
      <c r="D2546" s="70" t="s">
        <v>2614</v>
      </c>
      <c r="E2546" s="70"/>
      <c r="F2546" s="70"/>
      <c r="G2546" s="70" t="str">
        <f>IFERROR(VLOOKUP(A2546,[1]wms_iv_f!$A$1:$E$136,4,FALSE),"")</f>
        <v>M28-2-1B10</v>
      </c>
      <c r="H2546" s="95" t="str">
        <f>IFERROR(VLOOKUP(A2546,[2]wms_lc_f!$A$1:$B$156,2,FALSE),"")</f>
        <v/>
      </c>
    </row>
    <row r="2547" spans="1:8" hidden="1">
      <c r="A2547" s="69">
        <f>IFERROR(VLOOKUP(C2547,[3]wms_iv_f!$A$1:$D$135,2,FALSE),"")</f>
        <v>109245</v>
      </c>
      <c r="B2547" s="69" t="s">
        <v>2613</v>
      </c>
      <c r="C2547" s="70" t="s">
        <v>2056</v>
      </c>
      <c r="D2547" s="70" t="s">
        <v>2614</v>
      </c>
      <c r="E2547" s="70"/>
      <c r="F2547" s="70"/>
      <c r="G2547" s="70" t="str">
        <f>IFERROR(VLOOKUP(A2547,[1]wms_iv_f!$A$1:$E$136,4,FALSE),"")</f>
        <v>M28-2-1C01</v>
      </c>
      <c r="H2547" s="95" t="str">
        <f>IFERROR(VLOOKUP(A2547,[2]wms_lc_f!$A$1:$B$156,2,FALSE),"")</f>
        <v/>
      </c>
    </row>
    <row r="2548" spans="1:8" hidden="1">
      <c r="A2548" s="69">
        <f>IFERROR(VLOOKUP(C2548,[3]wms_iv_f!$A$1:$D$135,2,FALSE),"")</f>
        <v>9718</v>
      </c>
      <c r="B2548" s="69" t="s">
        <v>2613</v>
      </c>
      <c r="C2548" s="70" t="s">
        <v>2068</v>
      </c>
      <c r="D2548" s="70" t="s">
        <v>2614</v>
      </c>
      <c r="E2548" s="70"/>
      <c r="F2548" s="70"/>
      <c r="G2548" s="70" t="str">
        <f>IFERROR(VLOOKUP(A2548,[1]wms_iv_f!$A$1:$E$136,4,FALSE),"")</f>
        <v>M28-2-1C02</v>
      </c>
      <c r="H2548" s="95" t="str">
        <f>IFERROR(VLOOKUP(A2548,[2]wms_lc_f!$A$1:$B$156,2,FALSE),"")</f>
        <v/>
      </c>
    </row>
    <row r="2549" spans="1:8" hidden="1">
      <c r="A2549" s="69">
        <f>IFERROR(VLOOKUP(C2549,[3]wms_iv_f!$A$1:$D$135,2,FALSE),"")</f>
        <v>9803</v>
      </c>
      <c r="B2549" s="69" t="s">
        <v>2613</v>
      </c>
      <c r="C2549" s="70" t="s">
        <v>2153</v>
      </c>
      <c r="D2549" s="70" t="s">
        <v>2614</v>
      </c>
      <c r="E2549" s="70"/>
      <c r="F2549" s="70"/>
      <c r="G2549" s="70" t="str">
        <f>IFERROR(VLOOKUP(A2549,[1]wms_iv_f!$A$1:$E$136,4,FALSE),"")</f>
        <v>M28-2-1C03</v>
      </c>
      <c r="H2549" s="95" t="str">
        <f>IFERROR(VLOOKUP(A2549,[2]wms_lc_f!$A$1:$B$156,2,FALSE),"")</f>
        <v/>
      </c>
    </row>
    <row r="2550" spans="1:8" hidden="1">
      <c r="A2550" s="69">
        <f>IFERROR(VLOOKUP(C2550,[3]wms_iv_f!$A$1:$D$135,2,FALSE),"")</f>
        <v>64559</v>
      </c>
      <c r="B2550" s="69" t="s">
        <v>2613</v>
      </c>
      <c r="C2550" s="70" t="s">
        <v>2165</v>
      </c>
      <c r="D2550" s="70" t="s">
        <v>2614</v>
      </c>
      <c r="E2550" s="70"/>
      <c r="F2550" s="70"/>
      <c r="G2550" s="70" t="str">
        <f>IFERROR(VLOOKUP(A2550,[1]wms_iv_f!$A$1:$E$136,4,FALSE),"")</f>
        <v>M28-2-1C04</v>
      </c>
      <c r="H2550" s="95" t="str">
        <f>IFERROR(VLOOKUP(A2550,[2]wms_lc_f!$A$1:$B$156,2,FALSE),"")</f>
        <v/>
      </c>
    </row>
    <row r="2551" spans="1:8" hidden="1">
      <c r="A2551" s="69">
        <f>IFERROR(VLOOKUP(C2551,[3]wms_iv_f!$A$1:$D$135,2,FALSE),"")</f>
        <v>4412</v>
      </c>
      <c r="B2551" s="69" t="s">
        <v>2613</v>
      </c>
      <c r="C2551" s="70" t="s">
        <v>2177</v>
      </c>
      <c r="D2551" s="70" t="s">
        <v>2614</v>
      </c>
      <c r="E2551" s="70"/>
      <c r="F2551" s="70"/>
      <c r="G2551" s="70" t="str">
        <f>IFERROR(VLOOKUP(A2551,[1]wms_iv_f!$A$1:$E$136,4,FALSE),"")</f>
        <v>M28-2-1C05</v>
      </c>
      <c r="H2551" s="95" t="str">
        <f>IFERROR(VLOOKUP(A2551,[2]wms_lc_f!$A$1:$B$156,2,FALSE),"")</f>
        <v/>
      </c>
    </row>
    <row r="2552" spans="1:8" hidden="1">
      <c r="A2552" s="69">
        <f>IFERROR(VLOOKUP(C2552,[3]wms_iv_f!$A$1:$D$135,2,FALSE),"")</f>
        <v>156306</v>
      </c>
      <c r="B2552" s="69" t="s">
        <v>2613</v>
      </c>
      <c r="C2552" s="70" t="s">
        <v>1960</v>
      </c>
      <c r="D2552" s="70" t="s">
        <v>2614</v>
      </c>
      <c r="E2552" s="70"/>
      <c r="F2552" s="70"/>
      <c r="G2552" s="70" t="str">
        <f>IFERROR(VLOOKUP(A2552,[1]wms_iv_f!$A$1:$E$136,4,FALSE),"")</f>
        <v>M28-2-1C06</v>
      </c>
      <c r="H2552" s="95" t="str">
        <f>IFERROR(VLOOKUP(A2552,[2]wms_lc_f!$A$1:$B$156,2,FALSE),"")</f>
        <v/>
      </c>
    </row>
    <row r="2553" spans="1:8" hidden="1">
      <c r="A2553" s="69">
        <f>IFERROR(VLOOKUP(C2553,[3]wms_iv_f!$A$1:$D$135,2,FALSE),"")</f>
        <v>157248</v>
      </c>
      <c r="B2553" s="69" t="s">
        <v>2613</v>
      </c>
      <c r="C2553" s="70" t="s">
        <v>2045</v>
      </c>
      <c r="D2553" s="70" t="s">
        <v>2614</v>
      </c>
      <c r="E2553" s="70"/>
      <c r="F2553" s="70"/>
      <c r="G2553" s="70" t="str">
        <f>IFERROR(VLOOKUP(A2553,[1]wms_iv_f!$A$1:$E$136,4,FALSE),"")</f>
        <v>M28-2-1C07</v>
      </c>
      <c r="H2553" s="95" t="str">
        <f>IFERROR(VLOOKUP(A2553,[2]wms_lc_f!$A$1:$B$156,2,FALSE),"")</f>
        <v/>
      </c>
    </row>
    <row r="2554" spans="1:8" hidden="1">
      <c r="A2554" s="69">
        <f>IFERROR(VLOOKUP(C2554,[3]wms_iv_f!$A$1:$D$135,2,FALSE),"")</f>
        <v>112421</v>
      </c>
      <c r="B2554" s="69" t="s">
        <v>2613</v>
      </c>
      <c r="C2554" s="70" t="s">
        <v>2057</v>
      </c>
      <c r="D2554" s="70" t="s">
        <v>2614</v>
      </c>
      <c r="E2554" s="70"/>
      <c r="F2554" s="70"/>
      <c r="G2554" s="70" t="str">
        <f>IFERROR(VLOOKUP(A2554,[1]wms_iv_f!$A$1:$E$136,4,FALSE),"")</f>
        <v>M28-2-1C08</v>
      </c>
      <c r="H2554" s="95" t="str">
        <f>IFERROR(VLOOKUP(A2554,[2]wms_lc_f!$A$1:$B$156,2,FALSE),"")</f>
        <v/>
      </c>
    </row>
    <row r="2555" spans="1:8" hidden="1">
      <c r="A2555" s="69">
        <f>IFERROR(VLOOKUP(C2555,[3]wms_iv_f!$A$1:$D$135,2,FALSE),"")</f>
        <v>74060</v>
      </c>
      <c r="B2555" s="69" t="s">
        <v>2613</v>
      </c>
      <c r="C2555" s="70" t="s">
        <v>2069</v>
      </c>
      <c r="D2555" s="70" t="s">
        <v>2614</v>
      </c>
      <c r="E2555" s="70"/>
      <c r="F2555" s="70"/>
      <c r="G2555" s="70" t="str">
        <f>IFERROR(VLOOKUP(A2555,[1]wms_iv_f!$A$1:$E$136,4,FALSE),"")</f>
        <v>M28-2-1C09</v>
      </c>
      <c r="H2555" s="95" t="str">
        <f>IFERROR(VLOOKUP(A2555,[2]wms_lc_f!$A$1:$B$156,2,FALSE),"")</f>
        <v/>
      </c>
    </row>
    <row r="2556" spans="1:8" hidden="1">
      <c r="A2556" s="69">
        <f>IFERROR(VLOOKUP(C2556,[3]wms_iv_f!$A$1:$D$135,2,FALSE),"")</f>
        <v>124557</v>
      </c>
      <c r="B2556" s="69" t="s">
        <v>2613</v>
      </c>
      <c r="C2556" s="70" t="s">
        <v>2154</v>
      </c>
      <c r="D2556" s="70" t="s">
        <v>2614</v>
      </c>
      <c r="E2556" s="70"/>
      <c r="F2556" s="70"/>
      <c r="G2556" s="70" t="str">
        <f>IFERROR(VLOOKUP(A2556,[1]wms_iv_f!$A$1:$E$136,4,FALSE),"")</f>
        <v>M28-2-1C10</v>
      </c>
      <c r="H2556" s="95" t="str">
        <f>IFERROR(VLOOKUP(A2556,[2]wms_lc_f!$A$1:$B$156,2,FALSE),"")</f>
        <v/>
      </c>
    </row>
    <row r="2557" spans="1:8" hidden="1">
      <c r="A2557" s="69">
        <f>IFERROR(VLOOKUP(C2557,[3]wms_iv_f!$A$1:$D$135,2,FALSE),"")</f>
        <v>114263</v>
      </c>
      <c r="B2557" s="69" t="s">
        <v>2613</v>
      </c>
      <c r="C2557" s="70" t="s">
        <v>2166</v>
      </c>
      <c r="D2557" s="70" t="s">
        <v>2614</v>
      </c>
      <c r="E2557" s="70"/>
      <c r="F2557" s="70"/>
      <c r="G2557" s="70" t="str">
        <f>IFERROR(VLOOKUP(A2557,[1]wms_iv_f!$A$1:$E$136,4,FALSE),"")</f>
        <v>M28-2-1D01</v>
      </c>
      <c r="H2557" s="95" t="str">
        <f>IFERROR(VLOOKUP(A2557,[2]wms_lc_f!$A$1:$B$156,2,FALSE),"")</f>
        <v/>
      </c>
    </row>
    <row r="2558" spans="1:8" hidden="1">
      <c r="A2558" s="69">
        <f>IFERROR(VLOOKUP(C2558,[3]wms_iv_f!$A$1:$D$135,2,FALSE),"")</f>
        <v>120174</v>
      </c>
      <c r="B2558" s="69" t="s">
        <v>2613</v>
      </c>
      <c r="C2558" s="70" t="s">
        <v>2178</v>
      </c>
      <c r="D2558" s="70" t="s">
        <v>2614</v>
      </c>
      <c r="E2558" s="70"/>
      <c r="F2558" s="70"/>
      <c r="G2558" s="70" t="str">
        <f>IFERROR(VLOOKUP(A2558,[1]wms_iv_f!$A$1:$E$136,4,FALSE),"")</f>
        <v>M28-2-1D02</v>
      </c>
      <c r="H2558" s="95" t="str">
        <f>IFERROR(VLOOKUP(A2558,[2]wms_lc_f!$A$1:$B$156,2,FALSE),"")</f>
        <v/>
      </c>
    </row>
    <row r="2559" spans="1:8" hidden="1">
      <c r="A2559" s="69">
        <f>IFERROR(VLOOKUP(C2559,[3]wms_iv_f!$A$1:$D$135,2,FALSE),"")</f>
        <v>20674</v>
      </c>
      <c r="B2559" s="69" t="s">
        <v>2613</v>
      </c>
      <c r="C2559" s="70" t="s">
        <v>1961</v>
      </c>
      <c r="D2559" s="70" t="s">
        <v>2614</v>
      </c>
      <c r="E2559" s="70"/>
      <c r="F2559" s="70"/>
      <c r="G2559" s="70" t="str">
        <f>IFERROR(VLOOKUP(A2559,[1]wms_iv_f!$A$1:$E$136,4,FALSE),"")</f>
        <v>M28-2-1D03</v>
      </c>
      <c r="H2559" s="95" t="str">
        <f>IFERROR(VLOOKUP(A2559,[2]wms_lc_f!$A$1:$B$156,2,FALSE),"")</f>
        <v/>
      </c>
    </row>
    <row r="2560" spans="1:8" hidden="1">
      <c r="A2560" s="69">
        <v>157242</v>
      </c>
      <c r="B2560" s="69" t="s">
        <v>2613</v>
      </c>
      <c r="C2560" s="70" t="s">
        <v>2046</v>
      </c>
      <c r="D2560" s="70" t="s">
        <v>2614</v>
      </c>
      <c r="E2560" s="70"/>
      <c r="F2560" s="70"/>
      <c r="G2560" s="70" t="str">
        <f>IFERROR(VLOOKUP(A2560,[1]wms_iv_f!$A$1:$E$136,4,FALSE),"")</f>
        <v/>
      </c>
      <c r="H2560" s="95" t="str">
        <f>IFERROR(VLOOKUP(A2560,[2]wms_lc_f!$A$1:$B$156,2,FALSE),"")</f>
        <v/>
      </c>
    </row>
    <row r="2561" spans="1:8" hidden="1">
      <c r="A2561" s="69">
        <f>IFERROR(VLOOKUP(C2561,[3]wms_iv_f!$A$1:$D$135,2,FALSE),"")</f>
        <v>8592</v>
      </c>
      <c r="B2561" s="69" t="s">
        <v>2613</v>
      </c>
      <c r="C2561" s="70" t="s">
        <v>2058</v>
      </c>
      <c r="D2561" s="70" t="s">
        <v>2614</v>
      </c>
      <c r="E2561" s="70"/>
      <c r="F2561" s="70"/>
      <c r="G2561" s="70" t="str">
        <f>IFERROR(VLOOKUP(A2561,[1]wms_iv_f!$A$1:$E$136,4,FALSE),"")</f>
        <v>M28-2-1D05</v>
      </c>
      <c r="H2561" s="95" t="str">
        <f>IFERROR(VLOOKUP(A2561,[2]wms_lc_f!$A$1:$B$156,2,FALSE),"")</f>
        <v/>
      </c>
    </row>
    <row r="2562" spans="1:8" hidden="1">
      <c r="A2562" s="69">
        <f>IFERROR(VLOOKUP(C2562,[3]wms_iv_f!$A$1:$D$135,2,FALSE),"")</f>
        <v>100732</v>
      </c>
      <c r="B2562" s="69" t="s">
        <v>2613</v>
      </c>
      <c r="C2562" s="70" t="s">
        <v>2070</v>
      </c>
      <c r="D2562" s="70" t="s">
        <v>2614</v>
      </c>
      <c r="E2562" s="70"/>
      <c r="F2562" s="70"/>
      <c r="G2562" s="70" t="str">
        <f>IFERROR(VLOOKUP(A2562,[1]wms_iv_f!$A$1:$E$136,4,FALSE),"")</f>
        <v>M28-2-1D06</v>
      </c>
      <c r="H2562" s="95" t="str">
        <f>IFERROR(VLOOKUP(A2562,[2]wms_lc_f!$A$1:$B$156,2,FALSE),"")</f>
        <v/>
      </c>
    </row>
    <row r="2563" spans="1:8" hidden="1">
      <c r="A2563" s="68">
        <f>IFERROR(VLOOKUP(C2563,[3]wms_iv_f!$A$1:$D$135,2,FALSE),"")</f>
        <v>74241</v>
      </c>
      <c r="B2563" s="69" t="s">
        <v>2613</v>
      </c>
      <c r="C2563" s="70" t="s">
        <v>2155</v>
      </c>
      <c r="D2563" s="70" t="s">
        <v>2614</v>
      </c>
      <c r="E2563" s="76"/>
      <c r="F2563" s="70"/>
      <c r="G2563" s="70" t="str">
        <f>IFERROR(VLOOKUP(A2563,[1]wms_iv_f!$A$1:$E$136,4,FALSE),"")</f>
        <v>M28-2-1D07</v>
      </c>
      <c r="H2563" s="95" t="str">
        <f>IFERROR(VLOOKUP(A2563,[2]wms_lc_f!$A$1:$B$156,2,FALSE),"")</f>
        <v/>
      </c>
    </row>
    <row r="2564" spans="1:8" hidden="1">
      <c r="A2564" s="71"/>
      <c r="B2564" s="69" t="s">
        <v>2613</v>
      </c>
      <c r="C2564" s="70" t="s">
        <v>2167</v>
      </c>
      <c r="D2564" s="70" t="s">
        <v>2614</v>
      </c>
      <c r="E2564" s="70"/>
      <c r="F2564" s="70"/>
      <c r="G2564" s="70" t="str">
        <f>IFERROR(VLOOKUP(A2564,[1]wms_iv_f!$A$1:$E$136,4,FALSE),"")</f>
        <v/>
      </c>
      <c r="H2564" s="95" t="str">
        <f>IFERROR(VLOOKUP(A2564,[2]wms_lc_f!$A$1:$B$156,2,FALSE),"")</f>
        <v/>
      </c>
    </row>
    <row r="2565" spans="1:8" hidden="1">
      <c r="A2565" s="71">
        <f>IFERROR(VLOOKUP(C2565,[3]wms_iv_f!$A$1:$D$135,2,FALSE),"")</f>
        <v>2191</v>
      </c>
      <c r="B2565" s="69" t="s">
        <v>2613</v>
      </c>
      <c r="C2565" s="70" t="s">
        <v>2179</v>
      </c>
      <c r="D2565" s="70" t="s">
        <v>2614</v>
      </c>
      <c r="E2565" s="70"/>
      <c r="F2565" s="70"/>
      <c r="G2565" s="70" t="str">
        <f>IFERROR(VLOOKUP(A2565,[1]wms_iv_f!$A$1:$E$136,4,FALSE),"")</f>
        <v>M28-2-1D09</v>
      </c>
      <c r="H2565" s="95" t="str">
        <f>IFERROR(VLOOKUP(A2565,[2]wms_lc_f!$A$1:$B$156,2,FALSE),"")</f>
        <v>12-114-E5</v>
      </c>
    </row>
    <row r="2566" spans="1:8" hidden="1">
      <c r="A2566" s="71">
        <v>15389</v>
      </c>
      <c r="B2566" s="69" t="s">
        <v>2613</v>
      </c>
      <c r="C2566" s="70" t="s">
        <v>2262</v>
      </c>
      <c r="D2566" s="70" t="s">
        <v>2614</v>
      </c>
      <c r="E2566" s="70"/>
      <c r="F2566" s="70"/>
      <c r="G2566" s="70" t="str">
        <f>IFERROR(VLOOKUP(A2566,[1]wms_iv_f!$A$1:$E$136,4,FALSE),"")</f>
        <v/>
      </c>
      <c r="H2566" s="95" t="str">
        <f>IFERROR(VLOOKUP(A2566,[2]wms_lc_f!$A$1:$B$156,2,FALSE),"")</f>
        <v/>
      </c>
    </row>
    <row r="2567" spans="1:8" hidden="1">
      <c r="A2567" s="71">
        <v>33699</v>
      </c>
      <c r="B2567" s="69" t="s">
        <v>2613</v>
      </c>
      <c r="C2567" s="70" t="s">
        <v>2270</v>
      </c>
      <c r="D2567" s="70" t="s">
        <v>2614</v>
      </c>
      <c r="E2567" s="70"/>
      <c r="F2567" s="70"/>
      <c r="G2567" s="70" t="str">
        <f>IFERROR(VLOOKUP(A2567,[1]wms_iv_f!$A$1:$E$136,4,FALSE),"")</f>
        <v/>
      </c>
      <c r="H2567" s="95" t="str">
        <f>IFERROR(VLOOKUP(A2567,[2]wms_lc_f!$A$1:$B$156,2,FALSE),"")</f>
        <v/>
      </c>
    </row>
    <row r="2568" spans="1:8" hidden="1">
      <c r="A2568" s="71">
        <v>87602</v>
      </c>
      <c r="B2568" s="69" t="s">
        <v>2613</v>
      </c>
      <c r="C2568" s="70" t="s">
        <v>1962</v>
      </c>
      <c r="D2568" s="70" t="s">
        <v>2614</v>
      </c>
      <c r="E2568" s="70"/>
      <c r="F2568" s="70"/>
      <c r="G2568" s="70" t="str">
        <f>IFERROR(VLOOKUP(A2568,[1]wms_iv_f!$A$1:$E$136,4,FALSE),"")</f>
        <v/>
      </c>
      <c r="H2568" s="95" t="str">
        <f>IFERROR(VLOOKUP(A2568,[2]wms_lc_f!$A$1:$B$156,2,FALSE),"")</f>
        <v/>
      </c>
    </row>
    <row r="2569" spans="1:8" hidden="1">
      <c r="A2569" s="71">
        <v>19649</v>
      </c>
      <c r="B2569" s="69" t="s">
        <v>2613</v>
      </c>
      <c r="C2569" s="70" t="s">
        <v>2047</v>
      </c>
      <c r="D2569" s="70" t="s">
        <v>2614</v>
      </c>
      <c r="E2569" s="70"/>
      <c r="F2569" s="70"/>
      <c r="G2569" s="70" t="str">
        <f>IFERROR(VLOOKUP(A2569,[1]wms_iv_f!$A$1:$E$136,4,FALSE),"")</f>
        <v/>
      </c>
      <c r="H2569" s="95" t="str">
        <f>IFERROR(VLOOKUP(A2569,[2]wms_lc_f!$A$1:$B$156,2,FALSE),"")</f>
        <v/>
      </c>
    </row>
    <row r="2570" spans="1:8" hidden="1">
      <c r="A2570" s="71">
        <f>IFERROR(VLOOKUP(C2570,[3]wms_iv_f!$A$1:$D$135,2,FALSE),"")</f>
        <v>9733</v>
      </c>
      <c r="B2570" s="69" t="s">
        <v>2613</v>
      </c>
      <c r="C2570" s="70" t="s">
        <v>2059</v>
      </c>
      <c r="D2570" s="70" t="s">
        <v>2614</v>
      </c>
      <c r="E2570" s="70"/>
      <c r="F2570" s="70"/>
      <c r="G2570" s="70" t="str">
        <f>IFERROR(VLOOKUP(A2570,[1]wms_iv_f!$A$1:$E$136,4,FALSE),"")</f>
        <v>M28-2-1E04</v>
      </c>
      <c r="H2570" s="95" t="str">
        <f>IFERROR(VLOOKUP(A2570,[2]wms_lc_f!$A$1:$B$156,2,FALSE),"")</f>
        <v/>
      </c>
    </row>
    <row r="2571" spans="1:8" hidden="1">
      <c r="A2571" s="71">
        <v>139896</v>
      </c>
      <c r="B2571" s="69" t="s">
        <v>2613</v>
      </c>
      <c r="C2571" s="70" t="s">
        <v>2071</v>
      </c>
      <c r="D2571" s="70" t="s">
        <v>2614</v>
      </c>
      <c r="E2571" s="70"/>
      <c r="F2571" s="70"/>
      <c r="G2571" s="70" t="str">
        <f>IFERROR(VLOOKUP(A2571,[1]wms_iv_f!$A$1:$E$136,4,FALSE),"")</f>
        <v/>
      </c>
      <c r="H2571" s="95" t="str">
        <f>IFERROR(VLOOKUP(A2571,[2]wms_lc_f!$A$1:$B$156,2,FALSE),"")</f>
        <v/>
      </c>
    </row>
    <row r="2572" spans="1:8" hidden="1">
      <c r="A2572" s="71">
        <f>IFERROR(VLOOKUP(C2572,[3]wms_iv_f!$A$1:$D$135,2,FALSE),"")</f>
        <v>117036</v>
      </c>
      <c r="B2572" s="69" t="s">
        <v>2613</v>
      </c>
      <c r="C2572" s="70" t="s">
        <v>2156</v>
      </c>
      <c r="D2572" s="70" t="s">
        <v>2614</v>
      </c>
      <c r="E2572" s="70"/>
      <c r="F2572" s="70"/>
      <c r="G2572" s="70" t="str">
        <f>IFERROR(VLOOKUP(A2572,[1]wms_iv_f!$A$1:$E$136,4,FALSE),"")</f>
        <v>M28-2-1E06</v>
      </c>
      <c r="H2572" s="95" t="str">
        <f>IFERROR(VLOOKUP(A2572,[2]wms_lc_f!$A$1:$B$156,2,FALSE),"")</f>
        <v/>
      </c>
    </row>
    <row r="2573" spans="1:8" hidden="1">
      <c r="A2573" s="71">
        <f>IFERROR(VLOOKUP(C2573,[3]wms_iv_f!$A$1:$D$135,2,FALSE),"")</f>
        <v>54930</v>
      </c>
      <c r="B2573" s="69" t="s">
        <v>2613</v>
      </c>
      <c r="C2573" s="70" t="s">
        <v>2168</v>
      </c>
      <c r="D2573" s="70" t="s">
        <v>2614</v>
      </c>
      <c r="E2573" s="70"/>
      <c r="F2573" s="70"/>
      <c r="G2573" s="70" t="str">
        <f>IFERROR(VLOOKUP(A2573,[1]wms_iv_f!$A$1:$E$136,4,FALSE),"")</f>
        <v>M28-2-1E07</v>
      </c>
      <c r="H2573" s="95" t="str">
        <f>IFERROR(VLOOKUP(A2573,[2]wms_lc_f!$A$1:$B$156,2,FALSE),"")</f>
        <v/>
      </c>
    </row>
    <row r="2574" spans="1:8" hidden="1">
      <c r="A2574" s="71">
        <f>IFERROR(VLOOKUP(C2574,[3]wms_iv_f!$A$1:$D$135,2,FALSE),"")</f>
        <v>90436</v>
      </c>
      <c r="B2574" s="69" t="s">
        <v>2613</v>
      </c>
      <c r="C2574" s="70" t="s">
        <v>2180</v>
      </c>
      <c r="D2574" s="70" t="s">
        <v>2614</v>
      </c>
      <c r="E2574" s="70"/>
      <c r="F2574" s="70"/>
      <c r="G2574" s="70" t="str">
        <f>IFERROR(VLOOKUP(A2574,[1]wms_iv_f!$A$1:$E$136,4,FALSE),"")</f>
        <v>M28-2-1E08</v>
      </c>
      <c r="H2574" s="95" t="str">
        <f>IFERROR(VLOOKUP(A2574,[2]wms_lc_f!$A$1:$B$156,2,FALSE),"")</f>
        <v/>
      </c>
    </row>
    <row r="2575" spans="1:8" hidden="1">
      <c r="A2575" s="71">
        <f>IFERROR(VLOOKUP(C2575,[3]wms_iv_f!$A$1:$D$135,2,FALSE),"")</f>
        <v>80750</v>
      </c>
      <c r="B2575" s="69" t="s">
        <v>2613</v>
      </c>
      <c r="C2575" s="70" t="s">
        <v>2263</v>
      </c>
      <c r="D2575" s="70" t="s">
        <v>2614</v>
      </c>
      <c r="E2575" s="70"/>
      <c r="F2575" s="70"/>
      <c r="G2575" s="70" t="str">
        <f>IFERROR(VLOOKUP(A2575,[1]wms_iv_f!$A$1:$E$136,4,FALSE),"")</f>
        <v>M28-2-1E09</v>
      </c>
      <c r="H2575" s="95" t="str">
        <f>IFERROR(VLOOKUP(A2575,[2]wms_lc_f!$A$1:$B$156,2,FALSE),"")</f>
        <v/>
      </c>
    </row>
    <row r="2576" spans="1:8" hidden="1">
      <c r="A2576" s="71">
        <v>121260</v>
      </c>
      <c r="B2576" s="69" t="s">
        <v>2613</v>
      </c>
      <c r="C2576" s="70" t="s">
        <v>2271</v>
      </c>
      <c r="D2576" s="70" t="s">
        <v>2614</v>
      </c>
      <c r="E2576" s="70"/>
      <c r="F2576" s="70"/>
      <c r="G2576" s="70" t="str">
        <f>IFERROR(VLOOKUP(A2576,[1]wms_iv_f!$A$1:$E$136,4,FALSE),"")</f>
        <v/>
      </c>
      <c r="H2576" s="95" t="str">
        <f>IFERROR(VLOOKUP(A2576,[2]wms_lc_f!$A$1:$B$156,2,FALSE),"")</f>
        <v/>
      </c>
    </row>
    <row r="2577" spans="1:8" hidden="1">
      <c r="A2577" s="71">
        <v>116628</v>
      </c>
      <c r="B2577" s="69" t="s">
        <v>2613</v>
      </c>
      <c r="C2577" s="70" t="s">
        <v>1973</v>
      </c>
      <c r="D2577" s="70" t="s">
        <v>2610</v>
      </c>
      <c r="E2577" s="72"/>
      <c r="F2577" s="70"/>
      <c r="G2577" s="70" t="str">
        <f>IFERROR(VLOOKUP(A2577,[1]wms_iv_f!$A$1:$E$136,4,FALSE),"")</f>
        <v/>
      </c>
      <c r="H2577" s="95" t="str">
        <f>IFERROR(VLOOKUP(A2577,[2]wms_lc_f!$A$1:$B$156,2,FALSE),"")</f>
        <v/>
      </c>
    </row>
    <row r="2578" spans="1:8" hidden="1">
      <c r="A2578" s="71">
        <v>59417</v>
      </c>
      <c r="B2578" s="69" t="s">
        <v>2613</v>
      </c>
      <c r="C2578" s="70" t="s">
        <v>1979</v>
      </c>
      <c r="D2578" s="70" t="s">
        <v>2610</v>
      </c>
      <c r="E2578" s="72"/>
      <c r="F2578" s="70"/>
      <c r="G2578" s="70" t="str">
        <f>IFERROR(VLOOKUP(A2578,[1]wms_iv_f!$A$1:$E$136,4,FALSE),"")</f>
        <v/>
      </c>
      <c r="H2578" s="95" t="str">
        <f>IFERROR(VLOOKUP(A2578,[2]wms_lc_f!$A$1:$B$156,2,FALSE),"")</f>
        <v/>
      </c>
    </row>
    <row r="2579" spans="1:8" hidden="1">
      <c r="A2579" s="71">
        <v>113471</v>
      </c>
      <c r="B2579" s="69" t="s">
        <v>2613</v>
      </c>
      <c r="C2579" s="70" t="s">
        <v>2090</v>
      </c>
      <c r="D2579" s="70" t="s">
        <v>2610</v>
      </c>
      <c r="E2579" s="72"/>
      <c r="F2579" s="70"/>
      <c r="G2579" s="70" t="str">
        <f>IFERROR(VLOOKUP(A2579,[1]wms_iv_f!$A$1:$E$136,4,FALSE),"")</f>
        <v/>
      </c>
      <c r="H2579" s="95" t="str">
        <f>IFERROR(VLOOKUP(A2579,[2]wms_lc_f!$A$1:$B$156,2,FALSE),"")</f>
        <v/>
      </c>
    </row>
    <row r="2580" spans="1:8" hidden="1">
      <c r="A2580" s="71">
        <v>83629</v>
      </c>
      <c r="B2580" s="69" t="s">
        <v>2613</v>
      </c>
      <c r="C2580" s="70" t="s">
        <v>1991</v>
      </c>
      <c r="D2580" s="70" t="s">
        <v>2610</v>
      </c>
      <c r="E2580" s="72"/>
      <c r="F2580" s="70"/>
      <c r="G2580" s="70" t="str">
        <f>IFERROR(VLOOKUP(A2580,[1]wms_iv_f!$A$1:$E$136,4,FALSE),"")</f>
        <v/>
      </c>
      <c r="H2580" s="95" t="str">
        <f>IFERROR(VLOOKUP(A2580,[2]wms_lc_f!$A$1:$B$156,2,FALSE),"")</f>
        <v/>
      </c>
    </row>
  </sheetData>
  <autoFilter ref="A1:H2580" xr:uid="{355C9875-ED01-45F6-8B03-A12EB6799EF6}">
    <filterColumn colId="4">
      <customFilters>
        <customFilter operator="notEqual" val=" "/>
      </customFilters>
    </filterColumn>
    <sortState xmlns:xlrd2="http://schemas.microsoft.com/office/spreadsheetml/2017/richdata2" ref="A2:H2580">
      <sortCondition descending="1" ref="E1:E2580"/>
    </sortState>
  </autoFilter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0EDE-7819-4B34-BE87-5DE72D7EAB1F}">
  <dimension ref="A1:APO1"/>
  <sheetViews>
    <sheetView workbookViewId="0">
      <selection activeCell="CW31" sqref="CW31:CY39"/>
    </sheetView>
  </sheetViews>
  <sheetFormatPr defaultColWidth="8.85546875" defaultRowHeight="15"/>
  <sheetData>
    <row r="1" spans="1:1107">
      <c r="A1" t="s">
        <v>2640</v>
      </c>
      <c r="B1" t="s">
        <v>2641</v>
      </c>
      <c r="C1" t="s">
        <v>2642</v>
      </c>
      <c r="D1" t="s">
        <v>2643</v>
      </c>
      <c r="E1" t="s">
        <v>2644</v>
      </c>
      <c r="F1" t="s">
        <v>2645</v>
      </c>
      <c r="G1" t="s">
        <v>2646</v>
      </c>
      <c r="H1" t="s">
        <v>2647</v>
      </c>
      <c r="I1" t="s">
        <v>2648</v>
      </c>
      <c r="J1" t="s">
        <v>2649</v>
      </c>
      <c r="K1" t="s">
        <v>2650</v>
      </c>
      <c r="L1" t="s">
        <v>2651</v>
      </c>
      <c r="M1" t="s">
        <v>2652</v>
      </c>
      <c r="N1" t="s">
        <v>2653</v>
      </c>
      <c r="O1" t="s">
        <v>2654</v>
      </c>
      <c r="P1" t="s">
        <v>2655</v>
      </c>
      <c r="Q1" t="s">
        <v>2656</v>
      </c>
      <c r="R1" t="s">
        <v>2657</v>
      </c>
      <c r="S1" t="s">
        <v>2658</v>
      </c>
      <c r="T1" t="s">
        <v>2659</v>
      </c>
      <c r="U1" t="s">
        <v>2660</v>
      </c>
      <c r="V1" t="s">
        <v>2661</v>
      </c>
      <c r="W1" t="s">
        <v>2662</v>
      </c>
      <c r="X1" t="s">
        <v>2663</v>
      </c>
      <c r="Y1" t="s">
        <v>2664</v>
      </c>
      <c r="Z1" t="s">
        <v>2665</v>
      </c>
      <c r="AA1" t="s">
        <v>2666</v>
      </c>
      <c r="AB1" t="s">
        <v>2667</v>
      </c>
      <c r="AC1" t="s">
        <v>2668</v>
      </c>
      <c r="AD1" t="s">
        <v>2669</v>
      </c>
      <c r="AE1" t="s">
        <v>2670</v>
      </c>
      <c r="AF1" t="s">
        <v>2671</v>
      </c>
      <c r="AG1" t="s">
        <v>2672</v>
      </c>
      <c r="AH1" t="s">
        <v>2673</v>
      </c>
      <c r="AI1" t="s">
        <v>2674</v>
      </c>
      <c r="AJ1" t="s">
        <v>2675</v>
      </c>
      <c r="AK1" t="s">
        <v>2676</v>
      </c>
      <c r="AL1" t="s">
        <v>2677</v>
      </c>
      <c r="AM1" t="s">
        <v>2678</v>
      </c>
      <c r="AN1" t="s">
        <v>2679</v>
      </c>
      <c r="AO1" t="s">
        <v>2680</v>
      </c>
      <c r="AP1" t="s">
        <v>2681</v>
      </c>
      <c r="AQ1" t="s">
        <v>2682</v>
      </c>
      <c r="AR1" t="s">
        <v>2683</v>
      </c>
      <c r="AS1" t="s">
        <v>2684</v>
      </c>
      <c r="AT1" t="s">
        <v>2685</v>
      </c>
      <c r="AU1" t="s">
        <v>2686</v>
      </c>
      <c r="AV1" t="s">
        <v>2687</v>
      </c>
      <c r="AW1" t="s">
        <v>2688</v>
      </c>
      <c r="AX1" t="s">
        <v>2689</v>
      </c>
      <c r="AY1" t="s">
        <v>2690</v>
      </c>
      <c r="AZ1" t="s">
        <v>2691</v>
      </c>
      <c r="BA1" t="s">
        <v>2692</v>
      </c>
      <c r="BB1" t="s">
        <v>2693</v>
      </c>
      <c r="BC1" t="s">
        <v>2694</v>
      </c>
      <c r="BD1" t="s">
        <v>2695</v>
      </c>
      <c r="BE1" t="s">
        <v>2696</v>
      </c>
      <c r="BF1" t="s">
        <v>2697</v>
      </c>
      <c r="BG1" t="s">
        <v>2698</v>
      </c>
      <c r="BH1" t="s">
        <v>2699</v>
      </c>
      <c r="BI1" t="s">
        <v>2700</v>
      </c>
      <c r="BJ1" t="s">
        <v>2701</v>
      </c>
      <c r="BK1" t="s">
        <v>2702</v>
      </c>
      <c r="BL1" t="s">
        <v>2703</v>
      </c>
      <c r="BM1" t="s">
        <v>2704</v>
      </c>
      <c r="BN1" t="s">
        <v>2705</v>
      </c>
      <c r="BO1" t="s">
        <v>2706</v>
      </c>
      <c r="BP1" t="s">
        <v>2707</v>
      </c>
      <c r="BQ1" t="s">
        <v>2708</v>
      </c>
      <c r="BR1" t="s">
        <v>2709</v>
      </c>
      <c r="BS1" t="s">
        <v>2710</v>
      </c>
      <c r="BT1" t="s">
        <v>2711</v>
      </c>
      <c r="BU1" t="s">
        <v>2712</v>
      </c>
      <c r="BV1" t="s">
        <v>2713</v>
      </c>
      <c r="BW1" t="s">
        <v>2714</v>
      </c>
      <c r="BX1" t="s">
        <v>2715</v>
      </c>
      <c r="BY1" t="s">
        <v>2716</v>
      </c>
      <c r="BZ1" t="s">
        <v>2717</v>
      </c>
      <c r="CA1" t="s">
        <v>2718</v>
      </c>
      <c r="CB1" t="s">
        <v>2719</v>
      </c>
      <c r="CC1" t="s">
        <v>2720</v>
      </c>
      <c r="CD1" t="s">
        <v>2721</v>
      </c>
      <c r="CE1" t="s">
        <v>2722</v>
      </c>
      <c r="CF1" t="s">
        <v>2723</v>
      </c>
      <c r="CG1" t="s">
        <v>2724</v>
      </c>
      <c r="CH1" t="s">
        <v>2725</v>
      </c>
      <c r="CI1" t="s">
        <v>2726</v>
      </c>
      <c r="CJ1" t="s">
        <v>2727</v>
      </c>
      <c r="CK1" t="s">
        <v>2728</v>
      </c>
      <c r="CL1" t="s">
        <v>2729</v>
      </c>
      <c r="CM1" t="s">
        <v>2730</v>
      </c>
      <c r="CN1" t="s">
        <v>2731</v>
      </c>
      <c r="CO1" t="s">
        <v>2732</v>
      </c>
      <c r="CP1" t="s">
        <v>2733</v>
      </c>
      <c r="CQ1" t="s">
        <v>2734</v>
      </c>
      <c r="CR1" t="s">
        <v>2735</v>
      </c>
      <c r="CS1" t="s">
        <v>2736</v>
      </c>
      <c r="CT1" t="s">
        <v>2737</v>
      </c>
      <c r="CU1" t="s">
        <v>2738</v>
      </c>
      <c r="CV1" t="s">
        <v>2739</v>
      </c>
      <c r="CW1" t="s">
        <v>2740</v>
      </c>
      <c r="CX1" t="s">
        <v>2741</v>
      </c>
      <c r="CY1" t="s">
        <v>2742</v>
      </c>
      <c r="CZ1" t="s">
        <v>2743</v>
      </c>
      <c r="DA1" t="s">
        <v>2744</v>
      </c>
      <c r="DB1" t="s">
        <v>2745</v>
      </c>
      <c r="DC1" t="s">
        <v>2746</v>
      </c>
      <c r="DD1" t="s">
        <v>2747</v>
      </c>
      <c r="DE1" t="s">
        <v>2748</v>
      </c>
      <c r="DF1" t="s">
        <v>2749</v>
      </c>
      <c r="DG1" t="s">
        <v>2750</v>
      </c>
      <c r="DH1" t="s">
        <v>2751</v>
      </c>
      <c r="DI1" t="s">
        <v>2752</v>
      </c>
      <c r="DJ1" t="s">
        <v>2753</v>
      </c>
      <c r="DK1" t="s">
        <v>2754</v>
      </c>
      <c r="DL1" t="s">
        <v>2755</v>
      </c>
      <c r="DM1" t="s">
        <v>2756</v>
      </c>
      <c r="DN1" t="s">
        <v>2757</v>
      </c>
      <c r="DO1" t="s">
        <v>2758</v>
      </c>
      <c r="DP1" t="s">
        <v>2759</v>
      </c>
      <c r="DQ1" t="s">
        <v>2760</v>
      </c>
      <c r="DR1" t="s">
        <v>2761</v>
      </c>
      <c r="DS1" t="s">
        <v>2762</v>
      </c>
      <c r="DT1" t="s">
        <v>2763</v>
      </c>
      <c r="DU1" t="s">
        <v>2764</v>
      </c>
      <c r="DV1" t="s">
        <v>2765</v>
      </c>
      <c r="DW1" t="s">
        <v>2766</v>
      </c>
      <c r="DX1" t="s">
        <v>2767</v>
      </c>
      <c r="DY1" t="s">
        <v>2768</v>
      </c>
      <c r="DZ1" t="s">
        <v>2769</v>
      </c>
      <c r="EA1" t="s">
        <v>2770</v>
      </c>
      <c r="EB1" t="s">
        <v>2771</v>
      </c>
      <c r="EC1" t="s">
        <v>2772</v>
      </c>
      <c r="ED1" t="s">
        <v>2773</v>
      </c>
      <c r="EE1" t="s">
        <v>2774</v>
      </c>
      <c r="EF1" t="s">
        <v>2775</v>
      </c>
      <c r="EG1" t="s">
        <v>2776</v>
      </c>
      <c r="EH1" t="s">
        <v>2777</v>
      </c>
      <c r="EI1" t="s">
        <v>2778</v>
      </c>
      <c r="EJ1" t="s">
        <v>2779</v>
      </c>
      <c r="EK1" t="s">
        <v>2780</v>
      </c>
      <c r="EL1" t="s">
        <v>2781</v>
      </c>
      <c r="EM1" t="s">
        <v>2782</v>
      </c>
      <c r="EN1" t="s">
        <v>2783</v>
      </c>
      <c r="EO1" t="s">
        <v>2784</v>
      </c>
      <c r="EP1" t="s">
        <v>2785</v>
      </c>
      <c r="EQ1" t="s">
        <v>2786</v>
      </c>
      <c r="ER1" t="s">
        <v>2787</v>
      </c>
      <c r="ES1" t="s">
        <v>2788</v>
      </c>
      <c r="ET1" t="s">
        <v>2789</v>
      </c>
      <c r="EU1" t="s">
        <v>2790</v>
      </c>
      <c r="EV1" t="s">
        <v>2791</v>
      </c>
      <c r="EW1" t="s">
        <v>2792</v>
      </c>
      <c r="EX1" t="s">
        <v>2793</v>
      </c>
      <c r="EY1" t="s">
        <v>2794</v>
      </c>
      <c r="EZ1" t="s">
        <v>2795</v>
      </c>
      <c r="FA1" t="s">
        <v>2796</v>
      </c>
      <c r="FB1" t="s">
        <v>2797</v>
      </c>
      <c r="FC1" t="s">
        <v>2798</v>
      </c>
      <c r="FD1" t="s">
        <v>2799</v>
      </c>
      <c r="FE1" t="s">
        <v>2800</v>
      </c>
      <c r="FF1" t="s">
        <v>2801</v>
      </c>
      <c r="FG1" t="s">
        <v>2802</v>
      </c>
      <c r="FH1" t="s">
        <v>2803</v>
      </c>
      <c r="FI1" t="s">
        <v>2804</v>
      </c>
      <c r="FJ1" t="s">
        <v>2805</v>
      </c>
      <c r="FK1" t="s">
        <v>2806</v>
      </c>
      <c r="FL1" t="s">
        <v>2807</v>
      </c>
      <c r="FM1" t="s">
        <v>2808</v>
      </c>
      <c r="FN1" t="s">
        <v>2809</v>
      </c>
      <c r="FO1" t="s">
        <v>2810</v>
      </c>
      <c r="FP1" t="s">
        <v>2811</v>
      </c>
      <c r="FQ1" t="s">
        <v>2812</v>
      </c>
      <c r="FR1" t="s">
        <v>2813</v>
      </c>
      <c r="FS1" t="s">
        <v>2814</v>
      </c>
      <c r="FT1" t="s">
        <v>2815</v>
      </c>
      <c r="FU1" t="s">
        <v>2816</v>
      </c>
      <c r="FV1" t="s">
        <v>2817</v>
      </c>
      <c r="FW1" t="s">
        <v>2818</v>
      </c>
      <c r="FX1" t="s">
        <v>2819</v>
      </c>
      <c r="FY1" t="s">
        <v>2820</v>
      </c>
      <c r="FZ1" t="s">
        <v>2821</v>
      </c>
      <c r="GA1" t="s">
        <v>2822</v>
      </c>
      <c r="GB1" t="s">
        <v>2823</v>
      </c>
      <c r="GC1" t="s">
        <v>2824</v>
      </c>
      <c r="GD1" t="s">
        <v>2825</v>
      </c>
      <c r="GE1" t="s">
        <v>2826</v>
      </c>
      <c r="GF1" t="s">
        <v>2827</v>
      </c>
      <c r="GG1" t="s">
        <v>2828</v>
      </c>
      <c r="GH1" t="s">
        <v>2829</v>
      </c>
      <c r="GI1" t="s">
        <v>2830</v>
      </c>
      <c r="GJ1" t="s">
        <v>2831</v>
      </c>
      <c r="GK1" t="s">
        <v>2832</v>
      </c>
      <c r="GL1" t="s">
        <v>2833</v>
      </c>
      <c r="GM1" t="s">
        <v>2834</v>
      </c>
      <c r="GN1" t="s">
        <v>2835</v>
      </c>
      <c r="GO1" t="s">
        <v>2836</v>
      </c>
      <c r="GP1" t="s">
        <v>2837</v>
      </c>
      <c r="GQ1" t="s">
        <v>2838</v>
      </c>
      <c r="GR1" t="s">
        <v>2839</v>
      </c>
      <c r="GS1" t="s">
        <v>2840</v>
      </c>
      <c r="GT1" t="s">
        <v>2841</v>
      </c>
      <c r="GU1" t="s">
        <v>2842</v>
      </c>
      <c r="GV1" t="s">
        <v>2843</v>
      </c>
      <c r="GW1" t="s">
        <v>2844</v>
      </c>
      <c r="GX1" t="s">
        <v>2845</v>
      </c>
      <c r="GY1" t="s">
        <v>2846</v>
      </c>
      <c r="GZ1" t="s">
        <v>2847</v>
      </c>
      <c r="HA1" t="s">
        <v>2848</v>
      </c>
      <c r="HB1" t="s">
        <v>2849</v>
      </c>
      <c r="HC1" t="s">
        <v>2850</v>
      </c>
      <c r="HD1" t="s">
        <v>2851</v>
      </c>
      <c r="HE1" t="s">
        <v>2852</v>
      </c>
      <c r="HF1" t="s">
        <v>2853</v>
      </c>
      <c r="HG1" t="s">
        <v>2854</v>
      </c>
      <c r="HH1" t="s">
        <v>2855</v>
      </c>
      <c r="HI1" t="s">
        <v>2856</v>
      </c>
      <c r="HJ1" t="s">
        <v>2857</v>
      </c>
      <c r="HK1" t="s">
        <v>2858</v>
      </c>
      <c r="HL1" t="s">
        <v>2859</v>
      </c>
      <c r="HM1" t="s">
        <v>2860</v>
      </c>
      <c r="HN1" t="s">
        <v>2861</v>
      </c>
      <c r="HO1" t="s">
        <v>2862</v>
      </c>
      <c r="HP1" t="s">
        <v>2863</v>
      </c>
      <c r="HQ1" t="s">
        <v>2864</v>
      </c>
      <c r="HR1" t="s">
        <v>2865</v>
      </c>
      <c r="HS1" t="s">
        <v>2866</v>
      </c>
      <c r="HT1" t="s">
        <v>2867</v>
      </c>
      <c r="HU1" t="s">
        <v>2868</v>
      </c>
      <c r="HV1" t="s">
        <v>2869</v>
      </c>
      <c r="HW1" t="s">
        <v>2870</v>
      </c>
      <c r="HX1" t="s">
        <v>2871</v>
      </c>
      <c r="HY1" t="s">
        <v>2872</v>
      </c>
      <c r="HZ1" t="s">
        <v>2873</v>
      </c>
      <c r="IA1" t="s">
        <v>2874</v>
      </c>
      <c r="IB1" t="s">
        <v>2875</v>
      </c>
      <c r="IC1" t="s">
        <v>2876</v>
      </c>
      <c r="ID1" t="s">
        <v>2877</v>
      </c>
      <c r="IE1" t="s">
        <v>2878</v>
      </c>
      <c r="IF1" t="s">
        <v>2879</v>
      </c>
      <c r="IG1" t="s">
        <v>2880</v>
      </c>
      <c r="IH1" t="s">
        <v>2881</v>
      </c>
      <c r="II1" t="s">
        <v>2882</v>
      </c>
      <c r="IJ1" t="s">
        <v>2883</v>
      </c>
      <c r="IK1" t="s">
        <v>2884</v>
      </c>
      <c r="IL1" t="s">
        <v>2885</v>
      </c>
      <c r="IM1" t="s">
        <v>2886</v>
      </c>
      <c r="IN1" t="s">
        <v>2887</v>
      </c>
      <c r="IO1" t="s">
        <v>2888</v>
      </c>
      <c r="IP1" t="s">
        <v>2889</v>
      </c>
      <c r="IQ1" t="s">
        <v>2890</v>
      </c>
      <c r="IR1" t="s">
        <v>2891</v>
      </c>
      <c r="IS1" t="s">
        <v>2892</v>
      </c>
      <c r="IT1" t="s">
        <v>2893</v>
      </c>
      <c r="IU1" t="s">
        <v>2894</v>
      </c>
      <c r="IV1" t="s">
        <v>2895</v>
      </c>
      <c r="IW1" t="s">
        <v>2896</v>
      </c>
      <c r="IX1" t="s">
        <v>2897</v>
      </c>
      <c r="IY1" t="s">
        <v>2898</v>
      </c>
      <c r="IZ1" t="s">
        <v>2899</v>
      </c>
      <c r="JA1" t="s">
        <v>2900</v>
      </c>
      <c r="JB1" t="s">
        <v>2901</v>
      </c>
      <c r="JC1" t="s">
        <v>2902</v>
      </c>
      <c r="JD1" t="s">
        <v>2903</v>
      </c>
      <c r="JE1" t="s">
        <v>2904</v>
      </c>
      <c r="JF1" t="s">
        <v>2905</v>
      </c>
      <c r="JG1" t="s">
        <v>2906</v>
      </c>
      <c r="JH1" t="s">
        <v>2907</v>
      </c>
      <c r="JI1" t="s">
        <v>2908</v>
      </c>
      <c r="JJ1" t="s">
        <v>2909</v>
      </c>
      <c r="JK1" t="s">
        <v>2910</v>
      </c>
      <c r="JL1" t="s">
        <v>2911</v>
      </c>
      <c r="JM1" t="s">
        <v>2912</v>
      </c>
      <c r="JN1" t="s">
        <v>2913</v>
      </c>
      <c r="JO1" t="s">
        <v>2914</v>
      </c>
      <c r="JP1" t="s">
        <v>2915</v>
      </c>
      <c r="JQ1" t="s">
        <v>2916</v>
      </c>
      <c r="JR1" t="s">
        <v>2917</v>
      </c>
      <c r="JS1" t="s">
        <v>2918</v>
      </c>
      <c r="JT1" t="s">
        <v>2919</v>
      </c>
      <c r="JU1" t="s">
        <v>2920</v>
      </c>
      <c r="JV1" t="s">
        <v>2921</v>
      </c>
      <c r="JW1" t="s">
        <v>2922</v>
      </c>
      <c r="JX1" t="s">
        <v>2923</v>
      </c>
      <c r="JY1" t="s">
        <v>2924</v>
      </c>
      <c r="JZ1" t="s">
        <v>2925</v>
      </c>
      <c r="KA1" t="s">
        <v>2926</v>
      </c>
      <c r="KB1" t="s">
        <v>2927</v>
      </c>
      <c r="KC1" t="s">
        <v>2928</v>
      </c>
      <c r="KD1" t="s">
        <v>2929</v>
      </c>
      <c r="KE1" t="s">
        <v>2930</v>
      </c>
      <c r="KF1" t="s">
        <v>2931</v>
      </c>
      <c r="KG1" t="s">
        <v>2932</v>
      </c>
      <c r="KH1" t="s">
        <v>2933</v>
      </c>
      <c r="KI1" t="s">
        <v>2934</v>
      </c>
      <c r="KJ1" t="s">
        <v>2935</v>
      </c>
      <c r="KK1" t="s">
        <v>2936</v>
      </c>
      <c r="KL1" t="s">
        <v>2937</v>
      </c>
      <c r="KM1" t="s">
        <v>2938</v>
      </c>
      <c r="KN1" t="s">
        <v>2939</v>
      </c>
      <c r="KO1" t="s">
        <v>2940</v>
      </c>
      <c r="KP1" t="s">
        <v>2941</v>
      </c>
      <c r="KQ1" t="s">
        <v>2942</v>
      </c>
      <c r="KR1" t="s">
        <v>2943</v>
      </c>
      <c r="KS1" t="s">
        <v>2944</v>
      </c>
      <c r="KT1" t="s">
        <v>2945</v>
      </c>
      <c r="KU1" t="s">
        <v>2946</v>
      </c>
      <c r="KV1" t="s">
        <v>2947</v>
      </c>
      <c r="KW1" t="s">
        <v>2948</v>
      </c>
      <c r="KX1" t="s">
        <v>2949</v>
      </c>
      <c r="KY1" t="s">
        <v>2950</v>
      </c>
      <c r="KZ1" t="s">
        <v>2951</v>
      </c>
      <c r="LA1" t="s">
        <v>2952</v>
      </c>
      <c r="LB1" t="s">
        <v>2953</v>
      </c>
      <c r="LC1" t="s">
        <v>2916</v>
      </c>
      <c r="LD1" t="s">
        <v>2954</v>
      </c>
      <c r="LE1" t="s">
        <v>2955</v>
      </c>
      <c r="LF1" t="s">
        <v>2956</v>
      </c>
      <c r="LG1" t="s">
        <v>2957</v>
      </c>
      <c r="LH1" t="s">
        <v>2958</v>
      </c>
      <c r="LI1" t="s">
        <v>2959</v>
      </c>
      <c r="LJ1" t="s">
        <v>2960</v>
      </c>
      <c r="LK1" t="s">
        <v>2961</v>
      </c>
      <c r="LL1" t="s">
        <v>2962</v>
      </c>
      <c r="LM1" t="s">
        <v>2963</v>
      </c>
      <c r="LN1" t="s">
        <v>2964</v>
      </c>
      <c r="LO1" t="s">
        <v>2965</v>
      </c>
      <c r="LP1" t="s">
        <v>2966</v>
      </c>
      <c r="LQ1" t="s">
        <v>2967</v>
      </c>
      <c r="LR1" t="s">
        <v>2968</v>
      </c>
      <c r="LS1" t="s">
        <v>2969</v>
      </c>
      <c r="LT1" t="s">
        <v>2970</v>
      </c>
      <c r="LU1" t="s">
        <v>2971</v>
      </c>
      <c r="LV1" t="s">
        <v>2972</v>
      </c>
      <c r="LW1" t="s">
        <v>2973</v>
      </c>
      <c r="LX1" t="s">
        <v>2974</v>
      </c>
      <c r="LY1" t="s">
        <v>2975</v>
      </c>
      <c r="LZ1" t="s">
        <v>2976</v>
      </c>
      <c r="MA1" t="s">
        <v>2977</v>
      </c>
      <c r="MB1" t="s">
        <v>2978</v>
      </c>
      <c r="MC1" t="s">
        <v>2979</v>
      </c>
      <c r="MD1" t="s">
        <v>2980</v>
      </c>
      <c r="ME1" t="s">
        <v>2981</v>
      </c>
      <c r="MF1" t="s">
        <v>2982</v>
      </c>
      <c r="MG1" t="s">
        <v>2983</v>
      </c>
      <c r="MH1" t="s">
        <v>2984</v>
      </c>
      <c r="MI1" t="s">
        <v>2985</v>
      </c>
      <c r="MJ1" t="s">
        <v>2986</v>
      </c>
      <c r="MK1" t="s">
        <v>2987</v>
      </c>
      <c r="ML1" t="s">
        <v>2988</v>
      </c>
      <c r="MM1" t="s">
        <v>2989</v>
      </c>
      <c r="MN1" t="s">
        <v>2990</v>
      </c>
      <c r="MO1" t="s">
        <v>2991</v>
      </c>
      <c r="MP1" t="s">
        <v>2992</v>
      </c>
      <c r="MQ1" t="s">
        <v>2993</v>
      </c>
      <c r="MR1" t="s">
        <v>2994</v>
      </c>
      <c r="MS1" t="s">
        <v>2995</v>
      </c>
      <c r="MT1" t="s">
        <v>2996</v>
      </c>
      <c r="MU1" t="s">
        <v>2997</v>
      </c>
      <c r="MV1" t="s">
        <v>2998</v>
      </c>
      <c r="MW1" t="s">
        <v>2999</v>
      </c>
      <c r="MX1" t="s">
        <v>3000</v>
      </c>
      <c r="MY1" t="s">
        <v>3001</v>
      </c>
      <c r="MZ1" t="s">
        <v>3002</v>
      </c>
      <c r="NA1" t="s">
        <v>3003</v>
      </c>
      <c r="NB1" t="s">
        <v>3004</v>
      </c>
      <c r="NC1" t="s">
        <v>2817</v>
      </c>
      <c r="ND1" t="s">
        <v>3005</v>
      </c>
      <c r="NE1" t="s">
        <v>3006</v>
      </c>
      <c r="NF1" t="s">
        <v>3007</v>
      </c>
      <c r="NG1" t="s">
        <v>3008</v>
      </c>
      <c r="NH1" t="s">
        <v>3009</v>
      </c>
      <c r="NI1" t="s">
        <v>3010</v>
      </c>
      <c r="NJ1" t="s">
        <v>3011</v>
      </c>
      <c r="NK1" t="s">
        <v>3012</v>
      </c>
      <c r="NL1" t="s">
        <v>3013</v>
      </c>
      <c r="NM1" t="s">
        <v>3014</v>
      </c>
      <c r="NN1" t="s">
        <v>3015</v>
      </c>
      <c r="NO1" t="s">
        <v>3016</v>
      </c>
      <c r="NP1" t="s">
        <v>3017</v>
      </c>
      <c r="NQ1" t="s">
        <v>3018</v>
      </c>
      <c r="NR1" t="s">
        <v>3019</v>
      </c>
      <c r="NS1" t="s">
        <v>3020</v>
      </c>
      <c r="NT1" t="s">
        <v>3021</v>
      </c>
      <c r="NU1" t="s">
        <v>3022</v>
      </c>
      <c r="NV1" t="s">
        <v>3023</v>
      </c>
      <c r="NW1" t="s">
        <v>3024</v>
      </c>
      <c r="NX1" t="s">
        <v>3025</v>
      </c>
      <c r="NY1" t="s">
        <v>3026</v>
      </c>
      <c r="NZ1" t="s">
        <v>3027</v>
      </c>
      <c r="OA1" t="s">
        <v>3028</v>
      </c>
      <c r="OB1" t="s">
        <v>3029</v>
      </c>
      <c r="OC1" t="s">
        <v>3030</v>
      </c>
      <c r="OD1" t="s">
        <v>3031</v>
      </c>
      <c r="OE1" t="s">
        <v>3032</v>
      </c>
      <c r="OF1" t="s">
        <v>3033</v>
      </c>
      <c r="OG1" t="s">
        <v>3034</v>
      </c>
      <c r="OH1" t="s">
        <v>3035</v>
      </c>
      <c r="OI1" t="s">
        <v>3036</v>
      </c>
      <c r="OJ1" t="s">
        <v>3037</v>
      </c>
      <c r="OK1" t="s">
        <v>3038</v>
      </c>
      <c r="OL1" t="s">
        <v>3039</v>
      </c>
      <c r="OM1" t="s">
        <v>3040</v>
      </c>
      <c r="ON1" t="s">
        <v>3041</v>
      </c>
      <c r="OO1" t="s">
        <v>3042</v>
      </c>
      <c r="OP1" t="s">
        <v>3043</v>
      </c>
      <c r="OQ1" t="s">
        <v>3044</v>
      </c>
      <c r="OR1" t="s">
        <v>3045</v>
      </c>
      <c r="OS1" t="s">
        <v>3046</v>
      </c>
      <c r="OT1" t="s">
        <v>3047</v>
      </c>
      <c r="OU1" t="s">
        <v>3048</v>
      </c>
      <c r="OV1" t="s">
        <v>3049</v>
      </c>
      <c r="OW1" t="s">
        <v>3050</v>
      </c>
      <c r="OX1" t="s">
        <v>3051</v>
      </c>
      <c r="OY1" t="s">
        <v>3052</v>
      </c>
      <c r="OZ1" t="s">
        <v>3053</v>
      </c>
      <c r="PA1" t="s">
        <v>3054</v>
      </c>
      <c r="PB1" t="s">
        <v>3055</v>
      </c>
      <c r="PC1" t="s">
        <v>3056</v>
      </c>
      <c r="PD1" t="s">
        <v>3057</v>
      </c>
      <c r="PE1" t="s">
        <v>3058</v>
      </c>
      <c r="PF1" t="s">
        <v>3059</v>
      </c>
      <c r="PG1" t="s">
        <v>3060</v>
      </c>
      <c r="PH1" t="s">
        <v>3061</v>
      </c>
      <c r="PI1" t="s">
        <v>3062</v>
      </c>
      <c r="PJ1" t="s">
        <v>3063</v>
      </c>
      <c r="PK1" t="s">
        <v>3064</v>
      </c>
      <c r="PL1" t="s">
        <v>3065</v>
      </c>
      <c r="PM1" t="s">
        <v>3066</v>
      </c>
      <c r="PN1" t="s">
        <v>3067</v>
      </c>
      <c r="PO1" t="s">
        <v>3068</v>
      </c>
      <c r="PP1" t="s">
        <v>3069</v>
      </c>
      <c r="PQ1" t="s">
        <v>3070</v>
      </c>
      <c r="PR1" t="s">
        <v>3071</v>
      </c>
      <c r="PS1" t="s">
        <v>3072</v>
      </c>
      <c r="PT1" t="s">
        <v>3073</v>
      </c>
      <c r="PU1" t="s">
        <v>3074</v>
      </c>
      <c r="PV1" t="s">
        <v>3075</v>
      </c>
      <c r="PW1" t="s">
        <v>3076</v>
      </c>
      <c r="PX1" t="s">
        <v>3077</v>
      </c>
      <c r="PY1" t="s">
        <v>3078</v>
      </c>
      <c r="PZ1" t="s">
        <v>3079</v>
      </c>
      <c r="QA1" t="s">
        <v>3080</v>
      </c>
      <c r="QB1" t="s">
        <v>3081</v>
      </c>
      <c r="QC1" t="s">
        <v>3082</v>
      </c>
      <c r="QD1" t="s">
        <v>3083</v>
      </c>
      <c r="QE1" t="s">
        <v>3084</v>
      </c>
      <c r="QF1" t="s">
        <v>3085</v>
      </c>
      <c r="QG1" t="s">
        <v>3086</v>
      </c>
      <c r="QH1" t="s">
        <v>3087</v>
      </c>
      <c r="QI1" t="s">
        <v>3088</v>
      </c>
      <c r="QJ1" t="s">
        <v>3089</v>
      </c>
      <c r="QK1" t="s">
        <v>3090</v>
      </c>
      <c r="QL1" t="s">
        <v>3091</v>
      </c>
      <c r="QM1" t="s">
        <v>3092</v>
      </c>
      <c r="QN1" t="s">
        <v>3093</v>
      </c>
      <c r="QO1" t="s">
        <v>3094</v>
      </c>
      <c r="QP1" t="s">
        <v>3095</v>
      </c>
      <c r="QQ1" t="s">
        <v>3096</v>
      </c>
      <c r="QR1" t="s">
        <v>3097</v>
      </c>
      <c r="QS1" t="s">
        <v>3098</v>
      </c>
      <c r="QT1" t="s">
        <v>3099</v>
      </c>
      <c r="QU1" t="s">
        <v>3100</v>
      </c>
      <c r="QV1" t="s">
        <v>3101</v>
      </c>
      <c r="QW1" t="s">
        <v>3102</v>
      </c>
      <c r="QX1" t="s">
        <v>3103</v>
      </c>
      <c r="QY1" t="s">
        <v>3104</v>
      </c>
      <c r="QZ1" t="s">
        <v>3105</v>
      </c>
      <c r="RA1" t="s">
        <v>3106</v>
      </c>
      <c r="RB1" t="s">
        <v>3107</v>
      </c>
      <c r="RC1" t="s">
        <v>3108</v>
      </c>
      <c r="RD1" t="s">
        <v>3109</v>
      </c>
      <c r="RE1" t="s">
        <v>3110</v>
      </c>
      <c r="RF1" t="s">
        <v>3111</v>
      </c>
      <c r="RG1" t="s">
        <v>2776</v>
      </c>
      <c r="RH1" t="s">
        <v>2777</v>
      </c>
      <c r="RI1" t="s">
        <v>2778</v>
      </c>
      <c r="RJ1" t="s">
        <v>2779</v>
      </c>
      <c r="RK1" t="s">
        <v>2780</v>
      </c>
      <c r="RL1" t="s">
        <v>2781</v>
      </c>
      <c r="RM1" t="s">
        <v>2782</v>
      </c>
      <c r="RN1" t="s">
        <v>2783</v>
      </c>
      <c r="RO1" t="s">
        <v>2784</v>
      </c>
      <c r="RP1" t="s">
        <v>2785</v>
      </c>
      <c r="RQ1" t="s">
        <v>3112</v>
      </c>
      <c r="RR1" t="s">
        <v>3113</v>
      </c>
      <c r="RS1" t="s">
        <v>2786</v>
      </c>
      <c r="RT1" t="s">
        <v>2787</v>
      </c>
      <c r="RU1" t="s">
        <v>2788</v>
      </c>
      <c r="RV1" t="s">
        <v>2789</v>
      </c>
      <c r="RW1" t="s">
        <v>2790</v>
      </c>
      <c r="RX1" t="s">
        <v>2791</v>
      </c>
      <c r="RY1" t="s">
        <v>3114</v>
      </c>
      <c r="RZ1" t="s">
        <v>3115</v>
      </c>
      <c r="SA1" t="s">
        <v>3116</v>
      </c>
      <c r="SB1" t="s">
        <v>3117</v>
      </c>
      <c r="SC1" t="s">
        <v>2792</v>
      </c>
      <c r="SD1" t="s">
        <v>2793</v>
      </c>
      <c r="SE1" t="s">
        <v>2794</v>
      </c>
      <c r="SF1" t="s">
        <v>2795</v>
      </c>
      <c r="SG1" t="s">
        <v>2796</v>
      </c>
      <c r="SH1" t="s">
        <v>3118</v>
      </c>
      <c r="SI1" t="s">
        <v>3119</v>
      </c>
      <c r="SJ1" t="s">
        <v>3120</v>
      </c>
      <c r="SK1" t="s">
        <v>2797</v>
      </c>
      <c r="SL1" t="s">
        <v>2798</v>
      </c>
      <c r="SM1" t="s">
        <v>2799</v>
      </c>
      <c r="SN1" t="s">
        <v>2800</v>
      </c>
      <c r="SO1" t="s">
        <v>2801</v>
      </c>
      <c r="SP1" t="s">
        <v>2802</v>
      </c>
      <c r="SQ1" t="s">
        <v>2803</v>
      </c>
      <c r="SR1" t="s">
        <v>2804</v>
      </c>
      <c r="SS1" t="s">
        <v>2805</v>
      </c>
      <c r="ST1" t="s">
        <v>3121</v>
      </c>
      <c r="SU1" t="s">
        <v>2806</v>
      </c>
      <c r="SV1" t="s">
        <v>2807</v>
      </c>
      <c r="SW1" t="s">
        <v>2808</v>
      </c>
      <c r="SX1" t="s">
        <v>2809</v>
      </c>
      <c r="SY1" t="s">
        <v>2810</v>
      </c>
      <c r="SZ1" t="s">
        <v>2811</v>
      </c>
      <c r="TA1" t="s">
        <v>2812</v>
      </c>
      <c r="TB1" t="s">
        <v>2813</v>
      </c>
      <c r="TC1" t="s">
        <v>2814</v>
      </c>
      <c r="TD1" t="s">
        <v>2815</v>
      </c>
      <c r="TE1" t="s">
        <v>3122</v>
      </c>
      <c r="TF1" t="s">
        <v>3123</v>
      </c>
      <c r="TG1" t="s">
        <v>3124</v>
      </c>
      <c r="TH1" t="s">
        <v>3125</v>
      </c>
      <c r="TI1" t="s">
        <v>3126</v>
      </c>
      <c r="TJ1" t="s">
        <v>3126</v>
      </c>
      <c r="TK1" t="s">
        <v>3127</v>
      </c>
      <c r="TL1" t="s">
        <v>3128</v>
      </c>
      <c r="TM1" t="s">
        <v>3128</v>
      </c>
      <c r="TN1" t="s">
        <v>3129</v>
      </c>
      <c r="TO1" t="s">
        <v>3130</v>
      </c>
      <c r="TP1" t="s">
        <v>3131</v>
      </c>
      <c r="TQ1" t="s">
        <v>3132</v>
      </c>
      <c r="TR1" t="s">
        <v>3133</v>
      </c>
      <c r="TS1" t="s">
        <v>3134</v>
      </c>
      <c r="TT1" t="s">
        <v>3135</v>
      </c>
      <c r="TU1" t="s">
        <v>3135</v>
      </c>
      <c r="TV1" t="s">
        <v>3136</v>
      </c>
      <c r="TW1" t="s">
        <v>3137</v>
      </c>
      <c r="TX1" t="s">
        <v>3138</v>
      </c>
      <c r="TY1" t="s">
        <v>3139</v>
      </c>
      <c r="TZ1" t="s">
        <v>3140</v>
      </c>
      <c r="UA1" t="s">
        <v>3140</v>
      </c>
      <c r="UB1" t="s">
        <v>3140</v>
      </c>
      <c r="UC1" t="s">
        <v>3141</v>
      </c>
      <c r="UD1" t="s">
        <v>3142</v>
      </c>
      <c r="UE1" t="s">
        <v>3142</v>
      </c>
      <c r="UF1" t="s">
        <v>3143</v>
      </c>
      <c r="UG1" t="s">
        <v>3143</v>
      </c>
      <c r="UH1" t="s">
        <v>3143</v>
      </c>
      <c r="UI1" t="s">
        <v>3144</v>
      </c>
      <c r="UJ1" t="s">
        <v>3144</v>
      </c>
      <c r="UK1" t="s">
        <v>3144</v>
      </c>
      <c r="UL1" t="s">
        <v>3145</v>
      </c>
      <c r="UM1" t="s">
        <v>3146</v>
      </c>
      <c r="UN1" t="s">
        <v>3147</v>
      </c>
      <c r="UO1" t="s">
        <v>3148</v>
      </c>
      <c r="UP1" t="s">
        <v>3148</v>
      </c>
      <c r="UQ1" t="s">
        <v>3148</v>
      </c>
      <c r="UR1" t="s">
        <v>3149</v>
      </c>
      <c r="US1" t="s">
        <v>3149</v>
      </c>
      <c r="UT1" t="s">
        <v>3150</v>
      </c>
      <c r="UU1" t="s">
        <v>3151</v>
      </c>
      <c r="UV1" t="s">
        <v>3152</v>
      </c>
      <c r="UW1" t="s">
        <v>3153</v>
      </c>
      <c r="UX1" t="s">
        <v>3153</v>
      </c>
      <c r="UY1" t="s">
        <v>3154</v>
      </c>
      <c r="UZ1" t="s">
        <v>3155</v>
      </c>
      <c r="VA1" t="s">
        <v>3156</v>
      </c>
      <c r="VB1" t="s">
        <v>3157</v>
      </c>
      <c r="VC1" t="s">
        <v>3158</v>
      </c>
      <c r="VD1" t="s">
        <v>3159</v>
      </c>
      <c r="VE1" t="s">
        <v>3160</v>
      </c>
      <c r="VF1" t="s">
        <v>3161</v>
      </c>
      <c r="VG1" t="s">
        <v>3161</v>
      </c>
      <c r="VH1" t="s">
        <v>3161</v>
      </c>
      <c r="VI1" t="s">
        <v>3162</v>
      </c>
      <c r="VJ1" t="s">
        <v>3163</v>
      </c>
      <c r="VK1" t="s">
        <v>3164</v>
      </c>
      <c r="VL1" t="s">
        <v>3165</v>
      </c>
      <c r="VM1" t="s">
        <v>3166</v>
      </c>
      <c r="VN1" t="s">
        <v>3167</v>
      </c>
      <c r="VO1" t="s">
        <v>3168</v>
      </c>
      <c r="VP1" t="s">
        <v>3169</v>
      </c>
      <c r="VQ1" t="s">
        <v>3170</v>
      </c>
      <c r="VR1" t="s">
        <v>3171</v>
      </c>
      <c r="VS1" t="s">
        <v>3172</v>
      </c>
      <c r="VT1" t="s">
        <v>3173</v>
      </c>
      <c r="VU1" t="s">
        <v>3174</v>
      </c>
      <c r="VV1" t="s">
        <v>3175</v>
      </c>
      <c r="VW1" t="s">
        <v>3176</v>
      </c>
      <c r="VX1" t="s">
        <v>3177</v>
      </c>
      <c r="VY1" t="s">
        <v>3178</v>
      </c>
      <c r="VZ1" t="s">
        <v>3179</v>
      </c>
      <c r="WA1" t="s">
        <v>3180</v>
      </c>
      <c r="WB1" t="s">
        <v>3181</v>
      </c>
      <c r="WC1" t="s">
        <v>3182</v>
      </c>
      <c r="WD1" t="s">
        <v>3183</v>
      </c>
      <c r="WE1" t="s">
        <v>3184</v>
      </c>
      <c r="WF1" t="s">
        <v>3185</v>
      </c>
      <c r="WG1" t="s">
        <v>3186</v>
      </c>
      <c r="WH1" t="s">
        <v>3187</v>
      </c>
      <c r="WI1" t="s">
        <v>3188</v>
      </c>
      <c r="WJ1" t="s">
        <v>3189</v>
      </c>
      <c r="WK1" t="s">
        <v>3190</v>
      </c>
      <c r="WL1" t="s">
        <v>3191</v>
      </c>
      <c r="WM1" t="s">
        <v>3192</v>
      </c>
      <c r="WN1" t="s">
        <v>3193</v>
      </c>
      <c r="WO1" t="s">
        <v>3194</v>
      </c>
      <c r="WP1" t="s">
        <v>3195</v>
      </c>
      <c r="WQ1" t="s">
        <v>3196</v>
      </c>
      <c r="WR1" t="s">
        <v>3197</v>
      </c>
      <c r="WS1" t="s">
        <v>3198</v>
      </c>
      <c r="WT1" t="s">
        <v>3199</v>
      </c>
      <c r="WU1" t="s">
        <v>3200</v>
      </c>
      <c r="WV1" t="s">
        <v>3201</v>
      </c>
      <c r="WW1" t="s">
        <v>3202</v>
      </c>
      <c r="WX1" t="s">
        <v>3203</v>
      </c>
      <c r="WY1" t="s">
        <v>2816</v>
      </c>
      <c r="WZ1" t="s">
        <v>2817</v>
      </c>
      <c r="XA1" t="s">
        <v>2818</v>
      </c>
      <c r="XB1" t="s">
        <v>2819</v>
      </c>
      <c r="XC1" t="s">
        <v>2820</v>
      </c>
      <c r="XD1" t="s">
        <v>2821</v>
      </c>
      <c r="XE1" t="s">
        <v>2822</v>
      </c>
      <c r="XF1" t="s">
        <v>2823</v>
      </c>
      <c r="XG1" t="s">
        <v>2824</v>
      </c>
      <c r="XH1" t="s">
        <v>3204</v>
      </c>
      <c r="XI1" t="s">
        <v>3205</v>
      </c>
      <c r="XJ1" t="s">
        <v>3206</v>
      </c>
      <c r="XK1" t="s">
        <v>2825</v>
      </c>
      <c r="XL1" t="s">
        <v>2916</v>
      </c>
      <c r="XM1" t="s">
        <v>2917</v>
      </c>
      <c r="XN1" t="s">
        <v>2918</v>
      </c>
      <c r="XO1" t="s">
        <v>2919</v>
      </c>
      <c r="XP1" t="s">
        <v>2920</v>
      </c>
      <c r="XQ1" t="s">
        <v>2921</v>
      </c>
      <c r="XR1" t="s">
        <v>3207</v>
      </c>
      <c r="XS1" t="s">
        <v>3208</v>
      </c>
      <c r="XT1" t="s">
        <v>3209</v>
      </c>
      <c r="XU1" t="s">
        <v>3210</v>
      </c>
      <c r="XV1" t="s">
        <v>3211</v>
      </c>
      <c r="XW1" t="s">
        <v>2922</v>
      </c>
      <c r="XX1" t="s">
        <v>2923</v>
      </c>
      <c r="XY1" t="s">
        <v>2924</v>
      </c>
      <c r="XZ1" t="s">
        <v>2925</v>
      </c>
      <c r="YA1" t="s">
        <v>3212</v>
      </c>
      <c r="YB1" t="s">
        <v>3213</v>
      </c>
      <c r="YC1" t="s">
        <v>3214</v>
      </c>
      <c r="YD1" t="s">
        <v>2926</v>
      </c>
      <c r="YE1" t="s">
        <v>2927</v>
      </c>
      <c r="YF1" t="s">
        <v>2928</v>
      </c>
      <c r="YG1" t="s">
        <v>2929</v>
      </c>
      <c r="YH1" t="s">
        <v>2930</v>
      </c>
      <c r="YI1" t="s">
        <v>2931</v>
      </c>
      <c r="YJ1" t="s">
        <v>2932</v>
      </c>
      <c r="YK1" t="s">
        <v>2933</v>
      </c>
      <c r="YL1" t="s">
        <v>2934</v>
      </c>
      <c r="YM1" t="s">
        <v>2935</v>
      </c>
      <c r="YN1" t="s">
        <v>2936</v>
      </c>
      <c r="YO1" t="s">
        <v>2937</v>
      </c>
      <c r="YP1" t="s">
        <v>2938</v>
      </c>
      <c r="YQ1" t="s">
        <v>2939</v>
      </c>
      <c r="YR1" t="s">
        <v>2940</v>
      </c>
      <c r="YS1" t="s">
        <v>2941</v>
      </c>
      <c r="YT1" t="s">
        <v>2942</v>
      </c>
      <c r="YU1" t="s">
        <v>2943</v>
      </c>
      <c r="YV1" t="s">
        <v>2944</v>
      </c>
      <c r="YW1" t="s">
        <v>3215</v>
      </c>
      <c r="YX1" t="s">
        <v>3216</v>
      </c>
      <c r="YY1" t="s">
        <v>3217</v>
      </c>
      <c r="YZ1" t="s">
        <v>3218</v>
      </c>
      <c r="ZA1" t="s">
        <v>3219</v>
      </c>
      <c r="ZB1" t="s">
        <v>3220</v>
      </c>
      <c r="ZC1" t="s">
        <v>3221</v>
      </c>
      <c r="ZD1" t="s">
        <v>3222</v>
      </c>
      <c r="ZE1" t="s">
        <v>3223</v>
      </c>
      <c r="ZF1" t="s">
        <v>3223</v>
      </c>
      <c r="ZG1" t="s">
        <v>3224</v>
      </c>
      <c r="ZH1" t="s">
        <v>3225</v>
      </c>
      <c r="ZI1" t="s">
        <v>3226</v>
      </c>
      <c r="ZJ1" t="s">
        <v>3227</v>
      </c>
      <c r="ZK1" t="s">
        <v>3228</v>
      </c>
      <c r="ZL1" t="s">
        <v>3229</v>
      </c>
      <c r="ZM1" t="s">
        <v>3229</v>
      </c>
      <c r="ZN1" t="s">
        <v>3230</v>
      </c>
      <c r="ZO1" t="s">
        <v>3231</v>
      </c>
      <c r="ZP1" t="s">
        <v>3232</v>
      </c>
      <c r="ZQ1" t="s">
        <v>3233</v>
      </c>
      <c r="ZR1" t="s">
        <v>3234</v>
      </c>
      <c r="ZS1" t="s">
        <v>3235</v>
      </c>
      <c r="ZT1" t="s">
        <v>3236</v>
      </c>
      <c r="ZU1" t="s">
        <v>3237</v>
      </c>
      <c r="ZV1" t="s">
        <v>3238</v>
      </c>
      <c r="ZW1" t="s">
        <v>3239</v>
      </c>
      <c r="ZX1" t="s">
        <v>3239</v>
      </c>
      <c r="ZY1" t="s">
        <v>3239</v>
      </c>
      <c r="ZZ1" t="s">
        <v>3240</v>
      </c>
      <c r="AAA1" t="s">
        <v>3241</v>
      </c>
      <c r="AAB1" t="s">
        <v>3242</v>
      </c>
      <c r="AAC1" t="s">
        <v>3242</v>
      </c>
      <c r="AAD1" t="s">
        <v>3243</v>
      </c>
      <c r="AAE1" t="s">
        <v>3244</v>
      </c>
      <c r="AAF1" t="s">
        <v>3245</v>
      </c>
      <c r="AAG1" t="s">
        <v>3246</v>
      </c>
      <c r="AAH1" t="s">
        <v>3247</v>
      </c>
      <c r="AAI1" t="s">
        <v>3248</v>
      </c>
      <c r="AAJ1" t="s">
        <v>3249</v>
      </c>
      <c r="AAK1" t="s">
        <v>3250</v>
      </c>
      <c r="AAL1" t="s">
        <v>3251</v>
      </c>
      <c r="AAM1" t="s">
        <v>3251</v>
      </c>
      <c r="AAN1" t="s">
        <v>3251</v>
      </c>
      <c r="AAO1" t="s">
        <v>3252</v>
      </c>
      <c r="AAP1" t="s">
        <v>3253</v>
      </c>
      <c r="AAQ1" t="s">
        <v>3254</v>
      </c>
      <c r="AAR1" t="s">
        <v>3255</v>
      </c>
      <c r="AAS1" t="s">
        <v>3255</v>
      </c>
      <c r="AAT1" t="s">
        <v>3256</v>
      </c>
      <c r="AAU1" t="s">
        <v>3257</v>
      </c>
      <c r="AAV1" t="s">
        <v>3258</v>
      </c>
      <c r="AAW1" t="s">
        <v>3259</v>
      </c>
      <c r="AAX1" t="s">
        <v>3260</v>
      </c>
      <c r="AAY1" t="s">
        <v>3261</v>
      </c>
      <c r="AAZ1" t="s">
        <v>3262</v>
      </c>
      <c r="ABA1" t="s">
        <v>3263</v>
      </c>
      <c r="ABB1" t="s">
        <v>3264</v>
      </c>
      <c r="ABC1" t="s">
        <v>3265</v>
      </c>
      <c r="ABD1" t="s">
        <v>3266</v>
      </c>
      <c r="ABE1" t="s">
        <v>3266</v>
      </c>
      <c r="ABF1" t="s">
        <v>3266</v>
      </c>
      <c r="ABG1" t="s">
        <v>3267</v>
      </c>
      <c r="ABH1" t="s">
        <v>3268</v>
      </c>
      <c r="ABI1" t="s">
        <v>3268</v>
      </c>
      <c r="ABJ1" t="s">
        <v>3269</v>
      </c>
      <c r="ABK1" t="s">
        <v>3270</v>
      </c>
      <c r="ABL1" t="s">
        <v>3271</v>
      </c>
      <c r="ABM1" t="s">
        <v>3272</v>
      </c>
      <c r="ABN1" t="s">
        <v>3273</v>
      </c>
      <c r="ABO1" t="s">
        <v>3274</v>
      </c>
      <c r="ABP1" t="s">
        <v>3275</v>
      </c>
      <c r="ABQ1" t="s">
        <v>3276</v>
      </c>
      <c r="ABR1" t="s">
        <v>3277</v>
      </c>
      <c r="ABS1" t="s">
        <v>3278</v>
      </c>
      <c r="ABT1" t="s">
        <v>3279</v>
      </c>
      <c r="ABU1" t="s">
        <v>3280</v>
      </c>
      <c r="ABV1" t="s">
        <v>3281</v>
      </c>
      <c r="ABW1" t="s">
        <v>3282</v>
      </c>
      <c r="ABX1" t="s">
        <v>3283</v>
      </c>
      <c r="ABY1" t="s">
        <v>3284</v>
      </c>
      <c r="ABZ1" t="s">
        <v>3285</v>
      </c>
      <c r="ACA1" t="s">
        <v>3286</v>
      </c>
      <c r="ACB1" t="s">
        <v>3287</v>
      </c>
      <c r="ACC1" t="s">
        <v>3288</v>
      </c>
      <c r="ACD1" t="s">
        <v>3289</v>
      </c>
      <c r="ACE1" t="s">
        <v>3290</v>
      </c>
      <c r="ACF1" t="s">
        <v>3291</v>
      </c>
      <c r="ACG1" t="s">
        <v>3292</v>
      </c>
      <c r="ACH1" t="s">
        <v>3293</v>
      </c>
      <c r="ACI1" t="s">
        <v>3294</v>
      </c>
      <c r="ACJ1" t="s">
        <v>3295</v>
      </c>
      <c r="ACK1" t="s">
        <v>3296</v>
      </c>
      <c r="ACL1" t="s">
        <v>3297</v>
      </c>
      <c r="ACM1" t="s">
        <v>3298</v>
      </c>
      <c r="ACN1" t="s">
        <v>3299</v>
      </c>
      <c r="ACO1" t="s">
        <v>3299</v>
      </c>
      <c r="ACP1" t="s">
        <v>3300</v>
      </c>
      <c r="ACQ1" t="s">
        <v>3301</v>
      </c>
      <c r="ACR1" t="s">
        <v>3302</v>
      </c>
      <c r="ACS1" t="s">
        <v>3303</v>
      </c>
      <c r="ACT1" t="s">
        <v>3304</v>
      </c>
      <c r="ACU1" t="s">
        <v>3305</v>
      </c>
      <c r="ACV1" t="s">
        <v>3306</v>
      </c>
      <c r="ACW1" t="s">
        <v>3307</v>
      </c>
      <c r="ACX1" t="s">
        <v>3308</v>
      </c>
      <c r="ACY1" t="s">
        <v>3309</v>
      </c>
      <c r="ACZ1" t="s">
        <v>3310</v>
      </c>
      <c r="ADA1" t="s">
        <v>3311</v>
      </c>
      <c r="ADB1" t="s">
        <v>3312</v>
      </c>
      <c r="ADC1" t="s">
        <v>3313</v>
      </c>
      <c r="ADD1" t="s">
        <v>3314</v>
      </c>
      <c r="ADE1" t="s">
        <v>3315</v>
      </c>
      <c r="ADF1" t="s">
        <v>3316</v>
      </c>
      <c r="ADG1" t="s">
        <v>3317</v>
      </c>
      <c r="ADH1" t="s">
        <v>3318</v>
      </c>
      <c r="ADI1" t="s">
        <v>3319</v>
      </c>
      <c r="ADJ1" t="s">
        <v>3320</v>
      </c>
      <c r="ADK1" t="s">
        <v>3321</v>
      </c>
      <c r="ADL1" t="s">
        <v>3322</v>
      </c>
      <c r="ADM1" t="s">
        <v>3323</v>
      </c>
      <c r="ADN1" t="s">
        <v>3324</v>
      </c>
      <c r="ADO1" t="s">
        <v>3325</v>
      </c>
      <c r="ADP1" t="s">
        <v>3326</v>
      </c>
      <c r="ADQ1" t="s">
        <v>3327</v>
      </c>
      <c r="ADR1" t="s">
        <v>2945</v>
      </c>
      <c r="ADS1" t="s">
        <v>2946</v>
      </c>
      <c r="ADT1" t="s">
        <v>2947</v>
      </c>
      <c r="ADU1" t="s">
        <v>2948</v>
      </c>
      <c r="ADV1" t="s">
        <v>2949</v>
      </c>
      <c r="ADW1" t="s">
        <v>2950</v>
      </c>
      <c r="ADX1" t="s">
        <v>2951</v>
      </c>
      <c r="ADY1" t="s">
        <v>2952</v>
      </c>
      <c r="ADZ1" t="s">
        <v>2970</v>
      </c>
      <c r="AEA1" t="s">
        <v>3328</v>
      </c>
      <c r="AEB1" t="s">
        <v>3329</v>
      </c>
      <c r="AEC1" t="s">
        <v>3330</v>
      </c>
      <c r="AED1" t="s">
        <v>3331</v>
      </c>
      <c r="AEE1" t="s">
        <v>3332</v>
      </c>
      <c r="AEF1" t="s">
        <v>3333</v>
      </c>
      <c r="AEG1" t="s">
        <v>3334</v>
      </c>
      <c r="AEH1" t="s">
        <v>2971</v>
      </c>
      <c r="AEI1" t="s">
        <v>3335</v>
      </c>
      <c r="AEJ1" t="s">
        <v>3336</v>
      </c>
      <c r="AEK1" t="s">
        <v>3337</v>
      </c>
      <c r="AEL1" t="s">
        <v>3338</v>
      </c>
      <c r="AEM1" t="s">
        <v>3339</v>
      </c>
      <c r="AEN1" t="s">
        <v>3340</v>
      </c>
      <c r="AEO1" t="s">
        <v>3341</v>
      </c>
      <c r="AEP1" t="s">
        <v>3342</v>
      </c>
      <c r="AEQ1" t="s">
        <v>3343</v>
      </c>
      <c r="AER1" t="s">
        <v>3344</v>
      </c>
      <c r="AES1" t="s">
        <v>3345</v>
      </c>
      <c r="AET1" t="s">
        <v>3346</v>
      </c>
      <c r="AEU1" t="s">
        <v>3347</v>
      </c>
      <c r="AEV1" t="s">
        <v>3348</v>
      </c>
      <c r="AEW1" t="s">
        <v>2972</v>
      </c>
      <c r="AEX1" t="s">
        <v>3349</v>
      </c>
      <c r="AEY1" t="s">
        <v>2973</v>
      </c>
      <c r="AEZ1" t="s">
        <v>3350</v>
      </c>
      <c r="AFA1" t="s">
        <v>3351</v>
      </c>
      <c r="AFB1" t="s">
        <v>2974</v>
      </c>
      <c r="AFC1" t="s">
        <v>3352</v>
      </c>
      <c r="AFD1" t="s">
        <v>2975</v>
      </c>
      <c r="AFE1" t="s">
        <v>2976</v>
      </c>
      <c r="AFF1" t="s">
        <v>2977</v>
      </c>
      <c r="AFG1" t="s">
        <v>2978</v>
      </c>
      <c r="AFH1" t="s">
        <v>2979</v>
      </c>
      <c r="AFI1" t="s">
        <v>2980</v>
      </c>
      <c r="AFJ1" t="s">
        <v>2981</v>
      </c>
      <c r="AFK1" t="s">
        <v>2982</v>
      </c>
      <c r="AFL1" t="s">
        <v>2983</v>
      </c>
      <c r="AFM1" t="s">
        <v>2984</v>
      </c>
      <c r="AFN1" t="s">
        <v>3353</v>
      </c>
      <c r="AFO1" t="s">
        <v>3354</v>
      </c>
      <c r="AFP1" t="s">
        <v>3355</v>
      </c>
      <c r="AFQ1" t="s">
        <v>3356</v>
      </c>
      <c r="AFR1" t="s">
        <v>3357</v>
      </c>
      <c r="AFS1" t="s">
        <v>3358</v>
      </c>
      <c r="AFT1" t="s">
        <v>3358</v>
      </c>
      <c r="AFU1" t="s">
        <v>3358</v>
      </c>
      <c r="AFV1" t="s">
        <v>3359</v>
      </c>
      <c r="AFW1" t="s">
        <v>3360</v>
      </c>
      <c r="AFX1" t="s">
        <v>3361</v>
      </c>
      <c r="AFY1" t="s">
        <v>3362</v>
      </c>
      <c r="AFZ1" t="s">
        <v>3363</v>
      </c>
      <c r="AGA1" t="s">
        <v>3364</v>
      </c>
      <c r="AGB1" t="s">
        <v>3365</v>
      </c>
      <c r="AGC1" t="s">
        <v>3366</v>
      </c>
      <c r="AGD1" t="s">
        <v>3367</v>
      </c>
      <c r="AGE1" t="s">
        <v>3368</v>
      </c>
      <c r="AGF1" t="s">
        <v>3369</v>
      </c>
      <c r="AGG1" t="s">
        <v>3369</v>
      </c>
      <c r="AGH1" t="s">
        <v>3370</v>
      </c>
      <c r="AGI1" t="s">
        <v>3371</v>
      </c>
      <c r="AGJ1" t="s">
        <v>3371</v>
      </c>
      <c r="AGK1" t="s">
        <v>3372</v>
      </c>
      <c r="AGL1" t="s">
        <v>3373</v>
      </c>
      <c r="AGM1" t="s">
        <v>3373</v>
      </c>
      <c r="AGN1" t="s">
        <v>3374</v>
      </c>
      <c r="AGO1" t="s">
        <v>3375</v>
      </c>
      <c r="AGP1" t="s">
        <v>3376</v>
      </c>
      <c r="AGQ1" t="s">
        <v>3377</v>
      </c>
      <c r="AGR1" t="s">
        <v>3378</v>
      </c>
      <c r="AGS1" t="s">
        <v>3379</v>
      </c>
      <c r="AGT1" t="s">
        <v>3380</v>
      </c>
      <c r="AGU1" t="s">
        <v>3381</v>
      </c>
      <c r="AGV1" t="s">
        <v>3382</v>
      </c>
      <c r="AGW1" t="s">
        <v>3383</v>
      </c>
      <c r="AGX1" t="s">
        <v>3384</v>
      </c>
      <c r="AGY1" t="s">
        <v>3385</v>
      </c>
      <c r="AGZ1" t="s">
        <v>3386</v>
      </c>
      <c r="AHA1" t="s">
        <v>3387</v>
      </c>
      <c r="AHB1" t="s">
        <v>3387</v>
      </c>
      <c r="AHC1" t="s">
        <v>3388</v>
      </c>
      <c r="AHD1" t="s">
        <v>3389</v>
      </c>
      <c r="AHE1" t="s">
        <v>3390</v>
      </c>
      <c r="AHF1" t="s">
        <v>3390</v>
      </c>
      <c r="AHG1" t="s">
        <v>3391</v>
      </c>
      <c r="AHH1" t="s">
        <v>3392</v>
      </c>
      <c r="AHI1" t="s">
        <v>3393</v>
      </c>
      <c r="AHJ1" t="s">
        <v>3394</v>
      </c>
      <c r="AHK1" t="s">
        <v>3395</v>
      </c>
      <c r="AHL1" t="s">
        <v>3396</v>
      </c>
      <c r="AHM1" t="s">
        <v>3397</v>
      </c>
      <c r="AHN1" t="s">
        <v>3398</v>
      </c>
      <c r="AHO1" t="s">
        <v>3399</v>
      </c>
      <c r="AHP1" t="s">
        <v>3400</v>
      </c>
      <c r="AHQ1" t="s">
        <v>3401</v>
      </c>
      <c r="AHR1" t="s">
        <v>3402</v>
      </c>
      <c r="AHS1" t="s">
        <v>3403</v>
      </c>
      <c r="AHT1" t="s">
        <v>3403</v>
      </c>
      <c r="AHU1" t="s">
        <v>3404</v>
      </c>
      <c r="AHV1" t="s">
        <v>3405</v>
      </c>
      <c r="AHW1" t="s">
        <v>3406</v>
      </c>
      <c r="AHX1" t="s">
        <v>3407</v>
      </c>
      <c r="AHY1" t="s">
        <v>3408</v>
      </c>
      <c r="AHZ1" t="s">
        <v>3409</v>
      </c>
      <c r="AIA1" t="s">
        <v>3410</v>
      </c>
      <c r="AIB1" t="s">
        <v>3411</v>
      </c>
      <c r="AIC1" t="s">
        <v>3412</v>
      </c>
      <c r="AID1" t="s">
        <v>3413</v>
      </c>
      <c r="AIE1" t="s">
        <v>3414</v>
      </c>
      <c r="AIF1" t="s">
        <v>3415</v>
      </c>
      <c r="AIG1" t="s">
        <v>3416</v>
      </c>
      <c r="AIH1" t="s">
        <v>3417</v>
      </c>
      <c r="AII1" t="s">
        <v>3418</v>
      </c>
      <c r="AIJ1" t="s">
        <v>3419</v>
      </c>
      <c r="AIK1" t="s">
        <v>3420</v>
      </c>
      <c r="AIL1" t="s">
        <v>3421</v>
      </c>
      <c r="AIM1" t="s">
        <v>3422</v>
      </c>
      <c r="AIN1" t="s">
        <v>3423</v>
      </c>
      <c r="AIO1" t="s">
        <v>3424</v>
      </c>
      <c r="AIP1" t="s">
        <v>3425</v>
      </c>
      <c r="AIQ1" t="s">
        <v>3426</v>
      </c>
      <c r="AIR1" t="s">
        <v>3427</v>
      </c>
      <c r="AIS1" t="s">
        <v>3428</v>
      </c>
      <c r="AIT1" t="s">
        <v>3429</v>
      </c>
      <c r="AIU1" t="s">
        <v>3430</v>
      </c>
      <c r="AIV1" t="s">
        <v>3431</v>
      </c>
      <c r="AIW1" t="s">
        <v>3432</v>
      </c>
      <c r="AIX1" t="s">
        <v>3433</v>
      </c>
      <c r="AIY1" t="s">
        <v>3434</v>
      </c>
      <c r="AIZ1" t="s">
        <v>3435</v>
      </c>
      <c r="AJA1" t="s">
        <v>3436</v>
      </c>
      <c r="AJB1" t="s">
        <v>3437</v>
      </c>
      <c r="AJC1" t="s">
        <v>3438</v>
      </c>
      <c r="AJD1" t="s">
        <v>3439</v>
      </c>
      <c r="AJE1" t="s">
        <v>3440</v>
      </c>
      <c r="AJF1" t="s">
        <v>3441</v>
      </c>
      <c r="AJG1" t="s">
        <v>3442</v>
      </c>
      <c r="AJH1" t="s">
        <v>3443</v>
      </c>
      <c r="AJI1" t="s">
        <v>3444</v>
      </c>
      <c r="AJJ1" t="s">
        <v>3445</v>
      </c>
      <c r="AJK1" t="s">
        <v>3446</v>
      </c>
      <c r="AJL1" t="s">
        <v>3447</v>
      </c>
      <c r="AJM1" t="s">
        <v>3448</v>
      </c>
      <c r="AJN1" t="s">
        <v>3449</v>
      </c>
      <c r="AJO1" t="s">
        <v>2985</v>
      </c>
      <c r="AJP1" t="s">
        <v>3450</v>
      </c>
      <c r="AJQ1" t="s">
        <v>2986</v>
      </c>
      <c r="AJR1" t="s">
        <v>3451</v>
      </c>
      <c r="AJS1" t="s">
        <v>3452</v>
      </c>
      <c r="AJT1" t="s">
        <v>3453</v>
      </c>
      <c r="AJU1" t="s">
        <v>3454</v>
      </c>
      <c r="AJV1" t="s">
        <v>3455</v>
      </c>
      <c r="AJW1" t="s">
        <v>3456</v>
      </c>
      <c r="AJX1" t="s">
        <v>3457</v>
      </c>
      <c r="AJY1" t="s">
        <v>3458</v>
      </c>
      <c r="AJZ1" t="s">
        <v>2987</v>
      </c>
      <c r="AKA1" t="s">
        <v>2988</v>
      </c>
      <c r="AKB1" t="s">
        <v>3459</v>
      </c>
      <c r="AKC1" t="s">
        <v>3460</v>
      </c>
      <c r="AKD1" t="s">
        <v>3461</v>
      </c>
      <c r="AKE1" t="s">
        <v>3462</v>
      </c>
      <c r="AKF1" t="s">
        <v>3463</v>
      </c>
      <c r="AKG1" t="s">
        <v>3464</v>
      </c>
      <c r="AKH1" t="s">
        <v>3465</v>
      </c>
      <c r="AKI1" t="s">
        <v>3466</v>
      </c>
      <c r="AKJ1" t="s">
        <v>3467</v>
      </c>
      <c r="AKK1" t="s">
        <v>3468</v>
      </c>
      <c r="AKL1" t="s">
        <v>3469</v>
      </c>
      <c r="AKM1" t="s">
        <v>3470</v>
      </c>
      <c r="AKN1" t="s">
        <v>3471</v>
      </c>
      <c r="AKO1" t="s">
        <v>3472</v>
      </c>
      <c r="AKP1" t="s">
        <v>3473</v>
      </c>
      <c r="AKQ1" t="s">
        <v>3474</v>
      </c>
      <c r="AKR1" t="s">
        <v>3475</v>
      </c>
      <c r="AKS1" t="s">
        <v>3476</v>
      </c>
      <c r="AKT1" t="s">
        <v>3477</v>
      </c>
      <c r="AKU1" t="s">
        <v>3478</v>
      </c>
      <c r="AKV1" t="s">
        <v>2989</v>
      </c>
      <c r="AKW1" t="s">
        <v>3479</v>
      </c>
      <c r="AKX1" t="s">
        <v>3480</v>
      </c>
      <c r="AKY1" t="s">
        <v>3481</v>
      </c>
      <c r="AKZ1" t="s">
        <v>3482</v>
      </c>
      <c r="ALA1" t="s">
        <v>2990</v>
      </c>
      <c r="ALB1" t="s">
        <v>2991</v>
      </c>
      <c r="ALC1" t="s">
        <v>2992</v>
      </c>
      <c r="ALD1" t="s">
        <v>2993</v>
      </c>
      <c r="ALE1" t="s">
        <v>3483</v>
      </c>
      <c r="ALF1" t="s">
        <v>2994</v>
      </c>
      <c r="ALG1" t="s">
        <v>3484</v>
      </c>
      <c r="ALH1" t="s">
        <v>3485</v>
      </c>
      <c r="ALI1" t="s">
        <v>3486</v>
      </c>
      <c r="ALJ1" t="s">
        <v>3487</v>
      </c>
      <c r="ALK1" t="s">
        <v>2995</v>
      </c>
      <c r="ALL1" t="s">
        <v>3488</v>
      </c>
      <c r="ALM1" t="s">
        <v>3489</v>
      </c>
      <c r="ALN1" t="s">
        <v>3490</v>
      </c>
      <c r="ALO1" t="s">
        <v>3491</v>
      </c>
      <c r="ALP1" t="s">
        <v>3492</v>
      </c>
      <c r="ALQ1" t="s">
        <v>3493</v>
      </c>
      <c r="ALR1" t="s">
        <v>3494</v>
      </c>
      <c r="ALS1" t="s">
        <v>3494</v>
      </c>
      <c r="ALT1" t="s">
        <v>3494</v>
      </c>
      <c r="ALU1" t="s">
        <v>3495</v>
      </c>
      <c r="ALV1" t="s">
        <v>3496</v>
      </c>
      <c r="ALW1" t="s">
        <v>3497</v>
      </c>
      <c r="ALX1" t="s">
        <v>3498</v>
      </c>
      <c r="ALY1" t="s">
        <v>3499</v>
      </c>
      <c r="ALZ1" t="s">
        <v>3500</v>
      </c>
      <c r="AMA1" t="s">
        <v>3501</v>
      </c>
      <c r="AMB1" t="s">
        <v>3502</v>
      </c>
      <c r="AMC1" t="s">
        <v>3503</v>
      </c>
      <c r="AMD1" t="s">
        <v>3504</v>
      </c>
      <c r="AME1" t="s">
        <v>3505</v>
      </c>
      <c r="AMF1" t="s">
        <v>3506</v>
      </c>
      <c r="AMG1" t="s">
        <v>3507</v>
      </c>
      <c r="AMH1" t="s">
        <v>3508</v>
      </c>
      <c r="AMI1" t="s">
        <v>3509</v>
      </c>
      <c r="AMJ1" t="s">
        <v>3510</v>
      </c>
      <c r="AMK1" t="s">
        <v>3510</v>
      </c>
      <c r="AML1" t="s">
        <v>3511</v>
      </c>
      <c r="AMM1" t="s">
        <v>3512</v>
      </c>
      <c r="AMN1" t="s">
        <v>3513</v>
      </c>
      <c r="AMO1" t="s">
        <v>3513</v>
      </c>
      <c r="AMP1" t="s">
        <v>3514</v>
      </c>
      <c r="AMQ1" t="s">
        <v>3515</v>
      </c>
      <c r="AMR1" t="s">
        <v>3516</v>
      </c>
      <c r="AMS1" t="s">
        <v>3517</v>
      </c>
      <c r="AMT1" t="s">
        <v>3518</v>
      </c>
      <c r="AMU1" t="s">
        <v>3518</v>
      </c>
      <c r="AMV1" t="s">
        <v>3519</v>
      </c>
      <c r="AMW1" t="s">
        <v>3520</v>
      </c>
      <c r="AMX1" t="s">
        <v>3521</v>
      </c>
      <c r="AMY1" t="s">
        <v>3522</v>
      </c>
      <c r="AMZ1" t="s">
        <v>3523</v>
      </c>
      <c r="ANA1" t="s">
        <v>3524</v>
      </c>
      <c r="ANB1" t="s">
        <v>3525</v>
      </c>
      <c r="ANC1" t="s">
        <v>3526</v>
      </c>
      <c r="AND1" t="s">
        <v>3527</v>
      </c>
      <c r="ANE1" t="s">
        <v>3528</v>
      </c>
      <c r="ANF1" t="s">
        <v>3529</v>
      </c>
      <c r="ANG1" t="s">
        <v>3530</v>
      </c>
      <c r="ANH1" t="s">
        <v>3531</v>
      </c>
      <c r="ANI1" t="s">
        <v>3532</v>
      </c>
      <c r="ANJ1" t="s">
        <v>3533</v>
      </c>
      <c r="ANK1" t="s">
        <v>3534</v>
      </c>
      <c r="ANL1" t="s">
        <v>3535</v>
      </c>
      <c r="ANM1" t="s">
        <v>3535</v>
      </c>
      <c r="ANN1" t="s">
        <v>3536</v>
      </c>
      <c r="ANO1" t="s">
        <v>3537</v>
      </c>
      <c r="ANP1" t="s">
        <v>3538</v>
      </c>
      <c r="ANQ1" t="s">
        <v>3539</v>
      </c>
      <c r="ANR1" t="s">
        <v>3540</v>
      </c>
      <c r="ANS1" t="s">
        <v>3541</v>
      </c>
      <c r="ANT1" t="s">
        <v>3542</v>
      </c>
      <c r="ANU1" t="s">
        <v>3542</v>
      </c>
      <c r="ANV1" t="s">
        <v>3543</v>
      </c>
      <c r="ANW1" t="s">
        <v>3544</v>
      </c>
      <c r="ANX1" t="s">
        <v>3545</v>
      </c>
      <c r="ANY1" t="s">
        <v>3546</v>
      </c>
      <c r="ANZ1" t="s">
        <v>3547</v>
      </c>
      <c r="AOA1" t="s">
        <v>3548</v>
      </c>
      <c r="AOB1" t="s">
        <v>3549</v>
      </c>
      <c r="AOC1" t="s">
        <v>3550</v>
      </c>
      <c r="AOD1" t="s">
        <v>3551</v>
      </c>
      <c r="AOE1" t="s">
        <v>3552</v>
      </c>
      <c r="AOF1" t="s">
        <v>3553</v>
      </c>
      <c r="AOG1" t="s">
        <v>3554</v>
      </c>
      <c r="AOH1" t="s">
        <v>3555</v>
      </c>
      <c r="AOI1" t="s">
        <v>3556</v>
      </c>
      <c r="AOJ1" t="s">
        <v>3557</v>
      </c>
      <c r="AOK1" t="s">
        <v>3558</v>
      </c>
      <c r="AOL1" t="s">
        <v>3559</v>
      </c>
      <c r="AOM1" t="s">
        <v>3560</v>
      </c>
      <c r="AON1" t="s">
        <v>3561</v>
      </c>
      <c r="AOO1" t="s">
        <v>3562</v>
      </c>
      <c r="AOP1" t="s">
        <v>3563</v>
      </c>
      <c r="AOQ1" t="s">
        <v>3564</v>
      </c>
      <c r="AOR1" t="s">
        <v>3565</v>
      </c>
      <c r="AOS1" t="s">
        <v>3566</v>
      </c>
      <c r="AOT1" t="s">
        <v>3567</v>
      </c>
      <c r="AOU1" t="s">
        <v>3568</v>
      </c>
      <c r="AOV1" t="s">
        <v>3569</v>
      </c>
      <c r="AOW1" t="s">
        <v>3569</v>
      </c>
      <c r="AOX1" t="s">
        <v>3570</v>
      </c>
      <c r="AOY1" t="s">
        <v>3571</v>
      </c>
      <c r="AOZ1" t="s">
        <v>3572</v>
      </c>
      <c r="APA1" t="s">
        <v>3573</v>
      </c>
      <c r="APB1" t="s">
        <v>3574</v>
      </c>
      <c r="APC1" t="s">
        <v>3575</v>
      </c>
      <c r="APD1" t="s">
        <v>3576</v>
      </c>
      <c r="APE1" t="s">
        <v>3577</v>
      </c>
      <c r="APF1" t="s">
        <v>3578</v>
      </c>
      <c r="APG1" t="s">
        <v>3579</v>
      </c>
      <c r="APH1" t="s">
        <v>3580</v>
      </c>
      <c r="API1" t="s">
        <v>3581</v>
      </c>
      <c r="APJ1" t="s">
        <v>3582</v>
      </c>
      <c r="APK1" t="s">
        <v>3583</v>
      </c>
      <c r="APL1" t="s">
        <v>3584</v>
      </c>
      <c r="APM1" t="s">
        <v>3585</v>
      </c>
      <c r="APN1" t="s">
        <v>3586</v>
      </c>
      <c r="APO1" t="s">
        <v>3587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1105-FE33-4011-90EC-CB90EA1596AA}">
  <dimension ref="A1:E3053"/>
  <sheetViews>
    <sheetView topLeftCell="A3033" workbookViewId="0">
      <selection activeCell="CW31" sqref="CW31:CY39"/>
    </sheetView>
  </sheetViews>
  <sheetFormatPr defaultColWidth="8.85546875" defaultRowHeight="15"/>
  <cols>
    <col min="1" max="1" width="6.28515625" bestFit="1" customWidth="1"/>
    <col min="2" max="2" width="17.42578125" bestFit="1" customWidth="1"/>
    <col min="3" max="3" width="11.42578125" bestFit="1" customWidth="1"/>
    <col min="4" max="4" width="15.7109375" bestFit="1" customWidth="1"/>
    <col min="5" max="5" width="5.42578125" bestFit="1" customWidth="1"/>
  </cols>
  <sheetData>
    <row r="1" spans="1:5">
      <c r="A1" s="67" t="s">
        <v>3588</v>
      </c>
      <c r="B1" s="67" t="s">
        <v>3589</v>
      </c>
      <c r="C1" s="67" t="s">
        <v>3590</v>
      </c>
      <c r="D1" s="67" t="s">
        <v>3591</v>
      </c>
      <c r="E1" s="67" t="s">
        <v>3592</v>
      </c>
    </row>
    <row r="2" spans="1:5">
      <c r="A2" s="65">
        <v>1001</v>
      </c>
      <c r="B2" s="66" t="s">
        <v>3593</v>
      </c>
      <c r="C2" s="66" t="s">
        <v>3594</v>
      </c>
      <c r="D2" s="65">
        <v>17798</v>
      </c>
      <c r="E2" s="65">
        <v>574</v>
      </c>
    </row>
    <row r="3" spans="1:5">
      <c r="A3" s="65">
        <v>100105</v>
      </c>
      <c r="B3" s="66" t="s">
        <v>3595</v>
      </c>
      <c r="C3" s="66" t="s">
        <v>3596</v>
      </c>
      <c r="D3" s="65">
        <v>58</v>
      </c>
      <c r="E3" s="65">
        <v>9</v>
      </c>
    </row>
    <row r="4" spans="1:5">
      <c r="A4" s="65">
        <v>100107</v>
      </c>
      <c r="B4" s="66" t="s">
        <v>3597</v>
      </c>
      <c r="C4" s="66" t="s">
        <v>3598</v>
      </c>
      <c r="D4" s="65">
        <v>1445</v>
      </c>
      <c r="E4" s="65">
        <v>375</v>
      </c>
    </row>
    <row r="5" spans="1:5">
      <c r="A5" s="65">
        <v>100118</v>
      </c>
      <c r="B5" s="66" t="s">
        <v>3599</v>
      </c>
      <c r="C5" s="66" t="s">
        <v>3600</v>
      </c>
      <c r="D5" s="65">
        <v>28</v>
      </c>
      <c r="E5" s="65">
        <v>11</v>
      </c>
    </row>
    <row r="6" spans="1:5">
      <c r="A6" s="65">
        <v>100138</v>
      </c>
      <c r="B6" s="66" t="s">
        <v>3601</v>
      </c>
      <c r="C6" s="66" t="s">
        <v>3602</v>
      </c>
      <c r="D6" s="65">
        <v>704</v>
      </c>
      <c r="E6" s="65">
        <v>128</v>
      </c>
    </row>
    <row r="7" spans="1:5">
      <c r="A7" s="65">
        <v>100173</v>
      </c>
      <c r="B7" s="66" t="s">
        <v>3603</v>
      </c>
      <c r="C7" s="66" t="s">
        <v>3604</v>
      </c>
      <c r="D7" s="65">
        <v>3</v>
      </c>
      <c r="E7" s="65">
        <v>3</v>
      </c>
    </row>
    <row r="8" spans="1:5">
      <c r="A8" s="65">
        <v>100185</v>
      </c>
      <c r="B8" s="66" t="s">
        <v>3597</v>
      </c>
      <c r="C8" s="66" t="s">
        <v>3605</v>
      </c>
      <c r="D8" s="65">
        <v>3283</v>
      </c>
      <c r="E8" s="65">
        <v>239</v>
      </c>
    </row>
    <row r="9" spans="1:5">
      <c r="A9" s="65">
        <v>1002</v>
      </c>
      <c r="B9" s="66" t="s">
        <v>3606</v>
      </c>
      <c r="C9" s="66" t="s">
        <v>3607</v>
      </c>
      <c r="D9" s="65">
        <v>3</v>
      </c>
      <c r="E9" s="65">
        <v>2</v>
      </c>
    </row>
    <row r="10" spans="1:5">
      <c r="A10" s="65">
        <v>100213</v>
      </c>
      <c r="B10" s="66" t="s">
        <v>3608</v>
      </c>
      <c r="C10" s="66" t="s">
        <v>3609</v>
      </c>
      <c r="D10" s="65">
        <v>6</v>
      </c>
      <c r="E10" s="65">
        <v>6</v>
      </c>
    </row>
    <row r="11" spans="1:5">
      <c r="A11" s="65">
        <v>100216</v>
      </c>
      <c r="B11" s="66" t="s">
        <v>3595</v>
      </c>
      <c r="C11" s="66" t="s">
        <v>3610</v>
      </c>
      <c r="D11" s="65">
        <v>71</v>
      </c>
      <c r="E11" s="65">
        <v>5</v>
      </c>
    </row>
    <row r="12" spans="1:5">
      <c r="A12" s="65">
        <v>100217</v>
      </c>
      <c r="B12" s="66" t="s">
        <v>3597</v>
      </c>
      <c r="C12" s="66" t="s">
        <v>3611</v>
      </c>
      <c r="D12" s="65">
        <v>72</v>
      </c>
      <c r="E12" s="65">
        <v>32</v>
      </c>
    </row>
    <row r="13" spans="1:5">
      <c r="A13" s="65">
        <v>100263</v>
      </c>
      <c r="B13" s="66" t="s">
        <v>3612</v>
      </c>
      <c r="C13" s="66" t="s">
        <v>3613</v>
      </c>
      <c r="D13" s="65">
        <v>1</v>
      </c>
      <c r="E13" s="65">
        <v>1</v>
      </c>
    </row>
    <row r="14" spans="1:5">
      <c r="A14" s="65">
        <v>100264</v>
      </c>
      <c r="B14" s="66" t="s">
        <v>3614</v>
      </c>
      <c r="C14" s="66" t="s">
        <v>3615</v>
      </c>
      <c r="D14" s="65">
        <v>6</v>
      </c>
      <c r="E14" s="65">
        <v>1</v>
      </c>
    </row>
    <row r="15" spans="1:5">
      <c r="A15" s="65">
        <v>100379</v>
      </c>
      <c r="B15" s="66" t="s">
        <v>3616</v>
      </c>
      <c r="C15" s="66" t="s">
        <v>3617</v>
      </c>
      <c r="D15" s="65">
        <v>5810</v>
      </c>
      <c r="E15" s="65">
        <v>432</v>
      </c>
    </row>
    <row r="16" spans="1:5">
      <c r="A16" s="65">
        <v>100382</v>
      </c>
      <c r="B16" s="66" t="s">
        <v>3618</v>
      </c>
      <c r="C16" s="66" t="s">
        <v>3619</v>
      </c>
      <c r="D16" s="65">
        <v>132</v>
      </c>
      <c r="E16" s="65">
        <v>32</v>
      </c>
    </row>
    <row r="17" spans="1:5">
      <c r="A17" s="65">
        <v>100428</v>
      </c>
      <c r="B17" s="66" t="s">
        <v>3620</v>
      </c>
      <c r="C17" s="66" t="s">
        <v>3621</v>
      </c>
      <c r="D17" s="65">
        <v>35</v>
      </c>
      <c r="E17" s="65">
        <v>13</v>
      </c>
    </row>
    <row r="18" spans="1:5">
      <c r="A18" s="65">
        <v>100459</v>
      </c>
      <c r="B18" s="66" t="s">
        <v>3601</v>
      </c>
      <c r="C18" s="66" t="s">
        <v>3622</v>
      </c>
      <c r="D18" s="65">
        <v>890</v>
      </c>
      <c r="E18" s="65">
        <v>30</v>
      </c>
    </row>
    <row r="19" spans="1:5">
      <c r="A19" s="65">
        <v>100498</v>
      </c>
      <c r="B19" s="66" t="s">
        <v>3616</v>
      </c>
      <c r="C19" s="66" t="s">
        <v>3623</v>
      </c>
      <c r="D19" s="65">
        <v>1143</v>
      </c>
      <c r="E19" s="65">
        <v>50</v>
      </c>
    </row>
    <row r="20" spans="1:5">
      <c r="A20" s="65">
        <v>100528</v>
      </c>
      <c r="B20" s="66" t="s">
        <v>3599</v>
      </c>
      <c r="C20" s="66" t="s">
        <v>3624</v>
      </c>
      <c r="D20" s="65">
        <v>5</v>
      </c>
      <c r="E20" s="65">
        <v>4</v>
      </c>
    </row>
    <row r="21" spans="1:5">
      <c r="A21" s="65">
        <v>100545</v>
      </c>
      <c r="B21" s="66" t="s">
        <v>3625</v>
      </c>
      <c r="C21" s="66" t="s">
        <v>3626</v>
      </c>
      <c r="D21" s="65">
        <v>5</v>
      </c>
      <c r="E21" s="65">
        <v>2</v>
      </c>
    </row>
    <row r="22" spans="1:5">
      <c r="A22" s="65">
        <v>100547</v>
      </c>
      <c r="B22" s="66" t="s">
        <v>3627</v>
      </c>
      <c r="C22" s="66" t="s">
        <v>3628</v>
      </c>
      <c r="D22" s="65">
        <v>10</v>
      </c>
      <c r="E22" s="65">
        <v>4</v>
      </c>
    </row>
    <row r="23" spans="1:5">
      <c r="A23" s="65">
        <v>100567</v>
      </c>
      <c r="B23" s="66" t="s">
        <v>3629</v>
      </c>
      <c r="C23" s="66" t="s">
        <v>3630</v>
      </c>
      <c r="D23" s="65">
        <v>9</v>
      </c>
      <c r="E23" s="65">
        <v>5</v>
      </c>
    </row>
    <row r="24" spans="1:5">
      <c r="A24" s="65">
        <v>100613</v>
      </c>
      <c r="B24" s="66" t="s">
        <v>3631</v>
      </c>
      <c r="C24" s="66" t="s">
        <v>3632</v>
      </c>
      <c r="D24" s="65">
        <v>111</v>
      </c>
      <c r="E24" s="65">
        <v>4</v>
      </c>
    </row>
    <row r="25" spans="1:5">
      <c r="A25" s="65">
        <v>100614</v>
      </c>
      <c r="B25" s="66" t="s">
        <v>3627</v>
      </c>
      <c r="C25" s="66" t="s">
        <v>3633</v>
      </c>
      <c r="D25" s="65">
        <v>4</v>
      </c>
      <c r="E25" s="65">
        <v>4</v>
      </c>
    </row>
    <row r="26" spans="1:5">
      <c r="A26" s="65">
        <v>100615</v>
      </c>
      <c r="B26" s="66" t="s">
        <v>3597</v>
      </c>
      <c r="C26" s="66" t="s">
        <v>3634</v>
      </c>
      <c r="D26" s="65">
        <v>21</v>
      </c>
      <c r="E26" s="65">
        <v>15</v>
      </c>
    </row>
    <row r="27" spans="1:5">
      <c r="A27" s="65">
        <v>100651</v>
      </c>
      <c r="B27" s="66" t="s">
        <v>3635</v>
      </c>
      <c r="C27" s="66" t="s">
        <v>3636</v>
      </c>
      <c r="D27" s="65">
        <v>47</v>
      </c>
      <c r="E27" s="65">
        <v>29</v>
      </c>
    </row>
    <row r="28" spans="1:5">
      <c r="A28" s="65">
        <v>100652</v>
      </c>
      <c r="B28" s="66" t="s">
        <v>3635</v>
      </c>
      <c r="C28" s="66" t="s">
        <v>3637</v>
      </c>
      <c r="D28" s="65">
        <v>9</v>
      </c>
      <c r="E28" s="65">
        <v>9</v>
      </c>
    </row>
    <row r="29" spans="1:5">
      <c r="A29" s="65">
        <v>100653</v>
      </c>
      <c r="B29" s="66" t="s">
        <v>3620</v>
      </c>
      <c r="C29" s="66" t="s">
        <v>3638</v>
      </c>
      <c r="D29" s="65">
        <v>3600</v>
      </c>
      <c r="E29" s="65">
        <v>18</v>
      </c>
    </row>
    <row r="30" spans="1:5">
      <c r="A30" s="65">
        <v>100654</v>
      </c>
      <c r="B30" s="66" t="s">
        <v>3639</v>
      </c>
      <c r="C30" s="66" t="s">
        <v>3640</v>
      </c>
      <c r="D30" s="65">
        <v>18</v>
      </c>
      <c r="E30" s="65">
        <v>7</v>
      </c>
    </row>
    <row r="31" spans="1:5">
      <c r="A31" s="65">
        <v>100660</v>
      </c>
      <c r="B31" s="66" t="s">
        <v>3641</v>
      </c>
      <c r="C31" s="66" t="s">
        <v>3642</v>
      </c>
      <c r="D31" s="65">
        <v>5</v>
      </c>
      <c r="E31" s="65">
        <v>4</v>
      </c>
    </row>
    <row r="32" spans="1:5">
      <c r="A32" s="65">
        <v>100683</v>
      </c>
      <c r="B32" s="66" t="s">
        <v>3643</v>
      </c>
      <c r="C32" s="66" t="s">
        <v>3644</v>
      </c>
      <c r="D32" s="65">
        <v>7</v>
      </c>
      <c r="E32" s="65">
        <v>5</v>
      </c>
    </row>
    <row r="33" spans="1:5">
      <c r="A33" s="65">
        <v>100684</v>
      </c>
      <c r="B33" s="66" t="s">
        <v>3627</v>
      </c>
      <c r="C33" s="66" t="s">
        <v>3645</v>
      </c>
      <c r="D33" s="65">
        <v>5</v>
      </c>
      <c r="E33" s="65">
        <v>5</v>
      </c>
    </row>
    <row r="34" spans="1:5">
      <c r="A34" s="65">
        <v>100731</v>
      </c>
      <c r="B34" s="66" t="s">
        <v>3646</v>
      </c>
      <c r="C34" s="66" t="s">
        <v>3647</v>
      </c>
      <c r="D34" s="65">
        <v>37</v>
      </c>
      <c r="E34" s="65">
        <v>9</v>
      </c>
    </row>
    <row r="35" spans="1:5">
      <c r="A35" s="65">
        <v>100732</v>
      </c>
      <c r="B35" s="66" t="s">
        <v>3601</v>
      </c>
      <c r="C35" s="66" t="s">
        <v>3648</v>
      </c>
      <c r="D35" s="65">
        <v>68</v>
      </c>
      <c r="E35" s="65">
        <v>14</v>
      </c>
    </row>
    <row r="36" spans="1:5">
      <c r="A36" s="65">
        <v>100733</v>
      </c>
      <c r="B36" s="66" t="s">
        <v>3649</v>
      </c>
      <c r="C36" s="66" t="s">
        <v>3650</v>
      </c>
      <c r="D36" s="65">
        <v>46</v>
      </c>
      <c r="E36" s="65">
        <v>8</v>
      </c>
    </row>
    <row r="37" spans="1:5">
      <c r="A37" s="65">
        <v>100748</v>
      </c>
      <c r="B37" s="66" t="s">
        <v>3635</v>
      </c>
      <c r="C37" s="66" t="s">
        <v>3651</v>
      </c>
      <c r="D37" s="65">
        <v>1</v>
      </c>
      <c r="E37" s="65">
        <v>1</v>
      </c>
    </row>
    <row r="38" spans="1:5">
      <c r="A38" s="65">
        <v>100751</v>
      </c>
      <c r="B38" s="66" t="s">
        <v>3597</v>
      </c>
      <c r="C38" s="66" t="s">
        <v>3652</v>
      </c>
      <c r="D38" s="65">
        <v>225</v>
      </c>
      <c r="E38" s="65">
        <v>71</v>
      </c>
    </row>
    <row r="39" spans="1:5">
      <c r="A39" s="65">
        <v>100752</v>
      </c>
      <c r="B39" s="66" t="s">
        <v>3646</v>
      </c>
      <c r="C39" s="66" t="s">
        <v>3653</v>
      </c>
      <c r="D39" s="65">
        <v>75</v>
      </c>
      <c r="E39" s="65">
        <v>12</v>
      </c>
    </row>
    <row r="40" spans="1:5">
      <c r="A40" s="65">
        <v>100769</v>
      </c>
      <c r="B40" s="66" t="s">
        <v>3616</v>
      </c>
      <c r="C40" s="66" t="s">
        <v>3654</v>
      </c>
      <c r="D40" s="65">
        <v>98</v>
      </c>
      <c r="E40" s="65">
        <v>51</v>
      </c>
    </row>
    <row r="41" spans="1:5">
      <c r="A41" s="65">
        <v>100770</v>
      </c>
      <c r="B41" s="66" t="s">
        <v>3616</v>
      </c>
      <c r="C41" s="66" t="s">
        <v>3655</v>
      </c>
      <c r="D41" s="65">
        <v>265</v>
      </c>
      <c r="E41" s="65">
        <v>44</v>
      </c>
    </row>
    <row r="42" spans="1:5">
      <c r="A42" s="65">
        <v>100771</v>
      </c>
      <c r="B42" s="66" t="s">
        <v>3616</v>
      </c>
      <c r="C42" s="66" t="s">
        <v>3656</v>
      </c>
      <c r="D42" s="65">
        <v>15969</v>
      </c>
      <c r="E42" s="65">
        <v>338</v>
      </c>
    </row>
    <row r="43" spans="1:5">
      <c r="A43" s="65">
        <v>100772</v>
      </c>
      <c r="B43" s="66" t="s">
        <v>3599</v>
      </c>
      <c r="C43" s="66" t="s">
        <v>3657</v>
      </c>
      <c r="D43" s="65">
        <v>100</v>
      </c>
      <c r="E43" s="65">
        <v>2</v>
      </c>
    </row>
    <row r="44" spans="1:5">
      <c r="A44" s="65">
        <v>100826</v>
      </c>
      <c r="B44" s="66" t="s">
        <v>3649</v>
      </c>
      <c r="C44" s="66" t="s">
        <v>3658</v>
      </c>
      <c r="D44" s="65">
        <v>13</v>
      </c>
      <c r="E44" s="65">
        <v>12</v>
      </c>
    </row>
    <row r="45" spans="1:5">
      <c r="A45" s="65">
        <v>100832</v>
      </c>
      <c r="B45" s="66" t="s">
        <v>3649</v>
      </c>
      <c r="C45" s="66" t="s">
        <v>3659</v>
      </c>
      <c r="D45" s="65">
        <v>25</v>
      </c>
      <c r="E45" s="65">
        <v>7</v>
      </c>
    </row>
    <row r="46" spans="1:5">
      <c r="A46" s="65">
        <v>100861</v>
      </c>
      <c r="B46" s="66" t="s">
        <v>3660</v>
      </c>
      <c r="C46" s="66" t="s">
        <v>3661</v>
      </c>
      <c r="D46" s="65">
        <v>1060</v>
      </c>
      <c r="E46" s="65">
        <v>76</v>
      </c>
    </row>
    <row r="47" spans="1:5">
      <c r="A47" s="65">
        <v>100866</v>
      </c>
      <c r="B47" s="66" t="s">
        <v>3662</v>
      </c>
      <c r="C47" s="66" t="s">
        <v>3663</v>
      </c>
      <c r="D47" s="65">
        <v>78</v>
      </c>
      <c r="E47" s="65">
        <v>13</v>
      </c>
    </row>
    <row r="48" spans="1:5">
      <c r="A48" s="65">
        <v>100875</v>
      </c>
      <c r="B48" s="66" t="s">
        <v>3597</v>
      </c>
      <c r="C48" s="66" t="s">
        <v>3664</v>
      </c>
      <c r="D48" s="65">
        <v>12309</v>
      </c>
      <c r="E48" s="65">
        <v>509</v>
      </c>
    </row>
    <row r="49" spans="1:5">
      <c r="A49" s="65">
        <v>100900</v>
      </c>
      <c r="B49" s="66" t="s">
        <v>3665</v>
      </c>
      <c r="C49" s="66" t="s">
        <v>3666</v>
      </c>
      <c r="D49" s="65">
        <v>70</v>
      </c>
      <c r="E49" s="65">
        <v>4</v>
      </c>
    </row>
    <row r="50" spans="1:5">
      <c r="A50" s="65">
        <v>100907</v>
      </c>
      <c r="B50" s="66" t="s">
        <v>3667</v>
      </c>
      <c r="C50" s="66" t="s">
        <v>3668</v>
      </c>
      <c r="D50" s="65">
        <v>62724</v>
      </c>
      <c r="E50" s="65">
        <v>579</v>
      </c>
    </row>
    <row r="51" spans="1:5">
      <c r="A51" s="65">
        <v>100928</v>
      </c>
      <c r="B51" s="66" t="s">
        <v>3597</v>
      </c>
      <c r="C51" s="66" t="s">
        <v>3669</v>
      </c>
      <c r="D51" s="65">
        <v>27</v>
      </c>
      <c r="E51" s="65">
        <v>18</v>
      </c>
    </row>
    <row r="52" spans="1:5">
      <c r="A52" s="65">
        <v>100938</v>
      </c>
      <c r="B52" s="66" t="s">
        <v>3667</v>
      </c>
      <c r="C52" s="66" t="s">
        <v>3670</v>
      </c>
      <c r="D52" s="65">
        <v>29823</v>
      </c>
      <c r="E52" s="65">
        <v>679</v>
      </c>
    </row>
    <row r="53" spans="1:5">
      <c r="A53" s="65">
        <v>100955</v>
      </c>
      <c r="B53" s="66" t="s">
        <v>3597</v>
      </c>
      <c r="C53" s="66" t="s">
        <v>3671</v>
      </c>
      <c r="D53" s="65">
        <v>3787</v>
      </c>
      <c r="E53" s="65">
        <v>261</v>
      </c>
    </row>
    <row r="54" spans="1:5">
      <c r="A54" s="65">
        <v>100965</v>
      </c>
      <c r="B54" s="66" t="s">
        <v>3627</v>
      </c>
      <c r="C54" s="66" t="s">
        <v>3672</v>
      </c>
      <c r="D54" s="65">
        <v>337</v>
      </c>
      <c r="E54" s="65">
        <v>43</v>
      </c>
    </row>
    <row r="55" spans="1:5">
      <c r="A55" s="65">
        <v>100966</v>
      </c>
      <c r="B55" s="66" t="s">
        <v>3593</v>
      </c>
      <c r="C55" s="66" t="s">
        <v>3673</v>
      </c>
      <c r="D55" s="65">
        <v>948</v>
      </c>
      <c r="E55" s="65">
        <v>32</v>
      </c>
    </row>
    <row r="56" spans="1:5">
      <c r="A56" s="65">
        <v>100970</v>
      </c>
      <c r="B56" s="66" t="s">
        <v>3635</v>
      </c>
      <c r="C56" s="66" t="s">
        <v>3674</v>
      </c>
      <c r="D56" s="65">
        <v>35</v>
      </c>
      <c r="E56" s="65">
        <v>1</v>
      </c>
    </row>
    <row r="57" spans="1:5">
      <c r="A57" s="65">
        <v>101004</v>
      </c>
      <c r="B57" s="66" t="s">
        <v>3597</v>
      </c>
      <c r="C57" s="66" t="s">
        <v>3675</v>
      </c>
      <c r="D57" s="65">
        <v>42</v>
      </c>
      <c r="E57" s="65">
        <v>10</v>
      </c>
    </row>
    <row r="58" spans="1:5">
      <c r="A58" s="65">
        <v>101009</v>
      </c>
      <c r="B58" s="66" t="s">
        <v>3641</v>
      </c>
      <c r="C58" s="66" t="s">
        <v>3676</v>
      </c>
      <c r="D58" s="65">
        <v>8</v>
      </c>
      <c r="E58" s="65">
        <v>1</v>
      </c>
    </row>
    <row r="59" spans="1:5">
      <c r="A59" s="65">
        <v>101017</v>
      </c>
      <c r="B59" s="66" t="s">
        <v>3677</v>
      </c>
      <c r="C59" s="66" t="s">
        <v>3678</v>
      </c>
      <c r="D59" s="65">
        <v>16</v>
      </c>
      <c r="E59" s="65">
        <v>15</v>
      </c>
    </row>
    <row r="60" spans="1:5">
      <c r="A60" s="65">
        <v>101018</v>
      </c>
      <c r="B60" s="66" t="s">
        <v>3606</v>
      </c>
      <c r="C60" s="66" t="s">
        <v>3679</v>
      </c>
      <c r="D60" s="65">
        <v>20</v>
      </c>
      <c r="E60" s="65">
        <v>20</v>
      </c>
    </row>
    <row r="61" spans="1:5">
      <c r="A61" s="65">
        <v>101019</v>
      </c>
      <c r="B61" s="66" t="s">
        <v>3635</v>
      </c>
      <c r="C61" s="66" t="s">
        <v>3680</v>
      </c>
      <c r="D61" s="65">
        <v>33</v>
      </c>
      <c r="E61" s="65">
        <v>26</v>
      </c>
    </row>
    <row r="62" spans="1:5">
      <c r="A62" s="65">
        <v>101026</v>
      </c>
      <c r="B62" s="66" t="s">
        <v>3620</v>
      </c>
      <c r="C62" s="66" t="s">
        <v>3681</v>
      </c>
      <c r="D62" s="65">
        <v>13</v>
      </c>
      <c r="E62" s="65">
        <v>7</v>
      </c>
    </row>
    <row r="63" spans="1:5">
      <c r="A63" s="65">
        <v>101027</v>
      </c>
      <c r="B63" s="66" t="s">
        <v>3620</v>
      </c>
      <c r="C63" s="66" t="s">
        <v>3682</v>
      </c>
      <c r="D63" s="65">
        <v>7</v>
      </c>
      <c r="E63" s="65">
        <v>4</v>
      </c>
    </row>
    <row r="64" spans="1:5">
      <c r="A64" s="65">
        <v>101033</v>
      </c>
      <c r="B64" s="66" t="s">
        <v>3597</v>
      </c>
      <c r="C64" s="66" t="s">
        <v>3683</v>
      </c>
      <c r="D64" s="65">
        <v>43</v>
      </c>
      <c r="E64" s="65">
        <v>4</v>
      </c>
    </row>
    <row r="65" spans="1:5">
      <c r="A65" s="65">
        <v>1011</v>
      </c>
      <c r="B65" s="66" t="s">
        <v>3593</v>
      </c>
      <c r="C65" s="66" t="s">
        <v>3684</v>
      </c>
      <c r="D65" s="65">
        <v>137</v>
      </c>
      <c r="E65" s="65">
        <v>36</v>
      </c>
    </row>
    <row r="66" spans="1:5">
      <c r="A66" s="65">
        <v>101109</v>
      </c>
      <c r="B66" s="66" t="s">
        <v>3597</v>
      </c>
      <c r="C66" s="66" t="s">
        <v>3685</v>
      </c>
      <c r="D66" s="65">
        <v>578</v>
      </c>
      <c r="E66" s="65">
        <v>76</v>
      </c>
    </row>
    <row r="67" spans="1:5">
      <c r="A67" s="65">
        <v>101123</v>
      </c>
      <c r="B67" s="66" t="s">
        <v>3612</v>
      </c>
      <c r="C67" s="66" t="s">
        <v>3686</v>
      </c>
      <c r="D67" s="65">
        <v>4</v>
      </c>
      <c r="E67" s="65">
        <v>3</v>
      </c>
    </row>
    <row r="68" spans="1:5">
      <c r="A68" s="65">
        <v>101174</v>
      </c>
      <c r="B68" s="66" t="s">
        <v>3599</v>
      </c>
      <c r="C68" s="66" t="s">
        <v>3687</v>
      </c>
      <c r="D68" s="65">
        <v>4</v>
      </c>
      <c r="E68" s="65">
        <v>2</v>
      </c>
    </row>
    <row r="69" spans="1:5">
      <c r="A69" s="65">
        <v>101175</v>
      </c>
      <c r="B69" s="66" t="s">
        <v>3639</v>
      </c>
      <c r="C69" s="66" t="s">
        <v>3688</v>
      </c>
      <c r="D69" s="65">
        <v>3</v>
      </c>
      <c r="E69" s="65">
        <v>3</v>
      </c>
    </row>
    <row r="70" spans="1:5">
      <c r="A70" s="65">
        <v>101176</v>
      </c>
      <c r="B70" s="66" t="s">
        <v>3689</v>
      </c>
      <c r="C70" s="66" t="s">
        <v>3690</v>
      </c>
      <c r="D70" s="65">
        <v>5</v>
      </c>
      <c r="E70" s="65">
        <v>4</v>
      </c>
    </row>
    <row r="71" spans="1:5">
      <c r="A71" s="65">
        <v>101177</v>
      </c>
      <c r="B71" s="66" t="s">
        <v>3593</v>
      </c>
      <c r="C71" s="66" t="s">
        <v>3691</v>
      </c>
      <c r="D71" s="65">
        <v>7</v>
      </c>
      <c r="E71" s="65">
        <v>5</v>
      </c>
    </row>
    <row r="72" spans="1:5">
      <c r="A72" s="65">
        <v>101178</v>
      </c>
      <c r="B72" s="66" t="s">
        <v>3593</v>
      </c>
      <c r="C72" s="66" t="s">
        <v>3692</v>
      </c>
      <c r="D72" s="65">
        <v>7</v>
      </c>
      <c r="E72" s="65">
        <v>5</v>
      </c>
    </row>
    <row r="73" spans="1:5">
      <c r="A73" s="65">
        <v>101179</v>
      </c>
      <c r="B73" s="66" t="s">
        <v>3599</v>
      </c>
      <c r="C73" s="66" t="s">
        <v>3693</v>
      </c>
      <c r="D73" s="65">
        <v>8</v>
      </c>
      <c r="E73" s="65">
        <v>5</v>
      </c>
    </row>
    <row r="74" spans="1:5">
      <c r="A74" s="65">
        <v>101180</v>
      </c>
      <c r="B74" s="66" t="s">
        <v>3597</v>
      </c>
      <c r="C74" s="66" t="s">
        <v>3694</v>
      </c>
      <c r="D74" s="65">
        <v>5</v>
      </c>
      <c r="E74" s="65">
        <v>4</v>
      </c>
    </row>
    <row r="75" spans="1:5">
      <c r="A75" s="65">
        <v>101185</v>
      </c>
      <c r="B75" s="66" t="s">
        <v>3689</v>
      </c>
      <c r="C75" s="66" t="s">
        <v>3695</v>
      </c>
      <c r="D75" s="65">
        <v>2</v>
      </c>
      <c r="E75" s="65">
        <v>1</v>
      </c>
    </row>
    <row r="76" spans="1:5">
      <c r="A76" s="65">
        <v>101187</v>
      </c>
      <c r="B76" s="66" t="s">
        <v>3616</v>
      </c>
      <c r="C76" s="66" t="s">
        <v>3696</v>
      </c>
      <c r="D76" s="65">
        <v>231</v>
      </c>
      <c r="E76" s="65">
        <v>112</v>
      </c>
    </row>
    <row r="77" spans="1:5">
      <c r="A77" s="65">
        <v>101189</v>
      </c>
      <c r="B77" s="66" t="s">
        <v>3697</v>
      </c>
      <c r="C77" s="66" t="s">
        <v>3698</v>
      </c>
      <c r="D77" s="65">
        <v>2</v>
      </c>
      <c r="E77" s="65">
        <v>2</v>
      </c>
    </row>
    <row r="78" spans="1:5">
      <c r="A78" s="65">
        <v>101190</v>
      </c>
      <c r="B78" s="66" t="s">
        <v>3697</v>
      </c>
      <c r="C78" s="66" t="s">
        <v>3699</v>
      </c>
      <c r="D78" s="65">
        <v>2</v>
      </c>
      <c r="E78" s="65">
        <v>2</v>
      </c>
    </row>
    <row r="79" spans="1:5">
      <c r="A79" s="65">
        <v>1012</v>
      </c>
      <c r="B79" s="66" t="s">
        <v>3593</v>
      </c>
      <c r="C79" s="66" t="s">
        <v>3700</v>
      </c>
      <c r="D79" s="65">
        <v>229</v>
      </c>
      <c r="E79" s="65">
        <v>11</v>
      </c>
    </row>
    <row r="80" spans="1:5">
      <c r="A80" s="65">
        <v>101210</v>
      </c>
      <c r="B80" s="66" t="s">
        <v>3597</v>
      </c>
      <c r="C80" s="66" t="s">
        <v>3701</v>
      </c>
      <c r="D80" s="65">
        <v>16</v>
      </c>
      <c r="E80" s="65">
        <v>3</v>
      </c>
    </row>
    <row r="81" spans="1:5">
      <c r="A81" s="65">
        <v>101221</v>
      </c>
      <c r="B81" s="66" t="s">
        <v>3593</v>
      </c>
      <c r="C81" s="66" t="s">
        <v>3702</v>
      </c>
      <c r="D81" s="65">
        <v>16</v>
      </c>
      <c r="E81" s="65">
        <v>7</v>
      </c>
    </row>
    <row r="82" spans="1:5">
      <c r="A82" s="65">
        <v>101225</v>
      </c>
      <c r="B82" s="66" t="s">
        <v>3612</v>
      </c>
      <c r="C82" s="66" t="s">
        <v>3703</v>
      </c>
      <c r="D82" s="65">
        <v>25</v>
      </c>
      <c r="E82" s="65">
        <v>1</v>
      </c>
    </row>
    <row r="83" spans="1:5">
      <c r="A83" s="65">
        <v>101245</v>
      </c>
      <c r="B83" s="66" t="s">
        <v>3597</v>
      </c>
      <c r="C83" s="66" t="s">
        <v>3704</v>
      </c>
      <c r="D83" s="65">
        <v>7779</v>
      </c>
      <c r="E83" s="65">
        <v>188</v>
      </c>
    </row>
    <row r="84" spans="1:5">
      <c r="A84" s="65">
        <v>101246</v>
      </c>
      <c r="B84" s="66" t="s">
        <v>3627</v>
      </c>
      <c r="C84" s="66" t="s">
        <v>3705</v>
      </c>
      <c r="D84" s="65">
        <v>2120</v>
      </c>
      <c r="E84" s="65">
        <v>54</v>
      </c>
    </row>
    <row r="85" spans="1:5">
      <c r="A85" s="65">
        <v>101247</v>
      </c>
      <c r="B85" s="66" t="s">
        <v>3665</v>
      </c>
      <c r="C85" s="66" t="s">
        <v>3706</v>
      </c>
      <c r="D85" s="65">
        <v>15</v>
      </c>
      <c r="E85" s="65">
        <v>2</v>
      </c>
    </row>
    <row r="86" spans="1:5">
      <c r="A86" s="65">
        <v>101249</v>
      </c>
      <c r="B86" s="66" t="s">
        <v>3649</v>
      </c>
      <c r="C86" s="66" t="s">
        <v>3707</v>
      </c>
      <c r="D86" s="65">
        <v>12</v>
      </c>
      <c r="E86" s="65">
        <v>12</v>
      </c>
    </row>
    <row r="87" spans="1:5">
      <c r="A87" s="65">
        <v>101265</v>
      </c>
      <c r="B87" s="66" t="s">
        <v>3608</v>
      </c>
      <c r="C87" s="66" t="s">
        <v>3708</v>
      </c>
      <c r="D87" s="65">
        <v>760</v>
      </c>
      <c r="E87" s="65">
        <v>17</v>
      </c>
    </row>
    <row r="88" spans="1:5">
      <c r="A88" s="65">
        <v>101270</v>
      </c>
      <c r="B88" s="66" t="s">
        <v>3709</v>
      </c>
      <c r="C88" s="66" t="s">
        <v>3710</v>
      </c>
      <c r="D88" s="65">
        <v>6</v>
      </c>
      <c r="E88" s="65">
        <v>1</v>
      </c>
    </row>
    <row r="89" spans="1:5">
      <c r="A89" s="65">
        <v>101304</v>
      </c>
      <c r="B89" s="66" t="s">
        <v>3618</v>
      </c>
      <c r="C89" s="66" t="s">
        <v>3711</v>
      </c>
      <c r="D89" s="65">
        <v>770</v>
      </c>
      <c r="E89" s="65">
        <v>21</v>
      </c>
    </row>
    <row r="90" spans="1:5">
      <c r="A90" s="65">
        <v>101321</v>
      </c>
      <c r="B90" s="66" t="s">
        <v>3593</v>
      </c>
      <c r="C90" s="66" t="s">
        <v>3712</v>
      </c>
      <c r="D90" s="65">
        <v>5999</v>
      </c>
      <c r="E90" s="65">
        <v>238</v>
      </c>
    </row>
    <row r="91" spans="1:5">
      <c r="A91" s="65">
        <v>101324</v>
      </c>
      <c r="B91" s="66" t="s">
        <v>3713</v>
      </c>
      <c r="C91" s="66" t="s">
        <v>3714</v>
      </c>
      <c r="D91" s="65">
        <v>66</v>
      </c>
      <c r="E91" s="65">
        <v>7</v>
      </c>
    </row>
    <row r="92" spans="1:5">
      <c r="A92" s="65">
        <v>101344</v>
      </c>
      <c r="B92" s="66" t="s">
        <v>3689</v>
      </c>
      <c r="C92" s="66" t="s">
        <v>3715</v>
      </c>
      <c r="D92" s="65">
        <v>6</v>
      </c>
      <c r="E92" s="65">
        <v>1</v>
      </c>
    </row>
    <row r="93" spans="1:5">
      <c r="A93" s="65">
        <v>101391</v>
      </c>
      <c r="B93" s="66" t="s">
        <v>3601</v>
      </c>
      <c r="C93" s="66" t="s">
        <v>3716</v>
      </c>
      <c r="D93" s="65">
        <v>42</v>
      </c>
      <c r="E93" s="65">
        <v>15</v>
      </c>
    </row>
    <row r="94" spans="1:5">
      <c r="A94" s="65">
        <v>101413</v>
      </c>
      <c r="B94" s="66" t="s">
        <v>3593</v>
      </c>
      <c r="C94" s="66" t="s">
        <v>3717</v>
      </c>
      <c r="D94" s="65">
        <v>64</v>
      </c>
      <c r="E94" s="65">
        <v>12</v>
      </c>
    </row>
    <row r="95" spans="1:5">
      <c r="A95" s="65">
        <v>101418</v>
      </c>
      <c r="B95" s="66" t="s">
        <v>3599</v>
      </c>
      <c r="C95" s="66" t="s">
        <v>3718</v>
      </c>
      <c r="D95" s="65">
        <v>4</v>
      </c>
      <c r="E95" s="65">
        <v>4</v>
      </c>
    </row>
    <row r="96" spans="1:5">
      <c r="A96" s="65">
        <v>101440</v>
      </c>
      <c r="B96" s="66" t="s">
        <v>3593</v>
      </c>
      <c r="C96" s="66" t="s">
        <v>3719</v>
      </c>
      <c r="D96" s="65">
        <v>38</v>
      </c>
      <c r="E96" s="65">
        <v>17</v>
      </c>
    </row>
    <row r="97" spans="1:5">
      <c r="A97" s="65">
        <v>101441</v>
      </c>
      <c r="B97" s="66" t="s">
        <v>3593</v>
      </c>
      <c r="C97" s="66" t="s">
        <v>3720</v>
      </c>
      <c r="D97" s="65">
        <v>39</v>
      </c>
      <c r="E97" s="65">
        <v>21</v>
      </c>
    </row>
    <row r="98" spans="1:5">
      <c r="A98" s="65">
        <v>101442</v>
      </c>
      <c r="B98" s="66" t="s">
        <v>3593</v>
      </c>
      <c r="C98" s="66" t="s">
        <v>3721</v>
      </c>
      <c r="D98" s="65">
        <v>23</v>
      </c>
      <c r="E98" s="65">
        <v>10</v>
      </c>
    </row>
    <row r="99" spans="1:5">
      <c r="A99" s="65">
        <v>101443</v>
      </c>
      <c r="B99" s="66" t="s">
        <v>3601</v>
      </c>
      <c r="C99" s="66" t="s">
        <v>3722</v>
      </c>
      <c r="D99" s="65">
        <v>34</v>
      </c>
      <c r="E99" s="65">
        <v>21</v>
      </c>
    </row>
    <row r="100" spans="1:5">
      <c r="A100" s="65">
        <v>101545</v>
      </c>
      <c r="B100" s="66" t="s">
        <v>3620</v>
      </c>
      <c r="C100" s="66" t="s">
        <v>3723</v>
      </c>
      <c r="D100" s="65">
        <v>161</v>
      </c>
      <c r="E100" s="65">
        <v>35</v>
      </c>
    </row>
    <row r="101" spans="1:5">
      <c r="A101" s="65">
        <v>101601</v>
      </c>
      <c r="B101" s="66" t="s">
        <v>3724</v>
      </c>
      <c r="C101" s="66" t="s">
        <v>3725</v>
      </c>
      <c r="D101" s="65">
        <v>2</v>
      </c>
      <c r="E101" s="65">
        <v>2</v>
      </c>
    </row>
    <row r="102" spans="1:5">
      <c r="A102" s="65">
        <v>101632</v>
      </c>
      <c r="B102" s="66" t="s">
        <v>3597</v>
      </c>
      <c r="C102" s="66" t="s">
        <v>3726</v>
      </c>
      <c r="D102" s="65">
        <v>12</v>
      </c>
      <c r="E102" s="65">
        <v>7</v>
      </c>
    </row>
    <row r="103" spans="1:5">
      <c r="A103" s="65">
        <v>101633</v>
      </c>
      <c r="B103" s="66" t="s">
        <v>3597</v>
      </c>
      <c r="C103" s="66" t="s">
        <v>3727</v>
      </c>
      <c r="D103" s="65">
        <v>33</v>
      </c>
      <c r="E103" s="65">
        <v>26</v>
      </c>
    </row>
    <row r="104" spans="1:5">
      <c r="A104" s="65">
        <v>101738</v>
      </c>
      <c r="B104" s="66" t="s">
        <v>3646</v>
      </c>
      <c r="C104" s="66" t="s">
        <v>3728</v>
      </c>
      <c r="D104" s="65">
        <v>17</v>
      </c>
      <c r="E104" s="65">
        <v>4</v>
      </c>
    </row>
    <row r="105" spans="1:5">
      <c r="A105" s="65">
        <v>101741</v>
      </c>
      <c r="B105" s="66" t="s">
        <v>3646</v>
      </c>
      <c r="C105" s="66" t="s">
        <v>3729</v>
      </c>
      <c r="D105" s="65">
        <v>39</v>
      </c>
      <c r="E105" s="65">
        <v>11</v>
      </c>
    </row>
    <row r="106" spans="1:5">
      <c r="A106" s="65">
        <v>1022</v>
      </c>
      <c r="B106" s="66" t="s">
        <v>3643</v>
      </c>
      <c r="C106" s="66" t="s">
        <v>3730</v>
      </c>
      <c r="D106" s="65">
        <v>3</v>
      </c>
      <c r="E106" s="65">
        <v>3</v>
      </c>
    </row>
    <row r="107" spans="1:5">
      <c r="A107" s="65">
        <v>10223</v>
      </c>
      <c r="B107" s="66" t="s">
        <v>3731</v>
      </c>
      <c r="C107" s="66" t="s">
        <v>3732</v>
      </c>
      <c r="D107" s="65">
        <v>2</v>
      </c>
      <c r="E107" s="65">
        <v>1</v>
      </c>
    </row>
    <row r="108" spans="1:5">
      <c r="A108" s="65">
        <v>10227</v>
      </c>
      <c r="B108" s="66" t="s">
        <v>3601</v>
      </c>
      <c r="C108" s="66" t="s">
        <v>3733</v>
      </c>
      <c r="D108" s="65">
        <v>37</v>
      </c>
      <c r="E108" s="65">
        <v>19</v>
      </c>
    </row>
    <row r="109" spans="1:5">
      <c r="A109" s="65">
        <v>102792</v>
      </c>
      <c r="B109" s="66" t="s">
        <v>3612</v>
      </c>
      <c r="C109" s="66" t="s">
        <v>3734</v>
      </c>
      <c r="D109" s="65">
        <v>34</v>
      </c>
      <c r="E109" s="65">
        <v>8</v>
      </c>
    </row>
    <row r="110" spans="1:5">
      <c r="A110" s="65">
        <v>102830</v>
      </c>
      <c r="B110" s="66" t="s">
        <v>3593</v>
      </c>
      <c r="C110" s="66" t="s">
        <v>3735</v>
      </c>
      <c r="D110" s="65">
        <v>2106</v>
      </c>
      <c r="E110" s="65">
        <v>6</v>
      </c>
    </row>
    <row r="111" spans="1:5">
      <c r="A111" s="65">
        <v>102965</v>
      </c>
      <c r="B111" s="66" t="s">
        <v>3649</v>
      </c>
      <c r="C111" s="66" t="s">
        <v>3736</v>
      </c>
      <c r="D111" s="65">
        <v>275</v>
      </c>
      <c r="E111" s="65">
        <v>59</v>
      </c>
    </row>
    <row r="112" spans="1:5">
      <c r="A112" s="65">
        <v>102981</v>
      </c>
      <c r="B112" s="66" t="s">
        <v>3601</v>
      </c>
      <c r="C112" s="66" t="s">
        <v>3737</v>
      </c>
      <c r="D112" s="65">
        <v>7307</v>
      </c>
      <c r="E112" s="65">
        <v>28</v>
      </c>
    </row>
    <row r="113" spans="1:5">
      <c r="A113" s="65">
        <v>10299</v>
      </c>
      <c r="B113" s="66" t="s">
        <v>3625</v>
      </c>
      <c r="C113" s="66" t="s">
        <v>3738</v>
      </c>
      <c r="D113" s="65">
        <v>1</v>
      </c>
      <c r="E113" s="65">
        <v>1</v>
      </c>
    </row>
    <row r="114" spans="1:5">
      <c r="A114" s="65">
        <v>1030</v>
      </c>
      <c r="B114" s="66" t="s">
        <v>3739</v>
      </c>
      <c r="C114" s="66" t="s">
        <v>3740</v>
      </c>
      <c r="D114" s="65">
        <v>1280</v>
      </c>
      <c r="E114" s="65">
        <v>22</v>
      </c>
    </row>
    <row r="115" spans="1:5">
      <c r="A115" s="65">
        <v>103106</v>
      </c>
      <c r="B115" s="66" t="s">
        <v>3601</v>
      </c>
      <c r="C115" s="66" t="s">
        <v>3741</v>
      </c>
      <c r="D115" s="65">
        <v>37</v>
      </c>
      <c r="E115" s="65">
        <v>13</v>
      </c>
    </row>
    <row r="116" spans="1:5">
      <c r="A116" s="65">
        <v>103115</v>
      </c>
      <c r="B116" s="66" t="s">
        <v>3742</v>
      </c>
      <c r="C116" s="66" t="s">
        <v>3743</v>
      </c>
      <c r="D116" s="65">
        <v>1057</v>
      </c>
      <c r="E116" s="65">
        <v>42</v>
      </c>
    </row>
    <row r="117" spans="1:5">
      <c r="A117" s="65">
        <v>103226</v>
      </c>
      <c r="B117" s="66" t="s">
        <v>3616</v>
      </c>
      <c r="C117" s="66" t="s">
        <v>3744</v>
      </c>
      <c r="D117" s="65">
        <v>4045</v>
      </c>
      <c r="E117" s="65">
        <v>243</v>
      </c>
    </row>
    <row r="118" spans="1:5">
      <c r="A118" s="65">
        <v>103236</v>
      </c>
      <c r="B118" s="66" t="s">
        <v>3593</v>
      </c>
      <c r="C118" s="66" t="s">
        <v>3745</v>
      </c>
      <c r="D118" s="65">
        <v>1357</v>
      </c>
      <c r="E118" s="65">
        <v>18</v>
      </c>
    </row>
    <row r="119" spans="1:5">
      <c r="A119" s="65">
        <v>1034</v>
      </c>
      <c r="B119" s="66" t="s">
        <v>3627</v>
      </c>
      <c r="C119" s="66" t="s">
        <v>3746</v>
      </c>
      <c r="D119" s="65">
        <v>284</v>
      </c>
      <c r="E119" s="65">
        <v>31</v>
      </c>
    </row>
    <row r="120" spans="1:5">
      <c r="A120" s="65">
        <v>104</v>
      </c>
      <c r="B120" s="66" t="s">
        <v>3747</v>
      </c>
      <c r="C120" s="66" t="s">
        <v>3748</v>
      </c>
      <c r="D120" s="65">
        <v>72</v>
      </c>
      <c r="E120" s="65">
        <v>3</v>
      </c>
    </row>
    <row r="121" spans="1:5">
      <c r="A121" s="65">
        <v>10447</v>
      </c>
      <c r="B121" s="66" t="s">
        <v>3749</v>
      </c>
      <c r="C121" s="66" t="s">
        <v>3750</v>
      </c>
      <c r="D121" s="65">
        <v>20</v>
      </c>
      <c r="E121" s="65">
        <v>1</v>
      </c>
    </row>
    <row r="122" spans="1:5">
      <c r="A122" s="65">
        <v>104492</v>
      </c>
      <c r="B122" s="66" t="s">
        <v>3597</v>
      </c>
      <c r="C122" s="66" t="s">
        <v>3751</v>
      </c>
      <c r="D122" s="65">
        <v>4</v>
      </c>
      <c r="E122" s="65">
        <v>4</v>
      </c>
    </row>
    <row r="123" spans="1:5">
      <c r="A123" s="65">
        <v>104493</v>
      </c>
      <c r="B123" s="66" t="s">
        <v>3597</v>
      </c>
      <c r="C123" s="66" t="s">
        <v>3752</v>
      </c>
      <c r="D123" s="65">
        <v>6</v>
      </c>
      <c r="E123" s="65">
        <v>3</v>
      </c>
    </row>
    <row r="124" spans="1:5">
      <c r="A124" s="65">
        <v>10451</v>
      </c>
      <c r="B124" s="66" t="s">
        <v>3597</v>
      </c>
      <c r="C124" s="66" t="s">
        <v>3753</v>
      </c>
      <c r="D124" s="65">
        <v>25</v>
      </c>
      <c r="E124" s="65">
        <v>5</v>
      </c>
    </row>
    <row r="125" spans="1:5">
      <c r="A125" s="65">
        <v>104533</v>
      </c>
      <c r="B125" s="66" t="s">
        <v>3625</v>
      </c>
      <c r="C125" s="66" t="s">
        <v>3754</v>
      </c>
      <c r="D125" s="65">
        <v>8</v>
      </c>
      <c r="E125" s="65">
        <v>1</v>
      </c>
    </row>
    <row r="126" spans="1:5">
      <c r="A126" s="65">
        <v>104534</v>
      </c>
      <c r="B126" s="66" t="s">
        <v>3597</v>
      </c>
      <c r="C126" s="66" t="s">
        <v>3755</v>
      </c>
      <c r="D126" s="65">
        <v>91</v>
      </c>
      <c r="E126" s="65">
        <v>25</v>
      </c>
    </row>
    <row r="127" spans="1:5">
      <c r="A127" s="65">
        <v>104554</v>
      </c>
      <c r="B127" s="66" t="s">
        <v>3597</v>
      </c>
      <c r="C127" s="66" t="s">
        <v>3756</v>
      </c>
      <c r="D127" s="65">
        <v>7120</v>
      </c>
      <c r="E127" s="65">
        <v>93</v>
      </c>
    </row>
    <row r="128" spans="1:5">
      <c r="A128" s="65">
        <v>104613</v>
      </c>
      <c r="B128" s="66" t="s">
        <v>3593</v>
      </c>
      <c r="C128" s="66" t="s">
        <v>3757</v>
      </c>
      <c r="D128" s="65">
        <v>84</v>
      </c>
      <c r="E128" s="65">
        <v>34</v>
      </c>
    </row>
    <row r="129" spans="1:5">
      <c r="A129" s="65">
        <v>104614</v>
      </c>
      <c r="B129" s="66" t="s">
        <v>3593</v>
      </c>
      <c r="C129" s="66" t="s">
        <v>3758</v>
      </c>
      <c r="D129" s="65">
        <v>24</v>
      </c>
      <c r="E129" s="65">
        <v>11</v>
      </c>
    </row>
    <row r="130" spans="1:5">
      <c r="A130" s="65">
        <v>10464</v>
      </c>
      <c r="B130" s="66" t="s">
        <v>3649</v>
      </c>
      <c r="C130" s="66" t="s">
        <v>3759</v>
      </c>
      <c r="D130" s="65">
        <v>916</v>
      </c>
      <c r="E130" s="65">
        <v>65</v>
      </c>
    </row>
    <row r="131" spans="1:5">
      <c r="A131" s="65">
        <v>104657</v>
      </c>
      <c r="B131" s="66" t="s">
        <v>3760</v>
      </c>
      <c r="C131" s="66" t="s">
        <v>3761</v>
      </c>
      <c r="D131" s="65">
        <v>1</v>
      </c>
      <c r="E131" s="65">
        <v>1</v>
      </c>
    </row>
    <row r="132" spans="1:5">
      <c r="A132" s="65">
        <v>104727</v>
      </c>
      <c r="B132" s="66" t="s">
        <v>3593</v>
      </c>
      <c r="C132" s="66" t="s">
        <v>3762</v>
      </c>
      <c r="D132" s="65">
        <v>81</v>
      </c>
      <c r="E132" s="65">
        <v>61</v>
      </c>
    </row>
    <row r="133" spans="1:5">
      <c r="A133" s="65">
        <v>10474</v>
      </c>
      <c r="B133" s="66" t="s">
        <v>3763</v>
      </c>
      <c r="C133" s="66" t="s">
        <v>3764</v>
      </c>
      <c r="D133" s="65">
        <v>6</v>
      </c>
      <c r="E133" s="65">
        <v>4</v>
      </c>
    </row>
    <row r="134" spans="1:5">
      <c r="A134" s="65">
        <v>104772</v>
      </c>
      <c r="B134" s="66" t="s">
        <v>3765</v>
      </c>
      <c r="C134" s="66" t="s">
        <v>3766</v>
      </c>
      <c r="D134" s="65">
        <v>3</v>
      </c>
      <c r="E134" s="65">
        <v>1</v>
      </c>
    </row>
    <row r="135" spans="1:5">
      <c r="A135" s="65">
        <v>104816</v>
      </c>
      <c r="B135" s="66" t="s">
        <v>3599</v>
      </c>
      <c r="C135" s="66" t="s">
        <v>3767</v>
      </c>
      <c r="D135" s="65">
        <v>2</v>
      </c>
      <c r="E135" s="65">
        <v>2</v>
      </c>
    </row>
    <row r="136" spans="1:5">
      <c r="A136" s="65">
        <v>104963</v>
      </c>
      <c r="B136" s="66" t="s">
        <v>3601</v>
      </c>
      <c r="C136" s="66" t="s">
        <v>3768</v>
      </c>
      <c r="D136" s="65">
        <v>14</v>
      </c>
      <c r="E136" s="65">
        <v>7</v>
      </c>
    </row>
    <row r="137" spans="1:5">
      <c r="A137" s="65">
        <v>104970</v>
      </c>
      <c r="B137" s="66" t="s">
        <v>3627</v>
      </c>
      <c r="C137" s="66" t="s">
        <v>3769</v>
      </c>
      <c r="D137" s="65">
        <v>300</v>
      </c>
      <c r="E137" s="65">
        <v>10</v>
      </c>
    </row>
    <row r="138" spans="1:5">
      <c r="A138" s="65">
        <v>104971</v>
      </c>
      <c r="B138" s="66" t="s">
        <v>3770</v>
      </c>
      <c r="C138" s="66" t="s">
        <v>3771</v>
      </c>
      <c r="D138" s="65">
        <v>16</v>
      </c>
      <c r="E138" s="65">
        <v>5</v>
      </c>
    </row>
    <row r="139" spans="1:5">
      <c r="A139" s="65">
        <v>105</v>
      </c>
      <c r="B139" s="66" t="s">
        <v>3772</v>
      </c>
      <c r="C139" s="66" t="s">
        <v>3773</v>
      </c>
      <c r="D139" s="65">
        <v>1635</v>
      </c>
      <c r="E139" s="65">
        <v>95</v>
      </c>
    </row>
    <row r="140" spans="1:5">
      <c r="A140" s="65">
        <v>1050</v>
      </c>
      <c r="B140" s="66" t="s">
        <v>3689</v>
      </c>
      <c r="C140" s="66" t="s">
        <v>3774</v>
      </c>
      <c r="D140" s="65">
        <v>4</v>
      </c>
      <c r="E140" s="65">
        <v>3</v>
      </c>
    </row>
    <row r="141" spans="1:5">
      <c r="A141" s="65">
        <v>105010</v>
      </c>
      <c r="B141" s="66" t="s">
        <v>3775</v>
      </c>
      <c r="C141" s="66" t="s">
        <v>3776</v>
      </c>
      <c r="D141" s="65">
        <v>13</v>
      </c>
      <c r="E141" s="65">
        <v>5</v>
      </c>
    </row>
    <row r="142" spans="1:5">
      <c r="A142" s="65">
        <v>105033</v>
      </c>
      <c r="B142" s="66" t="s">
        <v>3777</v>
      </c>
      <c r="C142" s="66" t="s">
        <v>3778</v>
      </c>
      <c r="D142" s="65">
        <v>15</v>
      </c>
      <c r="E142" s="65">
        <v>13</v>
      </c>
    </row>
    <row r="143" spans="1:5">
      <c r="A143" s="65">
        <v>105034</v>
      </c>
      <c r="B143" s="66" t="s">
        <v>3779</v>
      </c>
      <c r="C143" s="66" t="s">
        <v>3780</v>
      </c>
      <c r="D143" s="65">
        <v>3</v>
      </c>
      <c r="E143" s="65">
        <v>3</v>
      </c>
    </row>
    <row r="144" spans="1:5">
      <c r="A144" s="65">
        <v>105079</v>
      </c>
      <c r="B144" s="66" t="s">
        <v>3614</v>
      </c>
      <c r="C144" s="66" t="s">
        <v>3781</v>
      </c>
      <c r="D144" s="65">
        <v>425</v>
      </c>
      <c r="E144" s="65">
        <v>61</v>
      </c>
    </row>
    <row r="145" spans="1:5">
      <c r="A145" s="65">
        <v>105097</v>
      </c>
      <c r="B145" s="66" t="s">
        <v>3649</v>
      </c>
      <c r="C145" s="66" t="s">
        <v>3782</v>
      </c>
      <c r="D145" s="65">
        <v>89</v>
      </c>
      <c r="E145" s="65">
        <v>20</v>
      </c>
    </row>
    <row r="146" spans="1:5">
      <c r="A146" s="65">
        <v>105102</v>
      </c>
      <c r="B146" s="66" t="s">
        <v>3783</v>
      </c>
      <c r="C146" s="66" t="s">
        <v>3784</v>
      </c>
      <c r="D146" s="65">
        <v>126</v>
      </c>
      <c r="E146" s="65">
        <v>25</v>
      </c>
    </row>
    <row r="147" spans="1:5">
      <c r="A147" s="65">
        <v>105106</v>
      </c>
      <c r="B147" s="66" t="s">
        <v>3597</v>
      </c>
      <c r="C147" s="66" t="s">
        <v>3785</v>
      </c>
      <c r="D147" s="65">
        <v>42</v>
      </c>
      <c r="E147" s="65">
        <v>7</v>
      </c>
    </row>
    <row r="148" spans="1:5">
      <c r="A148" s="65">
        <v>105149</v>
      </c>
      <c r="B148" s="66" t="s">
        <v>3786</v>
      </c>
      <c r="C148" s="66" t="s">
        <v>3787</v>
      </c>
      <c r="D148" s="65">
        <v>4</v>
      </c>
      <c r="E148" s="65">
        <v>1</v>
      </c>
    </row>
    <row r="149" spans="1:5">
      <c r="A149" s="65">
        <v>105212</v>
      </c>
      <c r="B149" s="66" t="s">
        <v>3641</v>
      </c>
      <c r="C149" s="66" t="s">
        <v>3788</v>
      </c>
      <c r="D149" s="65">
        <v>14</v>
      </c>
      <c r="E149" s="65">
        <v>14</v>
      </c>
    </row>
    <row r="150" spans="1:5">
      <c r="A150" s="65">
        <v>105219</v>
      </c>
      <c r="B150" s="66" t="s">
        <v>3677</v>
      </c>
      <c r="C150" s="66" t="s">
        <v>3789</v>
      </c>
      <c r="D150" s="65">
        <v>2193</v>
      </c>
      <c r="E150" s="65">
        <v>132</v>
      </c>
    </row>
    <row r="151" spans="1:5">
      <c r="A151" s="65">
        <v>105327</v>
      </c>
      <c r="B151" s="66" t="s">
        <v>3593</v>
      </c>
      <c r="C151" s="66" t="s">
        <v>3790</v>
      </c>
      <c r="D151" s="65">
        <v>7</v>
      </c>
      <c r="E151" s="65">
        <v>2</v>
      </c>
    </row>
    <row r="152" spans="1:5">
      <c r="A152" s="65">
        <v>105355</v>
      </c>
      <c r="B152" s="66" t="s">
        <v>3599</v>
      </c>
      <c r="C152" s="66" t="s">
        <v>3791</v>
      </c>
      <c r="D152" s="65">
        <v>106</v>
      </c>
      <c r="E152" s="65">
        <v>88</v>
      </c>
    </row>
    <row r="153" spans="1:5">
      <c r="A153" s="65">
        <v>105374</v>
      </c>
      <c r="B153" s="66" t="s">
        <v>3792</v>
      </c>
      <c r="C153" s="66" t="s">
        <v>3793</v>
      </c>
      <c r="D153" s="65">
        <v>427</v>
      </c>
      <c r="E153" s="65">
        <v>30</v>
      </c>
    </row>
    <row r="154" spans="1:5">
      <c r="A154" s="65">
        <v>105393</v>
      </c>
      <c r="B154" s="66" t="s">
        <v>3794</v>
      </c>
      <c r="C154" s="66" t="s">
        <v>3795</v>
      </c>
      <c r="D154" s="65">
        <v>2</v>
      </c>
      <c r="E154" s="65">
        <v>2</v>
      </c>
    </row>
    <row r="155" spans="1:5">
      <c r="A155" s="65">
        <v>105512</v>
      </c>
      <c r="B155" s="66" t="s">
        <v>3646</v>
      </c>
      <c r="C155" s="66" t="s">
        <v>3796</v>
      </c>
      <c r="D155" s="65">
        <v>249</v>
      </c>
      <c r="E155" s="65">
        <v>15</v>
      </c>
    </row>
    <row r="156" spans="1:5">
      <c r="A156" s="65">
        <v>105914</v>
      </c>
      <c r="B156" s="66" t="s">
        <v>3601</v>
      </c>
      <c r="C156" s="66" t="s">
        <v>3797</v>
      </c>
      <c r="D156" s="65">
        <v>25</v>
      </c>
      <c r="E156" s="65">
        <v>7</v>
      </c>
    </row>
    <row r="157" spans="1:5">
      <c r="A157" s="65">
        <v>105917</v>
      </c>
      <c r="B157" s="66" t="s">
        <v>3597</v>
      </c>
      <c r="C157" s="66" t="s">
        <v>3798</v>
      </c>
      <c r="D157" s="65">
        <v>12</v>
      </c>
      <c r="E157" s="65">
        <v>8</v>
      </c>
    </row>
    <row r="158" spans="1:5">
      <c r="A158" s="65">
        <v>105955</v>
      </c>
      <c r="B158" s="66" t="s">
        <v>3593</v>
      </c>
      <c r="C158" s="66" t="s">
        <v>3799</v>
      </c>
      <c r="D158" s="65">
        <v>128</v>
      </c>
      <c r="E158" s="65">
        <v>21</v>
      </c>
    </row>
    <row r="159" spans="1:5">
      <c r="A159" s="65">
        <v>106</v>
      </c>
      <c r="B159" s="66" t="s">
        <v>3616</v>
      </c>
      <c r="C159" s="66" t="s">
        <v>3800</v>
      </c>
      <c r="D159" s="65">
        <v>894</v>
      </c>
      <c r="E159" s="65">
        <v>117</v>
      </c>
    </row>
    <row r="160" spans="1:5">
      <c r="A160" s="65">
        <v>106224</v>
      </c>
      <c r="B160" s="66" t="s">
        <v>3593</v>
      </c>
      <c r="C160" s="66" t="s">
        <v>3801</v>
      </c>
      <c r="D160" s="65">
        <v>106</v>
      </c>
      <c r="E160" s="65">
        <v>2</v>
      </c>
    </row>
    <row r="161" spans="1:5">
      <c r="A161" s="65">
        <v>106272</v>
      </c>
      <c r="B161" s="66" t="s">
        <v>3599</v>
      </c>
      <c r="C161" s="66" t="s">
        <v>3802</v>
      </c>
      <c r="D161" s="65">
        <v>3498</v>
      </c>
      <c r="E161" s="65">
        <v>367</v>
      </c>
    </row>
    <row r="162" spans="1:5">
      <c r="A162" s="65">
        <v>106356</v>
      </c>
      <c r="B162" s="66" t="s">
        <v>3649</v>
      </c>
      <c r="C162" s="66" t="s">
        <v>3803</v>
      </c>
      <c r="D162" s="65">
        <v>62</v>
      </c>
      <c r="E162" s="65">
        <v>17</v>
      </c>
    </row>
    <row r="163" spans="1:5">
      <c r="A163" s="65">
        <v>106380</v>
      </c>
      <c r="B163" s="66" t="s">
        <v>3804</v>
      </c>
      <c r="C163" s="66" t="s">
        <v>3805</v>
      </c>
      <c r="D163" s="65">
        <v>11</v>
      </c>
      <c r="E163" s="65">
        <v>7</v>
      </c>
    </row>
    <row r="164" spans="1:5">
      <c r="A164" s="65">
        <v>1065</v>
      </c>
      <c r="B164" s="66" t="s">
        <v>3625</v>
      </c>
      <c r="C164" s="66" t="s">
        <v>3806</v>
      </c>
      <c r="D164" s="65">
        <v>37</v>
      </c>
      <c r="E164" s="65">
        <v>4</v>
      </c>
    </row>
    <row r="165" spans="1:5">
      <c r="A165" s="65">
        <v>1066</v>
      </c>
      <c r="B165" s="66" t="s">
        <v>3601</v>
      </c>
      <c r="C165" s="66" t="s">
        <v>3807</v>
      </c>
      <c r="D165" s="65">
        <v>383</v>
      </c>
      <c r="E165" s="65">
        <v>33</v>
      </c>
    </row>
    <row r="166" spans="1:5">
      <c r="A166" s="65">
        <v>1067</v>
      </c>
      <c r="B166" s="66" t="s">
        <v>3660</v>
      </c>
      <c r="C166" s="66" t="s">
        <v>3808</v>
      </c>
      <c r="D166" s="65">
        <v>20</v>
      </c>
      <c r="E166" s="65">
        <v>7</v>
      </c>
    </row>
    <row r="167" spans="1:5">
      <c r="A167" s="65">
        <v>106840</v>
      </c>
      <c r="B167" s="66" t="s">
        <v>3601</v>
      </c>
      <c r="C167" s="66" t="s">
        <v>3809</v>
      </c>
      <c r="D167" s="65">
        <v>233</v>
      </c>
      <c r="E167" s="65">
        <v>29</v>
      </c>
    </row>
    <row r="168" spans="1:5">
      <c r="A168" s="65">
        <v>107</v>
      </c>
      <c r="B168" s="66" t="s">
        <v>3597</v>
      </c>
      <c r="C168" s="66" t="s">
        <v>3810</v>
      </c>
      <c r="D168" s="65">
        <v>199</v>
      </c>
      <c r="E168" s="65">
        <v>75</v>
      </c>
    </row>
    <row r="169" spans="1:5">
      <c r="A169" s="65">
        <v>107015</v>
      </c>
      <c r="B169" s="66" t="s">
        <v>3614</v>
      </c>
      <c r="C169" s="66" t="s">
        <v>3811</v>
      </c>
      <c r="D169" s="65">
        <v>80</v>
      </c>
      <c r="E169" s="65">
        <v>13</v>
      </c>
    </row>
    <row r="170" spans="1:5">
      <c r="A170" s="65">
        <v>107025</v>
      </c>
      <c r="B170" s="66" t="s">
        <v>3597</v>
      </c>
      <c r="C170" s="66" t="s">
        <v>3812</v>
      </c>
      <c r="D170" s="65">
        <v>1080</v>
      </c>
      <c r="E170" s="65">
        <v>20</v>
      </c>
    </row>
    <row r="171" spans="1:5">
      <c r="A171" s="65">
        <v>107027</v>
      </c>
      <c r="B171" s="66" t="s">
        <v>3597</v>
      </c>
      <c r="C171" s="66" t="s">
        <v>3813</v>
      </c>
      <c r="D171" s="65">
        <v>229</v>
      </c>
      <c r="E171" s="65">
        <v>98</v>
      </c>
    </row>
    <row r="172" spans="1:5">
      <c r="A172" s="65">
        <v>107042</v>
      </c>
      <c r="B172" s="66" t="s">
        <v>3667</v>
      </c>
      <c r="C172" s="66" t="s">
        <v>3814</v>
      </c>
      <c r="D172" s="65">
        <v>65700</v>
      </c>
      <c r="E172" s="65">
        <v>232</v>
      </c>
    </row>
    <row r="173" spans="1:5">
      <c r="A173" s="65">
        <v>107057</v>
      </c>
      <c r="B173" s="66" t="s">
        <v>3593</v>
      </c>
      <c r="C173" s="66" t="s">
        <v>3815</v>
      </c>
      <c r="D173" s="65">
        <v>44</v>
      </c>
      <c r="E173" s="65">
        <v>27</v>
      </c>
    </row>
    <row r="174" spans="1:5">
      <c r="A174" s="65">
        <v>107092</v>
      </c>
      <c r="B174" s="66" t="s">
        <v>3593</v>
      </c>
      <c r="C174" s="66" t="s">
        <v>3816</v>
      </c>
      <c r="D174" s="65">
        <v>54</v>
      </c>
      <c r="E174" s="65">
        <v>30</v>
      </c>
    </row>
    <row r="175" spans="1:5">
      <c r="A175" s="65">
        <v>107130</v>
      </c>
      <c r="B175" s="66" t="s">
        <v>3593</v>
      </c>
      <c r="C175" s="66" t="s">
        <v>3817</v>
      </c>
      <c r="D175" s="65">
        <v>64</v>
      </c>
      <c r="E175" s="65">
        <v>2</v>
      </c>
    </row>
    <row r="176" spans="1:5">
      <c r="A176" s="65">
        <v>107170</v>
      </c>
      <c r="B176" s="66" t="s">
        <v>3649</v>
      </c>
      <c r="C176" s="66" t="s">
        <v>3818</v>
      </c>
      <c r="D176" s="65">
        <v>186</v>
      </c>
      <c r="E176" s="65">
        <v>12</v>
      </c>
    </row>
    <row r="177" spans="1:5">
      <c r="A177" s="65">
        <v>107234</v>
      </c>
      <c r="B177" s="66" t="s">
        <v>3625</v>
      </c>
      <c r="C177" s="66" t="s">
        <v>3819</v>
      </c>
      <c r="D177" s="65">
        <v>44</v>
      </c>
      <c r="E177" s="65">
        <v>8</v>
      </c>
    </row>
    <row r="178" spans="1:5">
      <c r="A178" s="65">
        <v>1078</v>
      </c>
      <c r="B178" s="66" t="s">
        <v>3820</v>
      </c>
      <c r="C178" s="66" t="s">
        <v>3821</v>
      </c>
      <c r="D178" s="65">
        <v>5</v>
      </c>
      <c r="E178" s="65">
        <v>1</v>
      </c>
    </row>
    <row r="179" spans="1:5">
      <c r="A179" s="65">
        <v>107810</v>
      </c>
      <c r="B179" s="66" t="s">
        <v>3625</v>
      </c>
      <c r="C179" s="66" t="s">
        <v>3822</v>
      </c>
      <c r="D179" s="65">
        <v>275</v>
      </c>
      <c r="E179" s="65">
        <v>7</v>
      </c>
    </row>
    <row r="180" spans="1:5">
      <c r="A180" s="65">
        <v>107816</v>
      </c>
      <c r="B180" s="66" t="s">
        <v>3667</v>
      </c>
      <c r="C180" s="66" t="s">
        <v>3823</v>
      </c>
      <c r="D180" s="65">
        <v>144600</v>
      </c>
      <c r="E180" s="65">
        <v>263</v>
      </c>
    </row>
    <row r="181" spans="1:5">
      <c r="A181" s="65">
        <v>107830</v>
      </c>
      <c r="B181" s="66" t="s">
        <v>3593</v>
      </c>
      <c r="C181" s="66" t="s">
        <v>3824</v>
      </c>
      <c r="D181" s="65">
        <v>432</v>
      </c>
      <c r="E181" s="65">
        <v>2</v>
      </c>
    </row>
    <row r="182" spans="1:5">
      <c r="A182" s="65">
        <v>107899</v>
      </c>
      <c r="B182" s="66" t="s">
        <v>3597</v>
      </c>
      <c r="C182" s="66" t="s">
        <v>3825</v>
      </c>
      <c r="D182" s="65">
        <v>46</v>
      </c>
      <c r="E182" s="65">
        <v>25</v>
      </c>
    </row>
    <row r="183" spans="1:5">
      <c r="A183" s="65">
        <v>1079</v>
      </c>
      <c r="B183" s="66" t="s">
        <v>3614</v>
      </c>
      <c r="C183" s="66" t="s">
        <v>3826</v>
      </c>
      <c r="D183" s="65">
        <v>21</v>
      </c>
      <c r="E183" s="65">
        <v>4</v>
      </c>
    </row>
    <row r="184" spans="1:5">
      <c r="A184" s="65">
        <v>107962</v>
      </c>
      <c r="B184" s="66" t="s">
        <v>3775</v>
      </c>
      <c r="C184" s="66" t="s">
        <v>3827</v>
      </c>
      <c r="D184" s="65">
        <v>45</v>
      </c>
      <c r="E184" s="65">
        <v>12</v>
      </c>
    </row>
    <row r="185" spans="1:5">
      <c r="A185" s="65">
        <v>107963</v>
      </c>
      <c r="B185" s="66" t="s">
        <v>3828</v>
      </c>
      <c r="C185" s="66" t="s">
        <v>3829</v>
      </c>
      <c r="D185" s="65">
        <v>11</v>
      </c>
      <c r="E185" s="65">
        <v>3</v>
      </c>
    </row>
    <row r="186" spans="1:5">
      <c r="A186" s="65">
        <v>1080</v>
      </c>
      <c r="B186" s="66" t="s">
        <v>3677</v>
      </c>
      <c r="C186" s="66" t="s">
        <v>3830</v>
      </c>
      <c r="D186" s="65">
        <v>196</v>
      </c>
      <c r="E186" s="65">
        <v>9</v>
      </c>
    </row>
    <row r="187" spans="1:5">
      <c r="A187" s="65">
        <v>10812</v>
      </c>
      <c r="B187" s="66" t="s">
        <v>3608</v>
      </c>
      <c r="C187" s="66" t="s">
        <v>3831</v>
      </c>
      <c r="D187" s="65">
        <v>10</v>
      </c>
      <c r="E187" s="65">
        <v>1</v>
      </c>
    </row>
    <row r="188" spans="1:5">
      <c r="A188" s="65">
        <v>108143</v>
      </c>
      <c r="B188" s="66" t="s">
        <v>3614</v>
      </c>
      <c r="C188" s="66" t="s">
        <v>3832</v>
      </c>
      <c r="D188" s="65">
        <v>11</v>
      </c>
      <c r="E188" s="65">
        <v>10</v>
      </c>
    </row>
    <row r="189" spans="1:5">
      <c r="A189" s="65">
        <v>108191</v>
      </c>
      <c r="B189" s="66" t="s">
        <v>3775</v>
      </c>
      <c r="C189" s="66" t="s">
        <v>3833</v>
      </c>
      <c r="D189" s="65">
        <v>124</v>
      </c>
      <c r="E189" s="65">
        <v>2</v>
      </c>
    </row>
    <row r="190" spans="1:5">
      <c r="A190" s="65">
        <v>108193</v>
      </c>
      <c r="B190" s="66" t="s">
        <v>3597</v>
      </c>
      <c r="C190" s="66" t="s">
        <v>3834</v>
      </c>
      <c r="D190" s="65">
        <v>51</v>
      </c>
      <c r="E190" s="65">
        <v>11</v>
      </c>
    </row>
    <row r="191" spans="1:5">
      <c r="A191" s="65">
        <v>108194</v>
      </c>
      <c r="B191" s="66" t="s">
        <v>3625</v>
      </c>
      <c r="C191" s="66" t="s">
        <v>3835</v>
      </c>
      <c r="D191" s="65">
        <v>55</v>
      </c>
      <c r="E191" s="65">
        <v>9</v>
      </c>
    </row>
    <row r="192" spans="1:5">
      <c r="A192" s="65">
        <v>108195</v>
      </c>
      <c r="B192" s="66" t="s">
        <v>3597</v>
      </c>
      <c r="C192" s="66" t="s">
        <v>3836</v>
      </c>
      <c r="D192" s="65">
        <v>98</v>
      </c>
      <c r="E192" s="65">
        <v>31</v>
      </c>
    </row>
    <row r="193" spans="1:5">
      <c r="A193" s="65">
        <v>108226</v>
      </c>
      <c r="B193" s="66" t="s">
        <v>3597</v>
      </c>
      <c r="C193" s="66" t="s">
        <v>3837</v>
      </c>
      <c r="D193" s="65">
        <v>150</v>
      </c>
      <c r="E193" s="65">
        <v>49</v>
      </c>
    </row>
    <row r="194" spans="1:5">
      <c r="A194" s="65">
        <v>108318</v>
      </c>
      <c r="B194" s="66" t="s">
        <v>3601</v>
      </c>
      <c r="C194" s="66" t="s">
        <v>3838</v>
      </c>
      <c r="D194" s="65">
        <v>136</v>
      </c>
      <c r="E194" s="65">
        <v>4</v>
      </c>
    </row>
    <row r="195" spans="1:5">
      <c r="A195" s="65">
        <v>108436</v>
      </c>
      <c r="B195" s="66" t="s">
        <v>3641</v>
      </c>
      <c r="C195" s="66" t="s">
        <v>3839</v>
      </c>
      <c r="D195" s="65">
        <v>7</v>
      </c>
      <c r="E195" s="65">
        <v>4</v>
      </c>
    </row>
    <row r="196" spans="1:5">
      <c r="A196" s="65">
        <v>108437</v>
      </c>
      <c r="B196" s="66" t="s">
        <v>3593</v>
      </c>
      <c r="C196" s="66" t="s">
        <v>3840</v>
      </c>
      <c r="D196" s="65">
        <v>38</v>
      </c>
      <c r="E196" s="65">
        <v>19</v>
      </c>
    </row>
    <row r="197" spans="1:5">
      <c r="A197" s="65">
        <v>108438</v>
      </c>
      <c r="B197" s="66" t="s">
        <v>3649</v>
      </c>
      <c r="C197" s="66" t="s">
        <v>3841</v>
      </c>
      <c r="D197" s="65">
        <v>25</v>
      </c>
      <c r="E197" s="65">
        <v>7</v>
      </c>
    </row>
    <row r="198" spans="1:5">
      <c r="A198" s="65">
        <v>108449</v>
      </c>
      <c r="B198" s="66" t="s">
        <v>3601</v>
      </c>
      <c r="C198" s="66" t="s">
        <v>3842</v>
      </c>
      <c r="D198" s="65">
        <v>292</v>
      </c>
      <c r="E198" s="65">
        <v>160</v>
      </c>
    </row>
    <row r="199" spans="1:5">
      <c r="A199" s="65">
        <v>108468</v>
      </c>
      <c r="B199" s="66" t="s">
        <v>3843</v>
      </c>
      <c r="C199" s="66" t="s">
        <v>3844</v>
      </c>
      <c r="D199" s="65">
        <v>6</v>
      </c>
      <c r="E199" s="65">
        <v>5</v>
      </c>
    </row>
    <row r="200" spans="1:5">
      <c r="A200" s="65">
        <v>108485</v>
      </c>
      <c r="B200" s="66" t="s">
        <v>3731</v>
      </c>
      <c r="C200" s="66" t="s">
        <v>3845</v>
      </c>
      <c r="D200" s="65">
        <v>85</v>
      </c>
      <c r="E200" s="65">
        <v>25</v>
      </c>
    </row>
    <row r="201" spans="1:5">
      <c r="A201" s="65">
        <v>108503</v>
      </c>
      <c r="B201" s="66" t="s">
        <v>3616</v>
      </c>
      <c r="C201" s="66" t="s">
        <v>3846</v>
      </c>
      <c r="D201" s="65">
        <v>256</v>
      </c>
      <c r="E201" s="65">
        <v>185</v>
      </c>
    </row>
    <row r="202" spans="1:5">
      <c r="A202" s="65">
        <v>108604</v>
      </c>
      <c r="B202" s="66" t="s">
        <v>3597</v>
      </c>
      <c r="C202" s="66" t="s">
        <v>3847</v>
      </c>
      <c r="D202" s="65">
        <v>55</v>
      </c>
      <c r="E202" s="65">
        <v>2</v>
      </c>
    </row>
    <row r="203" spans="1:5">
      <c r="A203" s="65">
        <v>108626</v>
      </c>
      <c r="B203" s="66" t="s">
        <v>3597</v>
      </c>
      <c r="C203" s="66" t="s">
        <v>3848</v>
      </c>
      <c r="D203" s="65">
        <v>12</v>
      </c>
      <c r="E203" s="65">
        <v>4</v>
      </c>
    </row>
    <row r="204" spans="1:5">
      <c r="A204" s="65">
        <v>108747</v>
      </c>
      <c r="B204" s="66" t="s">
        <v>3616</v>
      </c>
      <c r="C204" s="66" t="s">
        <v>3849</v>
      </c>
      <c r="D204" s="65">
        <v>79</v>
      </c>
      <c r="E204" s="65">
        <v>21</v>
      </c>
    </row>
    <row r="205" spans="1:5">
      <c r="A205" s="65">
        <v>108748</v>
      </c>
      <c r="B205" s="66" t="s">
        <v>3649</v>
      </c>
      <c r="C205" s="66" t="s">
        <v>3850</v>
      </c>
      <c r="D205" s="65">
        <v>14</v>
      </c>
      <c r="E205" s="65">
        <v>8</v>
      </c>
    </row>
    <row r="206" spans="1:5">
      <c r="A206" s="65">
        <v>108763</v>
      </c>
      <c r="B206" s="66" t="s">
        <v>3667</v>
      </c>
      <c r="C206" s="66" t="s">
        <v>3851</v>
      </c>
      <c r="D206" s="65">
        <v>562</v>
      </c>
      <c r="E206" s="65">
        <v>117</v>
      </c>
    </row>
    <row r="207" spans="1:5">
      <c r="A207" s="65">
        <v>10881</v>
      </c>
      <c r="B207" s="66" t="s">
        <v>3625</v>
      </c>
      <c r="C207" s="66" t="s">
        <v>3852</v>
      </c>
      <c r="D207" s="65">
        <v>30</v>
      </c>
      <c r="E207" s="65">
        <v>8</v>
      </c>
    </row>
    <row r="208" spans="1:5">
      <c r="A208" s="65">
        <v>108854</v>
      </c>
      <c r="B208" s="66" t="s">
        <v>3616</v>
      </c>
      <c r="C208" s="66" t="s">
        <v>3853</v>
      </c>
      <c r="D208" s="65">
        <v>1405</v>
      </c>
      <c r="E208" s="65">
        <v>135</v>
      </c>
    </row>
    <row r="209" spans="1:5">
      <c r="A209" s="65">
        <v>108869</v>
      </c>
      <c r="B209" s="66" t="s">
        <v>3597</v>
      </c>
      <c r="C209" s="66" t="s">
        <v>3854</v>
      </c>
      <c r="D209" s="65">
        <v>2349</v>
      </c>
      <c r="E209" s="65">
        <v>319</v>
      </c>
    </row>
    <row r="210" spans="1:5">
      <c r="A210" s="65">
        <v>108877</v>
      </c>
      <c r="B210" s="66" t="s">
        <v>3620</v>
      </c>
      <c r="C210" s="66" t="s">
        <v>3855</v>
      </c>
      <c r="D210" s="65">
        <v>116</v>
      </c>
      <c r="E210" s="65">
        <v>15</v>
      </c>
    </row>
    <row r="211" spans="1:5">
      <c r="A211" s="65">
        <v>108955</v>
      </c>
      <c r="B211" s="66" t="s">
        <v>3639</v>
      </c>
      <c r="C211" s="66" t="s">
        <v>3856</v>
      </c>
      <c r="D211" s="65">
        <v>120</v>
      </c>
      <c r="E211" s="65">
        <v>8</v>
      </c>
    </row>
    <row r="212" spans="1:5">
      <c r="A212" s="65">
        <v>108956</v>
      </c>
      <c r="B212" s="66" t="s">
        <v>3597</v>
      </c>
      <c r="C212" s="66" t="s">
        <v>3857</v>
      </c>
      <c r="D212" s="65">
        <v>154</v>
      </c>
      <c r="E212" s="65">
        <v>20</v>
      </c>
    </row>
    <row r="213" spans="1:5">
      <c r="A213" s="65">
        <v>108957</v>
      </c>
      <c r="B213" s="66" t="s">
        <v>3593</v>
      </c>
      <c r="C213" s="66" t="s">
        <v>3858</v>
      </c>
      <c r="D213" s="65">
        <v>375</v>
      </c>
      <c r="E213" s="65">
        <v>32</v>
      </c>
    </row>
    <row r="214" spans="1:5">
      <c r="A214" s="65">
        <v>108958</v>
      </c>
      <c r="B214" s="66" t="s">
        <v>3786</v>
      </c>
      <c r="C214" s="66" t="s">
        <v>3859</v>
      </c>
      <c r="D214" s="65">
        <v>33</v>
      </c>
      <c r="E214" s="65">
        <v>7</v>
      </c>
    </row>
    <row r="215" spans="1:5">
      <c r="A215" s="65">
        <v>108974</v>
      </c>
      <c r="B215" s="66" t="s">
        <v>3804</v>
      </c>
      <c r="C215" s="66" t="s">
        <v>3860</v>
      </c>
      <c r="D215" s="65">
        <v>2</v>
      </c>
      <c r="E215" s="65">
        <v>2</v>
      </c>
    </row>
    <row r="216" spans="1:5">
      <c r="A216" s="65">
        <v>109189</v>
      </c>
      <c r="B216" s="66" t="s">
        <v>3667</v>
      </c>
      <c r="C216" s="66" t="s">
        <v>3861</v>
      </c>
      <c r="D216" s="65">
        <v>625</v>
      </c>
      <c r="E216" s="65">
        <v>90</v>
      </c>
    </row>
    <row r="217" spans="1:5">
      <c r="A217" s="65">
        <v>109245</v>
      </c>
      <c r="B217" s="66" t="s">
        <v>3597</v>
      </c>
      <c r="C217" s="66" t="s">
        <v>3862</v>
      </c>
      <c r="D217" s="65">
        <v>694</v>
      </c>
      <c r="E217" s="65">
        <v>23</v>
      </c>
    </row>
    <row r="218" spans="1:5">
      <c r="A218" s="65">
        <v>109249</v>
      </c>
      <c r="B218" s="66" t="s">
        <v>3593</v>
      </c>
      <c r="C218" s="66" t="s">
        <v>3863</v>
      </c>
      <c r="D218" s="65">
        <v>2052</v>
      </c>
      <c r="E218" s="65">
        <v>207</v>
      </c>
    </row>
    <row r="219" spans="1:5">
      <c r="A219" s="65">
        <v>109264</v>
      </c>
      <c r="B219" s="66" t="s">
        <v>3864</v>
      </c>
      <c r="C219" s="66" t="s">
        <v>3865</v>
      </c>
      <c r="D219" s="65">
        <v>226</v>
      </c>
      <c r="E219" s="65">
        <v>6</v>
      </c>
    </row>
    <row r="220" spans="1:5">
      <c r="A220" s="65">
        <v>109336</v>
      </c>
      <c r="B220" s="66" t="s">
        <v>3866</v>
      </c>
      <c r="C220" s="66" t="s">
        <v>3867</v>
      </c>
      <c r="D220" s="65">
        <v>1</v>
      </c>
      <c r="E220" s="65">
        <v>1</v>
      </c>
    </row>
    <row r="221" spans="1:5">
      <c r="A221" s="65">
        <v>109387</v>
      </c>
      <c r="B221" s="66" t="s">
        <v>3616</v>
      </c>
      <c r="C221" s="66" t="s">
        <v>3868</v>
      </c>
      <c r="D221" s="65">
        <v>18</v>
      </c>
      <c r="E221" s="65">
        <v>12</v>
      </c>
    </row>
    <row r="222" spans="1:5">
      <c r="A222" s="65">
        <v>109531</v>
      </c>
      <c r="B222" s="66" t="s">
        <v>3597</v>
      </c>
      <c r="C222" s="66" t="s">
        <v>3869</v>
      </c>
      <c r="D222" s="65">
        <v>13</v>
      </c>
      <c r="E222" s="65">
        <v>11</v>
      </c>
    </row>
    <row r="223" spans="1:5">
      <c r="A223" s="65">
        <v>10956</v>
      </c>
      <c r="B223" s="66" t="s">
        <v>3597</v>
      </c>
      <c r="C223" s="66" t="s">
        <v>3870</v>
      </c>
      <c r="D223" s="65">
        <v>9003</v>
      </c>
      <c r="E223" s="65">
        <v>271</v>
      </c>
    </row>
    <row r="224" spans="1:5">
      <c r="A224" s="65">
        <v>10958</v>
      </c>
      <c r="B224" s="66" t="s">
        <v>3649</v>
      </c>
      <c r="C224" s="66" t="s">
        <v>3871</v>
      </c>
      <c r="D224" s="65">
        <v>546</v>
      </c>
      <c r="E224" s="65">
        <v>54</v>
      </c>
    </row>
    <row r="225" spans="1:5">
      <c r="A225" s="65">
        <v>10971</v>
      </c>
      <c r="B225" s="66" t="s">
        <v>3667</v>
      </c>
      <c r="C225" s="66" t="s">
        <v>3872</v>
      </c>
      <c r="D225" s="65">
        <v>10</v>
      </c>
      <c r="E225" s="65">
        <v>7</v>
      </c>
    </row>
    <row r="226" spans="1:5">
      <c r="A226" s="65">
        <v>109777</v>
      </c>
      <c r="B226" s="66" t="s">
        <v>3625</v>
      </c>
      <c r="C226" s="66" t="s">
        <v>3873</v>
      </c>
      <c r="D226" s="65">
        <v>60</v>
      </c>
      <c r="E226" s="65">
        <v>3</v>
      </c>
    </row>
    <row r="227" spans="1:5">
      <c r="A227" s="65">
        <v>109788</v>
      </c>
      <c r="B227" s="66" t="s">
        <v>3625</v>
      </c>
      <c r="C227" s="66" t="s">
        <v>3874</v>
      </c>
      <c r="D227" s="65">
        <v>22</v>
      </c>
      <c r="E227" s="65">
        <v>2</v>
      </c>
    </row>
    <row r="228" spans="1:5">
      <c r="A228" s="65">
        <v>109790</v>
      </c>
      <c r="B228" s="66" t="s">
        <v>3597</v>
      </c>
      <c r="C228" s="66" t="s">
        <v>3875</v>
      </c>
      <c r="D228" s="65">
        <v>10</v>
      </c>
      <c r="E228" s="65">
        <v>7</v>
      </c>
    </row>
    <row r="229" spans="1:5">
      <c r="A229" s="65">
        <v>10980</v>
      </c>
      <c r="B229" s="66" t="s">
        <v>3876</v>
      </c>
      <c r="C229" s="66" t="s">
        <v>3877</v>
      </c>
      <c r="D229" s="65">
        <v>37</v>
      </c>
      <c r="E229" s="65">
        <v>2</v>
      </c>
    </row>
    <row r="230" spans="1:5">
      <c r="A230" s="65">
        <v>109849</v>
      </c>
      <c r="B230" s="66" t="s">
        <v>3593</v>
      </c>
      <c r="C230" s="66" t="s">
        <v>3878</v>
      </c>
      <c r="D230" s="65">
        <v>6</v>
      </c>
      <c r="E230" s="65">
        <v>4</v>
      </c>
    </row>
    <row r="231" spans="1:5">
      <c r="A231" s="65">
        <v>109850</v>
      </c>
      <c r="B231" s="66" t="s">
        <v>3593</v>
      </c>
      <c r="C231" s="66" t="s">
        <v>3879</v>
      </c>
      <c r="D231" s="65">
        <v>6</v>
      </c>
      <c r="E231" s="65">
        <v>5</v>
      </c>
    </row>
    <row r="232" spans="1:5">
      <c r="A232" s="65">
        <v>109852</v>
      </c>
      <c r="B232" s="66" t="s">
        <v>3601</v>
      </c>
      <c r="C232" s="66" t="s">
        <v>3880</v>
      </c>
      <c r="D232" s="65">
        <v>2600</v>
      </c>
      <c r="E232" s="65">
        <v>20</v>
      </c>
    </row>
    <row r="233" spans="1:5">
      <c r="A233" s="65">
        <v>109886</v>
      </c>
      <c r="B233" s="66" t="s">
        <v>3593</v>
      </c>
      <c r="C233" s="66" t="s">
        <v>3881</v>
      </c>
      <c r="D233" s="65">
        <v>45</v>
      </c>
      <c r="E233" s="65">
        <v>12</v>
      </c>
    </row>
    <row r="234" spans="1:5">
      <c r="A234" s="65">
        <v>109983</v>
      </c>
      <c r="B234" s="66" t="s">
        <v>3601</v>
      </c>
      <c r="C234" s="66" t="s">
        <v>3882</v>
      </c>
      <c r="D234" s="65">
        <v>434</v>
      </c>
      <c r="E234" s="65">
        <v>9</v>
      </c>
    </row>
    <row r="235" spans="1:5">
      <c r="A235" s="65">
        <v>110025</v>
      </c>
      <c r="B235" s="66" t="s">
        <v>3597</v>
      </c>
      <c r="C235" s="66" t="s">
        <v>3883</v>
      </c>
      <c r="D235" s="65">
        <v>103</v>
      </c>
      <c r="E235" s="65">
        <v>29</v>
      </c>
    </row>
    <row r="236" spans="1:5">
      <c r="A236" s="65">
        <v>110038</v>
      </c>
      <c r="B236" s="66" t="s">
        <v>3786</v>
      </c>
      <c r="C236" s="66" t="s">
        <v>3884</v>
      </c>
      <c r="D236" s="65">
        <v>80</v>
      </c>
      <c r="E236" s="65">
        <v>2</v>
      </c>
    </row>
    <row r="237" spans="1:5">
      <c r="A237" s="65">
        <v>110040</v>
      </c>
      <c r="B237" s="66" t="s">
        <v>3616</v>
      </c>
      <c r="C237" s="66" t="s">
        <v>3885</v>
      </c>
      <c r="D237" s="65">
        <v>21</v>
      </c>
      <c r="E237" s="65">
        <v>7</v>
      </c>
    </row>
    <row r="238" spans="1:5">
      <c r="A238" s="65">
        <v>110052</v>
      </c>
      <c r="B238" s="66" t="s">
        <v>3614</v>
      </c>
      <c r="C238" s="66" t="s">
        <v>3886</v>
      </c>
      <c r="D238" s="65">
        <v>42</v>
      </c>
      <c r="E238" s="65">
        <v>25</v>
      </c>
    </row>
    <row r="239" spans="1:5">
      <c r="A239" s="65">
        <v>110053</v>
      </c>
      <c r="B239" s="66" t="s">
        <v>3646</v>
      </c>
      <c r="C239" s="66" t="s">
        <v>3887</v>
      </c>
      <c r="D239" s="65">
        <v>19</v>
      </c>
      <c r="E239" s="65">
        <v>19</v>
      </c>
    </row>
    <row r="240" spans="1:5">
      <c r="A240" s="65">
        <v>110086</v>
      </c>
      <c r="B240" s="66" t="s">
        <v>3601</v>
      </c>
      <c r="C240" s="66" t="s">
        <v>3888</v>
      </c>
      <c r="D240" s="65">
        <v>422</v>
      </c>
      <c r="E240" s="65">
        <v>211</v>
      </c>
    </row>
    <row r="241" spans="1:5">
      <c r="A241" s="65">
        <v>110118</v>
      </c>
      <c r="B241" s="66" t="s">
        <v>3614</v>
      </c>
      <c r="C241" s="66" t="s">
        <v>3889</v>
      </c>
      <c r="D241" s="65">
        <v>38</v>
      </c>
      <c r="E241" s="65">
        <v>11</v>
      </c>
    </row>
    <row r="242" spans="1:5">
      <c r="A242" s="65">
        <v>110159</v>
      </c>
      <c r="B242" s="66" t="s">
        <v>3890</v>
      </c>
      <c r="C242" s="66" t="s">
        <v>3891</v>
      </c>
      <c r="D242" s="65">
        <v>1800</v>
      </c>
      <c r="E242" s="65">
        <v>5</v>
      </c>
    </row>
    <row r="243" spans="1:5">
      <c r="A243" s="65">
        <v>110163</v>
      </c>
      <c r="B243" s="66" t="s">
        <v>3597</v>
      </c>
      <c r="C243" s="66" t="s">
        <v>3892</v>
      </c>
      <c r="D243" s="65">
        <v>176</v>
      </c>
      <c r="E243" s="65">
        <v>62</v>
      </c>
    </row>
    <row r="244" spans="1:5">
      <c r="A244" s="65">
        <v>110165</v>
      </c>
      <c r="B244" s="66" t="s">
        <v>3649</v>
      </c>
      <c r="C244" s="66" t="s">
        <v>3893</v>
      </c>
      <c r="D244" s="65">
        <v>238</v>
      </c>
      <c r="E244" s="65">
        <v>75</v>
      </c>
    </row>
    <row r="245" spans="1:5">
      <c r="A245" s="65">
        <v>110177</v>
      </c>
      <c r="B245" s="66" t="s">
        <v>3894</v>
      </c>
      <c r="C245" s="66" t="s">
        <v>3895</v>
      </c>
      <c r="D245" s="65">
        <v>570</v>
      </c>
      <c r="E245" s="65">
        <v>12</v>
      </c>
    </row>
    <row r="246" spans="1:5">
      <c r="A246" s="65">
        <v>110185</v>
      </c>
      <c r="B246" s="66" t="s">
        <v>3616</v>
      </c>
      <c r="C246" s="66" t="s">
        <v>3896</v>
      </c>
      <c r="D246" s="65">
        <v>1096</v>
      </c>
      <c r="E246" s="65">
        <v>72</v>
      </c>
    </row>
    <row r="247" spans="1:5">
      <c r="A247" s="65">
        <v>110191</v>
      </c>
      <c r="B247" s="66" t="s">
        <v>3601</v>
      </c>
      <c r="C247" s="66" t="s">
        <v>3897</v>
      </c>
      <c r="D247" s="65">
        <v>73600</v>
      </c>
      <c r="E247" s="65">
        <v>105</v>
      </c>
    </row>
    <row r="248" spans="1:5">
      <c r="A248" s="65">
        <v>110199</v>
      </c>
      <c r="B248" s="66" t="s">
        <v>3597</v>
      </c>
      <c r="C248" s="66" t="s">
        <v>3898</v>
      </c>
      <c r="D248" s="65">
        <v>6500</v>
      </c>
      <c r="E248" s="65">
        <v>80</v>
      </c>
    </row>
    <row r="249" spans="1:5">
      <c r="A249" s="65">
        <v>110200</v>
      </c>
      <c r="B249" s="66" t="s">
        <v>3597</v>
      </c>
      <c r="C249" s="66" t="s">
        <v>3899</v>
      </c>
      <c r="D249" s="65">
        <v>60</v>
      </c>
      <c r="E249" s="65">
        <v>38</v>
      </c>
    </row>
    <row r="250" spans="1:5">
      <c r="A250" s="65">
        <v>110209</v>
      </c>
      <c r="B250" s="66" t="s">
        <v>3900</v>
      </c>
      <c r="C250" s="66" t="s">
        <v>3901</v>
      </c>
      <c r="D250" s="65">
        <v>10</v>
      </c>
      <c r="E250" s="65">
        <v>6</v>
      </c>
    </row>
    <row r="251" spans="1:5">
      <c r="A251" s="65">
        <v>110238</v>
      </c>
      <c r="B251" s="66" t="s">
        <v>3783</v>
      </c>
      <c r="C251" s="66" t="s">
        <v>3902</v>
      </c>
      <c r="D251" s="65">
        <v>400</v>
      </c>
      <c r="E251" s="65">
        <v>4</v>
      </c>
    </row>
    <row r="252" spans="1:5">
      <c r="A252" s="65">
        <v>110250</v>
      </c>
      <c r="B252" s="66" t="s">
        <v>3601</v>
      </c>
      <c r="C252" s="66" t="s">
        <v>3903</v>
      </c>
      <c r="D252" s="65">
        <v>11</v>
      </c>
      <c r="E252" s="65">
        <v>9</v>
      </c>
    </row>
    <row r="253" spans="1:5">
      <c r="A253" s="65">
        <v>110251</v>
      </c>
      <c r="B253" s="66" t="s">
        <v>3904</v>
      </c>
      <c r="C253" s="66" t="s">
        <v>3905</v>
      </c>
      <c r="D253" s="65">
        <v>8</v>
      </c>
      <c r="E253" s="65">
        <v>8</v>
      </c>
    </row>
    <row r="254" spans="1:5">
      <c r="A254" s="65">
        <v>110258</v>
      </c>
      <c r="B254" s="66" t="s">
        <v>3599</v>
      </c>
      <c r="C254" s="66" t="s">
        <v>3906</v>
      </c>
      <c r="D254" s="65">
        <v>1</v>
      </c>
      <c r="E254" s="65">
        <v>1</v>
      </c>
    </row>
    <row r="255" spans="1:5">
      <c r="A255" s="65">
        <v>110259</v>
      </c>
      <c r="B255" s="66" t="s">
        <v>3876</v>
      </c>
      <c r="C255" s="66" t="s">
        <v>3907</v>
      </c>
      <c r="D255" s="65">
        <v>2</v>
      </c>
      <c r="E255" s="65">
        <v>1</v>
      </c>
    </row>
    <row r="256" spans="1:5">
      <c r="A256" s="65">
        <v>110260</v>
      </c>
      <c r="B256" s="66" t="s">
        <v>3599</v>
      </c>
      <c r="C256" s="66" t="s">
        <v>3908</v>
      </c>
      <c r="D256" s="65">
        <v>9</v>
      </c>
      <c r="E256" s="65">
        <v>6</v>
      </c>
    </row>
    <row r="257" spans="1:5">
      <c r="A257" s="65">
        <v>1104</v>
      </c>
      <c r="B257" s="66" t="s">
        <v>3593</v>
      </c>
      <c r="C257" s="66" t="s">
        <v>3909</v>
      </c>
      <c r="D257" s="65">
        <v>3</v>
      </c>
      <c r="E257" s="65">
        <v>1</v>
      </c>
    </row>
    <row r="258" spans="1:5">
      <c r="A258" s="65">
        <v>110419</v>
      </c>
      <c r="B258" s="66" t="s">
        <v>3597</v>
      </c>
      <c r="C258" s="66" t="s">
        <v>3910</v>
      </c>
      <c r="D258" s="65">
        <v>7100</v>
      </c>
      <c r="E258" s="65">
        <v>90</v>
      </c>
    </row>
    <row r="259" spans="1:5">
      <c r="A259" s="65">
        <v>110451</v>
      </c>
      <c r="B259" s="66" t="s">
        <v>3597</v>
      </c>
      <c r="C259" s="66" t="s">
        <v>3911</v>
      </c>
      <c r="D259" s="65">
        <v>1104</v>
      </c>
      <c r="E259" s="65">
        <v>383</v>
      </c>
    </row>
    <row r="260" spans="1:5">
      <c r="A260" s="65">
        <v>110479</v>
      </c>
      <c r="B260" s="66" t="s">
        <v>3649</v>
      </c>
      <c r="C260" s="66" t="s">
        <v>3912</v>
      </c>
      <c r="D260" s="65">
        <v>45</v>
      </c>
      <c r="E260" s="65">
        <v>3</v>
      </c>
    </row>
    <row r="261" spans="1:5">
      <c r="A261" s="65">
        <v>110481</v>
      </c>
      <c r="B261" s="66" t="s">
        <v>3612</v>
      </c>
      <c r="C261" s="66" t="s">
        <v>3913</v>
      </c>
      <c r="D261" s="65">
        <v>20</v>
      </c>
      <c r="E261" s="65">
        <v>1</v>
      </c>
    </row>
    <row r="262" spans="1:5">
      <c r="A262" s="65">
        <v>110484</v>
      </c>
      <c r="B262" s="66" t="s">
        <v>3593</v>
      </c>
      <c r="C262" s="66" t="s">
        <v>3914</v>
      </c>
      <c r="D262" s="65">
        <v>146</v>
      </c>
      <c r="E262" s="65">
        <v>42</v>
      </c>
    </row>
    <row r="263" spans="1:5">
      <c r="A263" s="65">
        <v>110485</v>
      </c>
      <c r="B263" s="66" t="s">
        <v>3593</v>
      </c>
      <c r="C263" s="66" t="s">
        <v>3915</v>
      </c>
      <c r="D263" s="65">
        <v>42</v>
      </c>
      <c r="E263" s="65">
        <v>16</v>
      </c>
    </row>
    <row r="264" spans="1:5">
      <c r="A264" s="65">
        <v>110490</v>
      </c>
      <c r="B264" s="66" t="s">
        <v>3777</v>
      </c>
      <c r="C264" s="66" t="s">
        <v>3916</v>
      </c>
      <c r="D264" s="65">
        <v>480</v>
      </c>
      <c r="E264" s="65">
        <v>17</v>
      </c>
    </row>
    <row r="265" spans="1:5">
      <c r="A265" s="65">
        <v>110500</v>
      </c>
      <c r="B265" s="66" t="s">
        <v>3616</v>
      </c>
      <c r="C265" s="66" t="s">
        <v>3917</v>
      </c>
      <c r="D265" s="65">
        <v>3528</v>
      </c>
      <c r="E265" s="65">
        <v>89</v>
      </c>
    </row>
    <row r="266" spans="1:5">
      <c r="A266" s="65">
        <v>110501</v>
      </c>
      <c r="B266" s="66" t="s">
        <v>3786</v>
      </c>
      <c r="C266" s="66" t="s">
        <v>3918</v>
      </c>
      <c r="D266" s="65">
        <v>938</v>
      </c>
      <c r="E266" s="65">
        <v>82</v>
      </c>
    </row>
    <row r="267" spans="1:5">
      <c r="A267" s="65">
        <v>110502</v>
      </c>
      <c r="B267" s="66" t="s">
        <v>3919</v>
      </c>
      <c r="C267" s="66" t="s">
        <v>3920</v>
      </c>
      <c r="D267" s="65">
        <v>134</v>
      </c>
      <c r="E267" s="65">
        <v>12</v>
      </c>
    </row>
    <row r="268" spans="1:5">
      <c r="A268" s="65">
        <v>110503</v>
      </c>
      <c r="B268" s="66" t="s">
        <v>3599</v>
      </c>
      <c r="C268" s="66" t="s">
        <v>3921</v>
      </c>
      <c r="D268" s="65">
        <v>60</v>
      </c>
      <c r="E268" s="65">
        <v>12</v>
      </c>
    </row>
    <row r="269" spans="1:5">
      <c r="A269" s="65">
        <v>110505</v>
      </c>
      <c r="B269" s="66" t="s">
        <v>3597</v>
      </c>
      <c r="C269" s="66" t="s">
        <v>3922</v>
      </c>
      <c r="D269" s="65">
        <v>2700</v>
      </c>
      <c r="E269" s="65">
        <v>73</v>
      </c>
    </row>
    <row r="270" spans="1:5">
      <c r="A270" s="65">
        <v>110517</v>
      </c>
      <c r="B270" s="66" t="s">
        <v>3601</v>
      </c>
      <c r="C270" s="66" t="s">
        <v>3923</v>
      </c>
      <c r="D270" s="65">
        <v>25</v>
      </c>
      <c r="E270" s="65">
        <v>3</v>
      </c>
    </row>
    <row r="271" spans="1:5">
      <c r="A271" s="65">
        <v>110539</v>
      </c>
      <c r="B271" s="66" t="s">
        <v>3649</v>
      </c>
      <c r="C271" s="66" t="s">
        <v>3924</v>
      </c>
      <c r="D271" s="65">
        <v>30</v>
      </c>
      <c r="E271" s="65">
        <v>13</v>
      </c>
    </row>
    <row r="272" spans="1:5">
      <c r="A272" s="65">
        <v>110566</v>
      </c>
      <c r="B272" s="66" t="s">
        <v>3616</v>
      </c>
      <c r="C272" s="66" t="s">
        <v>3925</v>
      </c>
      <c r="D272" s="65">
        <v>1540</v>
      </c>
      <c r="E272" s="65">
        <v>102</v>
      </c>
    </row>
    <row r="273" spans="1:5">
      <c r="A273" s="65">
        <v>110603</v>
      </c>
      <c r="B273" s="66" t="s">
        <v>3649</v>
      </c>
      <c r="C273" s="66" t="s">
        <v>3926</v>
      </c>
      <c r="D273" s="65">
        <v>41</v>
      </c>
      <c r="E273" s="65">
        <v>17</v>
      </c>
    </row>
    <row r="274" spans="1:5">
      <c r="A274" s="65">
        <v>110671</v>
      </c>
      <c r="B274" s="66" t="s">
        <v>3601</v>
      </c>
      <c r="C274" s="66" t="s">
        <v>3927</v>
      </c>
      <c r="D274" s="65">
        <v>347</v>
      </c>
      <c r="E274" s="65">
        <v>117</v>
      </c>
    </row>
    <row r="275" spans="1:5">
      <c r="A275" s="65">
        <v>110674</v>
      </c>
      <c r="B275" s="66" t="s">
        <v>3593</v>
      </c>
      <c r="C275" s="66" t="s">
        <v>3928</v>
      </c>
      <c r="D275" s="65">
        <v>129</v>
      </c>
      <c r="E275" s="65">
        <v>76</v>
      </c>
    </row>
    <row r="276" spans="1:5">
      <c r="A276" s="65">
        <v>110675</v>
      </c>
      <c r="B276" s="66" t="s">
        <v>3597</v>
      </c>
      <c r="C276" s="66" t="s">
        <v>3929</v>
      </c>
      <c r="D276" s="65">
        <v>79</v>
      </c>
      <c r="E276" s="65">
        <v>47</v>
      </c>
    </row>
    <row r="277" spans="1:5">
      <c r="A277" s="65">
        <v>110676</v>
      </c>
      <c r="B277" s="66" t="s">
        <v>3599</v>
      </c>
      <c r="C277" s="66" t="s">
        <v>3930</v>
      </c>
      <c r="D277" s="65">
        <v>29</v>
      </c>
      <c r="E277" s="65">
        <v>22</v>
      </c>
    </row>
    <row r="278" spans="1:5">
      <c r="A278" s="65">
        <v>110677</v>
      </c>
      <c r="B278" s="66" t="s">
        <v>3627</v>
      </c>
      <c r="C278" s="66" t="s">
        <v>3931</v>
      </c>
      <c r="D278" s="65">
        <v>10</v>
      </c>
      <c r="E278" s="65">
        <v>6</v>
      </c>
    </row>
    <row r="279" spans="1:5">
      <c r="A279" s="65">
        <v>110678</v>
      </c>
      <c r="B279" s="66" t="s">
        <v>3597</v>
      </c>
      <c r="C279" s="66" t="s">
        <v>3932</v>
      </c>
      <c r="D279" s="65">
        <v>7550</v>
      </c>
      <c r="E279" s="65">
        <v>95</v>
      </c>
    </row>
    <row r="280" spans="1:5">
      <c r="A280" s="65">
        <v>110679</v>
      </c>
      <c r="B280" s="66" t="s">
        <v>3597</v>
      </c>
      <c r="C280" s="66" t="s">
        <v>3933</v>
      </c>
      <c r="D280" s="65">
        <v>3850</v>
      </c>
      <c r="E280" s="65">
        <v>49</v>
      </c>
    </row>
    <row r="281" spans="1:5">
      <c r="A281" s="65">
        <v>110680</v>
      </c>
      <c r="B281" s="66" t="s">
        <v>3612</v>
      </c>
      <c r="C281" s="66" t="s">
        <v>3934</v>
      </c>
      <c r="D281" s="65">
        <v>1</v>
      </c>
      <c r="E281" s="65">
        <v>1</v>
      </c>
    </row>
    <row r="282" spans="1:5">
      <c r="A282" s="65">
        <v>110681</v>
      </c>
      <c r="B282" s="66" t="s">
        <v>3593</v>
      </c>
      <c r="C282" s="66" t="s">
        <v>3935</v>
      </c>
      <c r="D282" s="65">
        <v>116</v>
      </c>
      <c r="E282" s="65">
        <v>61</v>
      </c>
    </row>
    <row r="283" spans="1:5">
      <c r="A283" s="65">
        <v>110682</v>
      </c>
      <c r="B283" s="66" t="s">
        <v>3597</v>
      </c>
      <c r="C283" s="66" t="s">
        <v>3936</v>
      </c>
      <c r="D283" s="65">
        <v>132</v>
      </c>
      <c r="E283" s="65">
        <v>67</v>
      </c>
    </row>
    <row r="284" spans="1:5">
      <c r="A284" s="65">
        <v>110683</v>
      </c>
      <c r="B284" s="66" t="s">
        <v>3593</v>
      </c>
      <c r="C284" s="66" t="s">
        <v>3937</v>
      </c>
      <c r="D284" s="65">
        <v>92</v>
      </c>
      <c r="E284" s="65">
        <v>48</v>
      </c>
    </row>
    <row r="285" spans="1:5">
      <c r="A285" s="65">
        <v>110684</v>
      </c>
      <c r="B285" s="66" t="s">
        <v>3597</v>
      </c>
      <c r="C285" s="66" t="s">
        <v>3938</v>
      </c>
      <c r="D285" s="65">
        <v>20</v>
      </c>
      <c r="E285" s="65">
        <v>14</v>
      </c>
    </row>
    <row r="286" spans="1:5">
      <c r="A286" s="65">
        <v>110685</v>
      </c>
      <c r="B286" s="66" t="s">
        <v>3777</v>
      </c>
      <c r="C286" s="66" t="s">
        <v>3939</v>
      </c>
      <c r="D286" s="65">
        <v>2</v>
      </c>
      <c r="E286" s="65">
        <v>2</v>
      </c>
    </row>
    <row r="287" spans="1:5">
      <c r="A287" s="65">
        <v>110724</v>
      </c>
      <c r="B287" s="66" t="s">
        <v>3627</v>
      </c>
      <c r="C287" s="66" t="s">
        <v>3940</v>
      </c>
      <c r="D287" s="65">
        <v>1</v>
      </c>
      <c r="E287" s="65">
        <v>1</v>
      </c>
    </row>
    <row r="288" spans="1:5">
      <c r="A288" s="65">
        <v>110781</v>
      </c>
      <c r="B288" s="66" t="s">
        <v>3677</v>
      </c>
      <c r="C288" s="66" t="s">
        <v>3941</v>
      </c>
      <c r="D288" s="65">
        <v>26</v>
      </c>
      <c r="E288" s="65">
        <v>15</v>
      </c>
    </row>
    <row r="289" spans="1:5">
      <c r="A289" s="65">
        <v>1108</v>
      </c>
      <c r="B289" s="66" t="s">
        <v>3942</v>
      </c>
      <c r="C289" s="66" t="s">
        <v>3943</v>
      </c>
      <c r="D289" s="65">
        <v>7</v>
      </c>
      <c r="E289" s="65">
        <v>2</v>
      </c>
    </row>
    <row r="290" spans="1:5">
      <c r="A290" s="65">
        <v>110809</v>
      </c>
      <c r="B290" s="66" t="s">
        <v>3944</v>
      </c>
      <c r="C290" s="66" t="s">
        <v>3945</v>
      </c>
      <c r="D290" s="65">
        <v>10</v>
      </c>
      <c r="E290" s="65">
        <v>2</v>
      </c>
    </row>
    <row r="291" spans="1:5">
      <c r="A291" s="65">
        <v>110810</v>
      </c>
      <c r="B291" s="66" t="s">
        <v>3646</v>
      </c>
      <c r="C291" s="66" t="s">
        <v>3946</v>
      </c>
      <c r="D291" s="65">
        <v>6</v>
      </c>
      <c r="E291" s="65">
        <v>4</v>
      </c>
    </row>
    <row r="292" spans="1:5">
      <c r="A292" s="65">
        <v>110811</v>
      </c>
      <c r="B292" s="66" t="s">
        <v>3616</v>
      </c>
      <c r="C292" s="66" t="s">
        <v>3947</v>
      </c>
      <c r="D292" s="65">
        <v>132</v>
      </c>
      <c r="E292" s="65">
        <v>37</v>
      </c>
    </row>
    <row r="293" spans="1:5">
      <c r="A293" s="65">
        <v>110812</v>
      </c>
      <c r="B293" s="66" t="s">
        <v>3616</v>
      </c>
      <c r="C293" s="66" t="s">
        <v>3948</v>
      </c>
      <c r="D293" s="65">
        <v>65</v>
      </c>
      <c r="E293" s="65">
        <v>14</v>
      </c>
    </row>
    <row r="294" spans="1:5">
      <c r="A294" s="65">
        <v>110813</v>
      </c>
      <c r="B294" s="66" t="s">
        <v>3616</v>
      </c>
      <c r="C294" s="66" t="s">
        <v>3949</v>
      </c>
      <c r="D294" s="65">
        <v>460</v>
      </c>
      <c r="E294" s="65">
        <v>102</v>
      </c>
    </row>
    <row r="295" spans="1:5">
      <c r="A295" s="65">
        <v>110814</v>
      </c>
      <c r="B295" s="66" t="s">
        <v>3616</v>
      </c>
      <c r="C295" s="66" t="s">
        <v>3950</v>
      </c>
      <c r="D295" s="65">
        <v>143</v>
      </c>
      <c r="E295" s="65">
        <v>12</v>
      </c>
    </row>
    <row r="296" spans="1:5">
      <c r="A296" s="65">
        <v>110815</v>
      </c>
      <c r="B296" s="66" t="s">
        <v>3616</v>
      </c>
      <c r="C296" s="66" t="s">
        <v>3951</v>
      </c>
      <c r="D296" s="65">
        <v>109</v>
      </c>
      <c r="E296" s="65">
        <v>20</v>
      </c>
    </row>
    <row r="297" spans="1:5">
      <c r="A297" s="65">
        <v>110816</v>
      </c>
      <c r="B297" s="66" t="s">
        <v>3646</v>
      </c>
      <c r="C297" s="66" t="s">
        <v>3952</v>
      </c>
      <c r="D297" s="65">
        <v>445</v>
      </c>
      <c r="E297" s="65">
        <v>82</v>
      </c>
    </row>
    <row r="298" spans="1:5">
      <c r="A298" s="65">
        <v>110817</v>
      </c>
      <c r="B298" s="66" t="s">
        <v>3593</v>
      </c>
      <c r="C298" s="66" t="s">
        <v>3953</v>
      </c>
      <c r="D298" s="65">
        <v>1027</v>
      </c>
      <c r="E298" s="65">
        <v>80</v>
      </c>
    </row>
    <row r="299" spans="1:5">
      <c r="A299" s="65">
        <v>110824</v>
      </c>
      <c r="B299" s="66" t="s">
        <v>3641</v>
      </c>
      <c r="C299" s="66" t="s">
        <v>3954</v>
      </c>
      <c r="D299" s="65">
        <v>2</v>
      </c>
      <c r="E299" s="65">
        <v>1</v>
      </c>
    </row>
    <row r="300" spans="1:5">
      <c r="A300" s="65">
        <v>110841</v>
      </c>
      <c r="B300" s="66" t="s">
        <v>3731</v>
      </c>
      <c r="C300" s="66" t="s">
        <v>3955</v>
      </c>
      <c r="D300" s="65">
        <v>11</v>
      </c>
      <c r="E300" s="65">
        <v>9</v>
      </c>
    </row>
    <row r="301" spans="1:5">
      <c r="A301" s="65">
        <v>110872</v>
      </c>
      <c r="B301" s="66" t="s">
        <v>3593</v>
      </c>
      <c r="C301" s="66" t="s">
        <v>3956</v>
      </c>
      <c r="D301" s="65">
        <v>865</v>
      </c>
      <c r="E301" s="65">
        <v>18</v>
      </c>
    </row>
    <row r="302" spans="1:5">
      <c r="A302" s="65">
        <v>110946</v>
      </c>
      <c r="B302" s="66" t="s">
        <v>3625</v>
      </c>
      <c r="C302" s="66" t="s">
        <v>3957</v>
      </c>
      <c r="D302" s="65">
        <v>5</v>
      </c>
      <c r="E302" s="65">
        <v>4</v>
      </c>
    </row>
    <row r="303" spans="1:5">
      <c r="A303" s="65">
        <v>110971</v>
      </c>
      <c r="B303" s="66" t="s">
        <v>3731</v>
      </c>
      <c r="C303" s="66" t="s">
        <v>3958</v>
      </c>
      <c r="D303" s="65">
        <v>74</v>
      </c>
      <c r="E303" s="65">
        <v>25</v>
      </c>
    </row>
    <row r="304" spans="1:5">
      <c r="A304" s="65">
        <v>111</v>
      </c>
      <c r="B304" s="66" t="s">
        <v>3667</v>
      </c>
      <c r="C304" s="66" t="s">
        <v>3959</v>
      </c>
      <c r="D304" s="65">
        <v>9732</v>
      </c>
      <c r="E304" s="65">
        <v>693</v>
      </c>
    </row>
    <row r="305" spans="1:5">
      <c r="A305" s="65">
        <v>1111</v>
      </c>
      <c r="B305" s="66" t="s">
        <v>3601</v>
      </c>
      <c r="C305" s="66" t="s">
        <v>3960</v>
      </c>
      <c r="D305" s="65">
        <v>2354</v>
      </c>
      <c r="E305" s="65">
        <v>56</v>
      </c>
    </row>
    <row r="306" spans="1:5">
      <c r="A306" s="65">
        <v>111146</v>
      </c>
      <c r="B306" s="66" t="s">
        <v>3775</v>
      </c>
      <c r="C306" s="66" t="s">
        <v>3961</v>
      </c>
      <c r="D306" s="65">
        <v>780</v>
      </c>
      <c r="E306" s="65">
        <v>96</v>
      </c>
    </row>
    <row r="307" spans="1:5">
      <c r="A307" s="65">
        <v>11118</v>
      </c>
      <c r="B307" s="66" t="s">
        <v>3612</v>
      </c>
      <c r="C307" s="66" t="s">
        <v>3962</v>
      </c>
      <c r="D307" s="65">
        <v>12</v>
      </c>
      <c r="E307" s="65">
        <v>5</v>
      </c>
    </row>
    <row r="308" spans="1:5">
      <c r="A308" s="65">
        <v>111196</v>
      </c>
      <c r="B308" s="66" t="s">
        <v>3641</v>
      </c>
      <c r="C308" s="66" t="s">
        <v>3963</v>
      </c>
      <c r="D308" s="65">
        <v>4</v>
      </c>
      <c r="E308" s="65">
        <v>2</v>
      </c>
    </row>
    <row r="309" spans="1:5">
      <c r="A309" s="65">
        <v>111197</v>
      </c>
      <c r="B309" s="66" t="s">
        <v>3593</v>
      </c>
      <c r="C309" s="66" t="s">
        <v>3964</v>
      </c>
      <c r="D309" s="65">
        <v>11</v>
      </c>
      <c r="E309" s="65">
        <v>6</v>
      </c>
    </row>
    <row r="310" spans="1:5">
      <c r="A310" s="65">
        <v>111198</v>
      </c>
      <c r="B310" s="66" t="s">
        <v>3593</v>
      </c>
      <c r="C310" s="66" t="s">
        <v>3965</v>
      </c>
      <c r="D310" s="65">
        <v>2</v>
      </c>
      <c r="E310" s="65">
        <v>2</v>
      </c>
    </row>
    <row r="311" spans="1:5">
      <c r="A311" s="65">
        <v>1112</v>
      </c>
      <c r="B311" s="66" t="s">
        <v>3662</v>
      </c>
      <c r="C311" s="66" t="s">
        <v>3966</v>
      </c>
      <c r="D311" s="65">
        <v>16</v>
      </c>
      <c r="E311" s="65">
        <v>8</v>
      </c>
    </row>
    <row r="312" spans="1:5">
      <c r="A312" s="65">
        <v>111200</v>
      </c>
      <c r="B312" s="66" t="s">
        <v>3731</v>
      </c>
      <c r="C312" s="66" t="s">
        <v>3967</v>
      </c>
      <c r="D312" s="65">
        <v>4</v>
      </c>
      <c r="E312" s="65">
        <v>4</v>
      </c>
    </row>
    <row r="313" spans="1:5">
      <c r="A313" s="65">
        <v>111201</v>
      </c>
      <c r="B313" s="66" t="s">
        <v>3641</v>
      </c>
      <c r="C313" s="66" t="s">
        <v>3968</v>
      </c>
      <c r="D313" s="65">
        <v>1</v>
      </c>
      <c r="E313" s="65">
        <v>1</v>
      </c>
    </row>
    <row r="314" spans="1:5">
      <c r="A314" s="65">
        <v>111248</v>
      </c>
      <c r="B314" s="66" t="s">
        <v>3593</v>
      </c>
      <c r="C314" s="66" t="s">
        <v>3969</v>
      </c>
      <c r="D314" s="65">
        <v>87</v>
      </c>
      <c r="E314" s="65">
        <v>27</v>
      </c>
    </row>
    <row r="315" spans="1:5">
      <c r="A315" s="65">
        <v>111259</v>
      </c>
      <c r="B315" s="66" t="s">
        <v>3970</v>
      </c>
      <c r="C315" s="66" t="s">
        <v>3971</v>
      </c>
      <c r="D315" s="65">
        <v>47</v>
      </c>
      <c r="E315" s="65">
        <v>17</v>
      </c>
    </row>
    <row r="316" spans="1:5">
      <c r="A316" s="65">
        <v>111375</v>
      </c>
      <c r="B316" s="66" t="s">
        <v>3620</v>
      </c>
      <c r="C316" s="66" t="s">
        <v>3972</v>
      </c>
      <c r="D316" s="65">
        <v>1386</v>
      </c>
      <c r="E316" s="65">
        <v>31</v>
      </c>
    </row>
    <row r="317" spans="1:5">
      <c r="A317" s="65">
        <v>11147</v>
      </c>
      <c r="B317" s="66" t="s">
        <v>3973</v>
      </c>
      <c r="C317" s="66" t="s">
        <v>3974</v>
      </c>
      <c r="D317" s="65">
        <v>9</v>
      </c>
      <c r="E317" s="65">
        <v>3</v>
      </c>
    </row>
    <row r="318" spans="1:5">
      <c r="A318" s="65">
        <v>111480</v>
      </c>
      <c r="B318" s="66" t="s">
        <v>3646</v>
      </c>
      <c r="C318" s="66" t="s">
        <v>3975</v>
      </c>
      <c r="D318" s="65">
        <v>1075</v>
      </c>
      <c r="E318" s="65">
        <v>26</v>
      </c>
    </row>
    <row r="319" spans="1:5">
      <c r="A319" s="65">
        <v>1115</v>
      </c>
      <c r="B319" s="66" t="s">
        <v>3649</v>
      </c>
      <c r="C319" s="66" t="s">
        <v>3976</v>
      </c>
      <c r="D319" s="65">
        <v>225</v>
      </c>
      <c r="E319" s="65">
        <v>18</v>
      </c>
    </row>
    <row r="320" spans="1:5">
      <c r="A320" s="65">
        <v>111572</v>
      </c>
      <c r="B320" s="66" t="s">
        <v>3593</v>
      </c>
      <c r="C320" s="66" t="s">
        <v>3977</v>
      </c>
      <c r="D320" s="65">
        <v>10</v>
      </c>
      <c r="E320" s="65">
        <v>1</v>
      </c>
    </row>
    <row r="321" spans="1:5">
      <c r="A321" s="65">
        <v>111855</v>
      </c>
      <c r="B321" s="66" t="s">
        <v>3608</v>
      </c>
      <c r="C321" s="66" t="s">
        <v>3978</v>
      </c>
      <c r="D321" s="65">
        <v>77</v>
      </c>
      <c r="E321" s="65">
        <v>14</v>
      </c>
    </row>
    <row r="322" spans="1:5">
      <c r="A322" s="65">
        <v>111856</v>
      </c>
      <c r="B322" s="66" t="s">
        <v>3649</v>
      </c>
      <c r="C322" s="66" t="s">
        <v>3979</v>
      </c>
      <c r="D322" s="65">
        <v>81</v>
      </c>
      <c r="E322" s="65">
        <v>13</v>
      </c>
    </row>
    <row r="323" spans="1:5">
      <c r="A323" s="65">
        <v>111857</v>
      </c>
      <c r="B323" s="66" t="s">
        <v>3649</v>
      </c>
      <c r="C323" s="66" t="s">
        <v>3980</v>
      </c>
      <c r="D323" s="65">
        <v>59</v>
      </c>
      <c r="E323" s="65">
        <v>8</v>
      </c>
    </row>
    <row r="324" spans="1:5">
      <c r="A324" s="65">
        <v>111858</v>
      </c>
      <c r="B324" s="66" t="s">
        <v>3981</v>
      </c>
      <c r="C324" s="66" t="s">
        <v>3982</v>
      </c>
      <c r="D324" s="65">
        <v>20</v>
      </c>
      <c r="E324" s="65">
        <v>2</v>
      </c>
    </row>
    <row r="325" spans="1:5">
      <c r="A325" s="65">
        <v>111865</v>
      </c>
      <c r="B325" s="66" t="s">
        <v>3597</v>
      </c>
      <c r="C325" s="66" t="s">
        <v>3983</v>
      </c>
      <c r="D325" s="65">
        <v>656</v>
      </c>
      <c r="E325" s="65">
        <v>92</v>
      </c>
    </row>
    <row r="326" spans="1:5">
      <c r="A326" s="65">
        <v>111866</v>
      </c>
      <c r="B326" s="66" t="s">
        <v>3616</v>
      </c>
      <c r="C326" s="66" t="s">
        <v>3984</v>
      </c>
      <c r="D326" s="65">
        <v>189</v>
      </c>
      <c r="E326" s="65">
        <v>41</v>
      </c>
    </row>
    <row r="327" spans="1:5">
      <c r="A327" s="65">
        <v>111867</v>
      </c>
      <c r="B327" s="66" t="s">
        <v>3597</v>
      </c>
      <c r="C327" s="66" t="s">
        <v>3985</v>
      </c>
      <c r="D327" s="65">
        <v>6279</v>
      </c>
      <c r="E327" s="65">
        <v>690</v>
      </c>
    </row>
    <row r="328" spans="1:5">
      <c r="A328" s="65">
        <v>111868</v>
      </c>
      <c r="B328" s="66" t="s">
        <v>3597</v>
      </c>
      <c r="C328" s="66" t="s">
        <v>3986</v>
      </c>
      <c r="D328" s="65">
        <v>10695</v>
      </c>
      <c r="E328" s="65">
        <v>1081</v>
      </c>
    </row>
    <row r="329" spans="1:5">
      <c r="A329" s="65">
        <v>111869</v>
      </c>
      <c r="B329" s="66" t="s">
        <v>3597</v>
      </c>
      <c r="C329" s="66" t="s">
        <v>3987</v>
      </c>
      <c r="D329" s="65">
        <v>5793</v>
      </c>
      <c r="E329" s="65">
        <v>645</v>
      </c>
    </row>
    <row r="330" spans="1:5">
      <c r="A330" s="65">
        <v>112169</v>
      </c>
      <c r="B330" s="66" t="s">
        <v>3597</v>
      </c>
      <c r="C330" s="66" t="s">
        <v>3988</v>
      </c>
      <c r="D330" s="65">
        <v>7192</v>
      </c>
      <c r="E330" s="65">
        <v>461</v>
      </c>
    </row>
    <row r="331" spans="1:5">
      <c r="A331" s="65">
        <v>112289</v>
      </c>
      <c r="B331" s="66" t="s">
        <v>3667</v>
      </c>
      <c r="C331" s="66" t="s">
        <v>3989</v>
      </c>
      <c r="D331" s="65">
        <v>96</v>
      </c>
      <c r="E331" s="65">
        <v>50</v>
      </c>
    </row>
    <row r="332" spans="1:5">
      <c r="A332" s="65">
        <v>112382</v>
      </c>
      <c r="B332" s="66" t="s">
        <v>3625</v>
      </c>
      <c r="C332" s="66" t="s">
        <v>3990</v>
      </c>
      <c r="D332" s="65">
        <v>20</v>
      </c>
      <c r="E332" s="65">
        <v>1</v>
      </c>
    </row>
    <row r="333" spans="1:5">
      <c r="A333" s="65">
        <v>112383</v>
      </c>
      <c r="B333" s="66" t="s">
        <v>3625</v>
      </c>
      <c r="C333" s="66" t="s">
        <v>3991</v>
      </c>
      <c r="D333" s="65">
        <v>20</v>
      </c>
      <c r="E333" s="65">
        <v>1</v>
      </c>
    </row>
    <row r="334" spans="1:5">
      <c r="A334" s="65">
        <v>112421</v>
      </c>
      <c r="B334" s="66" t="s">
        <v>3599</v>
      </c>
      <c r="C334" s="66" t="s">
        <v>3992</v>
      </c>
      <c r="D334" s="65">
        <v>3</v>
      </c>
      <c r="E334" s="65">
        <v>2</v>
      </c>
    </row>
    <row r="335" spans="1:5">
      <c r="A335" s="65">
        <v>112422</v>
      </c>
      <c r="B335" s="66" t="s">
        <v>3599</v>
      </c>
      <c r="C335" s="66" t="s">
        <v>3993</v>
      </c>
      <c r="D335" s="65">
        <v>9</v>
      </c>
      <c r="E335" s="65">
        <v>3</v>
      </c>
    </row>
    <row r="336" spans="1:5">
      <c r="A336" s="65">
        <v>112423</v>
      </c>
      <c r="B336" s="66" t="s">
        <v>3599</v>
      </c>
      <c r="C336" s="66" t="s">
        <v>3994</v>
      </c>
      <c r="D336" s="65">
        <v>84</v>
      </c>
      <c r="E336" s="65">
        <v>7</v>
      </c>
    </row>
    <row r="337" spans="1:5">
      <c r="A337" s="65">
        <v>112427</v>
      </c>
      <c r="B337" s="66" t="s">
        <v>3597</v>
      </c>
      <c r="C337" s="66" t="s">
        <v>3995</v>
      </c>
      <c r="D337" s="65">
        <v>32</v>
      </c>
      <c r="E337" s="65">
        <v>10</v>
      </c>
    </row>
    <row r="338" spans="1:5">
      <c r="A338" s="65">
        <v>112428</v>
      </c>
      <c r="B338" s="66" t="s">
        <v>3599</v>
      </c>
      <c r="C338" s="66" t="s">
        <v>3996</v>
      </c>
      <c r="D338" s="65">
        <v>43</v>
      </c>
      <c r="E338" s="65">
        <v>16</v>
      </c>
    </row>
    <row r="339" spans="1:5">
      <c r="A339" s="65">
        <v>112429</v>
      </c>
      <c r="B339" s="66" t="s">
        <v>3597</v>
      </c>
      <c r="C339" s="66" t="s">
        <v>3997</v>
      </c>
      <c r="D339" s="65">
        <v>1300</v>
      </c>
      <c r="E339" s="65">
        <v>53</v>
      </c>
    </row>
    <row r="340" spans="1:5">
      <c r="A340" s="65">
        <v>112433</v>
      </c>
      <c r="B340" s="66" t="s">
        <v>3998</v>
      </c>
      <c r="C340" s="66" t="s">
        <v>3999</v>
      </c>
      <c r="D340" s="65">
        <v>1</v>
      </c>
      <c r="E340" s="65">
        <v>1</v>
      </c>
    </row>
    <row r="341" spans="1:5">
      <c r="A341" s="65">
        <v>112434</v>
      </c>
      <c r="B341" s="66" t="s">
        <v>3599</v>
      </c>
      <c r="C341" s="66" t="s">
        <v>4000</v>
      </c>
      <c r="D341" s="65">
        <v>24</v>
      </c>
      <c r="E341" s="65">
        <v>11</v>
      </c>
    </row>
    <row r="342" spans="1:5">
      <c r="A342" s="65">
        <v>112435</v>
      </c>
      <c r="B342" s="66" t="s">
        <v>3597</v>
      </c>
      <c r="C342" s="66" t="s">
        <v>4001</v>
      </c>
      <c r="D342" s="65">
        <v>565</v>
      </c>
      <c r="E342" s="65">
        <v>33</v>
      </c>
    </row>
    <row r="343" spans="1:5">
      <c r="A343" s="65">
        <v>112471</v>
      </c>
      <c r="B343" s="66" t="s">
        <v>3625</v>
      </c>
      <c r="C343" s="66" t="s">
        <v>4002</v>
      </c>
      <c r="D343" s="65">
        <v>22</v>
      </c>
      <c r="E343" s="65">
        <v>12</v>
      </c>
    </row>
    <row r="344" spans="1:5">
      <c r="A344" s="65">
        <v>112478</v>
      </c>
      <c r="B344" s="66" t="s">
        <v>3599</v>
      </c>
      <c r="C344" s="66" t="s">
        <v>4003</v>
      </c>
      <c r="D344" s="65">
        <v>170</v>
      </c>
      <c r="E344" s="65">
        <v>9</v>
      </c>
    </row>
    <row r="345" spans="1:5">
      <c r="A345" s="65">
        <v>112479</v>
      </c>
      <c r="B345" s="66" t="s">
        <v>3593</v>
      </c>
      <c r="C345" s="66" t="s">
        <v>4004</v>
      </c>
      <c r="D345" s="65">
        <v>50620</v>
      </c>
      <c r="E345" s="65">
        <v>676</v>
      </c>
    </row>
    <row r="346" spans="1:5">
      <c r="A346" s="65">
        <v>112481</v>
      </c>
      <c r="B346" s="66" t="s">
        <v>3843</v>
      </c>
      <c r="C346" s="66" t="s">
        <v>4005</v>
      </c>
      <c r="D346" s="65">
        <v>20</v>
      </c>
      <c r="E346" s="65">
        <v>2</v>
      </c>
    </row>
    <row r="347" spans="1:5">
      <c r="A347" s="65">
        <v>112548</v>
      </c>
      <c r="B347" s="66" t="s">
        <v>3614</v>
      </c>
      <c r="C347" s="66" t="s">
        <v>4006</v>
      </c>
      <c r="D347" s="65">
        <v>115</v>
      </c>
      <c r="E347" s="65">
        <v>24</v>
      </c>
    </row>
    <row r="348" spans="1:5">
      <c r="A348" s="65">
        <v>112550</v>
      </c>
      <c r="B348" s="66" t="s">
        <v>3601</v>
      </c>
      <c r="C348" s="66" t="s">
        <v>4007</v>
      </c>
      <c r="D348" s="65">
        <v>7400</v>
      </c>
      <c r="E348" s="65">
        <v>19</v>
      </c>
    </row>
    <row r="349" spans="1:5">
      <c r="A349" s="65">
        <v>112564</v>
      </c>
      <c r="B349" s="66" t="s">
        <v>3667</v>
      </c>
      <c r="C349" s="66" t="s">
        <v>4008</v>
      </c>
      <c r="D349" s="65">
        <v>664</v>
      </c>
      <c r="E349" s="65">
        <v>240</v>
      </c>
    </row>
    <row r="350" spans="1:5">
      <c r="A350" s="65">
        <v>112566</v>
      </c>
      <c r="B350" s="66" t="s">
        <v>3597</v>
      </c>
      <c r="C350" s="66" t="s">
        <v>4009</v>
      </c>
      <c r="D350" s="65">
        <v>1674</v>
      </c>
      <c r="E350" s="65">
        <v>270</v>
      </c>
    </row>
    <row r="351" spans="1:5">
      <c r="A351" s="65">
        <v>112571</v>
      </c>
      <c r="B351" s="66" t="s">
        <v>3649</v>
      </c>
      <c r="C351" s="66" t="s">
        <v>4010</v>
      </c>
      <c r="D351" s="65">
        <v>4</v>
      </c>
      <c r="E351" s="65">
        <v>2</v>
      </c>
    </row>
    <row r="352" spans="1:5">
      <c r="A352" s="65">
        <v>112595</v>
      </c>
      <c r="B352" s="66" t="s">
        <v>3597</v>
      </c>
      <c r="C352" s="66" t="s">
        <v>4011</v>
      </c>
      <c r="D352" s="65">
        <v>261</v>
      </c>
      <c r="E352" s="65">
        <v>43</v>
      </c>
    </row>
    <row r="353" spans="1:5">
      <c r="A353" s="65">
        <v>112596</v>
      </c>
      <c r="B353" s="66" t="s">
        <v>3597</v>
      </c>
      <c r="C353" s="66" t="s">
        <v>4012</v>
      </c>
      <c r="D353" s="65">
        <v>22</v>
      </c>
      <c r="E353" s="65">
        <v>6</v>
      </c>
    </row>
    <row r="354" spans="1:5">
      <c r="A354" s="65">
        <v>112655</v>
      </c>
      <c r="B354" s="66" t="s">
        <v>3597</v>
      </c>
      <c r="C354" s="66" t="s">
        <v>4013</v>
      </c>
      <c r="D354" s="65">
        <v>375</v>
      </c>
      <c r="E354" s="65">
        <v>22</v>
      </c>
    </row>
    <row r="355" spans="1:5">
      <c r="A355" s="65">
        <v>112656</v>
      </c>
      <c r="B355" s="66" t="s">
        <v>3599</v>
      </c>
      <c r="C355" s="66" t="s">
        <v>4014</v>
      </c>
      <c r="D355" s="65">
        <v>655</v>
      </c>
      <c r="E355" s="65">
        <v>31</v>
      </c>
    </row>
    <row r="356" spans="1:5">
      <c r="A356" s="65">
        <v>112675</v>
      </c>
      <c r="B356" s="66" t="s">
        <v>3593</v>
      </c>
      <c r="C356" s="66" t="s">
        <v>4015</v>
      </c>
      <c r="D356" s="65">
        <v>48</v>
      </c>
      <c r="E356" s="65">
        <v>3</v>
      </c>
    </row>
    <row r="357" spans="1:5">
      <c r="A357" s="65">
        <v>112686</v>
      </c>
      <c r="B357" s="66" t="s">
        <v>3709</v>
      </c>
      <c r="C357" s="66" t="s">
        <v>4016</v>
      </c>
      <c r="D357" s="65">
        <v>18</v>
      </c>
      <c r="E357" s="65">
        <v>2</v>
      </c>
    </row>
    <row r="358" spans="1:5">
      <c r="A358" s="65">
        <v>11271</v>
      </c>
      <c r="B358" s="66" t="s">
        <v>3593</v>
      </c>
      <c r="C358" s="66" t="s">
        <v>4017</v>
      </c>
      <c r="D358" s="65">
        <v>63</v>
      </c>
      <c r="E358" s="65">
        <v>7</v>
      </c>
    </row>
    <row r="359" spans="1:5">
      <c r="A359" s="65">
        <v>112714</v>
      </c>
      <c r="B359" s="66" t="s">
        <v>3783</v>
      </c>
      <c r="C359" s="66" t="s">
        <v>4018</v>
      </c>
      <c r="D359" s="65">
        <v>120</v>
      </c>
      <c r="E359" s="65">
        <v>8</v>
      </c>
    </row>
    <row r="360" spans="1:5">
      <c r="A360" s="65">
        <v>112720</v>
      </c>
      <c r="B360" s="66" t="s">
        <v>3599</v>
      </c>
      <c r="C360" s="66" t="s">
        <v>4019</v>
      </c>
      <c r="D360" s="65">
        <v>37</v>
      </c>
      <c r="E360" s="65">
        <v>9</v>
      </c>
    </row>
    <row r="361" spans="1:5">
      <c r="A361" s="65">
        <v>112795</v>
      </c>
      <c r="B361" s="66" t="s">
        <v>4020</v>
      </c>
      <c r="C361" s="66" t="s">
        <v>4021</v>
      </c>
      <c r="D361" s="65">
        <v>100</v>
      </c>
      <c r="E361" s="65">
        <v>1</v>
      </c>
    </row>
    <row r="362" spans="1:5">
      <c r="A362" s="65">
        <v>112803</v>
      </c>
      <c r="B362" s="66" t="s">
        <v>4020</v>
      </c>
      <c r="C362" s="66" t="s">
        <v>4022</v>
      </c>
      <c r="D362" s="65">
        <v>3</v>
      </c>
      <c r="E362" s="65">
        <v>2</v>
      </c>
    </row>
    <row r="363" spans="1:5">
      <c r="A363" s="65">
        <v>112804</v>
      </c>
      <c r="B363" s="66" t="s">
        <v>3667</v>
      </c>
      <c r="C363" s="66" t="s">
        <v>4023</v>
      </c>
      <c r="D363" s="65">
        <v>1</v>
      </c>
      <c r="E363" s="65">
        <v>1</v>
      </c>
    </row>
    <row r="364" spans="1:5">
      <c r="A364" s="65">
        <v>112805</v>
      </c>
      <c r="B364" s="66" t="s">
        <v>3614</v>
      </c>
      <c r="C364" s="66" t="s">
        <v>4024</v>
      </c>
      <c r="D364" s="65">
        <v>16</v>
      </c>
      <c r="E364" s="65">
        <v>5</v>
      </c>
    </row>
    <row r="365" spans="1:5">
      <c r="A365" s="65">
        <v>1132</v>
      </c>
      <c r="B365" s="66" t="s">
        <v>3593</v>
      </c>
      <c r="C365" s="66" t="s">
        <v>4025</v>
      </c>
      <c r="D365" s="65">
        <v>207</v>
      </c>
      <c r="E365" s="65">
        <v>41</v>
      </c>
    </row>
    <row r="366" spans="1:5">
      <c r="A366" s="65">
        <v>113301</v>
      </c>
      <c r="B366" s="66" t="s">
        <v>3593</v>
      </c>
      <c r="C366" s="66" t="s">
        <v>4026</v>
      </c>
      <c r="D366" s="65">
        <v>132</v>
      </c>
      <c r="E366" s="65">
        <v>4</v>
      </c>
    </row>
    <row r="367" spans="1:5">
      <c r="A367" s="65">
        <v>113302</v>
      </c>
      <c r="B367" s="66" t="s">
        <v>3599</v>
      </c>
      <c r="C367" s="66" t="s">
        <v>4027</v>
      </c>
      <c r="D367" s="65">
        <v>288</v>
      </c>
      <c r="E367" s="65">
        <v>4</v>
      </c>
    </row>
    <row r="368" spans="1:5">
      <c r="A368" s="65">
        <v>113326</v>
      </c>
      <c r="B368" s="66" t="s">
        <v>3593</v>
      </c>
      <c r="C368" s="66" t="s">
        <v>4028</v>
      </c>
      <c r="D368" s="65">
        <v>10</v>
      </c>
      <c r="E368" s="65">
        <v>4</v>
      </c>
    </row>
    <row r="369" spans="1:5">
      <c r="A369" s="65">
        <v>113328</v>
      </c>
      <c r="B369" s="66" t="s">
        <v>3606</v>
      </c>
      <c r="C369" s="66" t="s">
        <v>4029</v>
      </c>
      <c r="D369" s="65">
        <v>14</v>
      </c>
      <c r="E369" s="65">
        <v>8</v>
      </c>
    </row>
    <row r="370" spans="1:5">
      <c r="A370" s="65">
        <v>113391</v>
      </c>
      <c r="B370" s="66" t="s">
        <v>3641</v>
      </c>
      <c r="C370" s="66" t="s">
        <v>4030</v>
      </c>
      <c r="D370" s="65">
        <v>6</v>
      </c>
      <c r="E370" s="65">
        <v>1</v>
      </c>
    </row>
    <row r="371" spans="1:5">
      <c r="A371" s="65">
        <v>113394</v>
      </c>
      <c r="B371" s="66" t="s">
        <v>3599</v>
      </c>
      <c r="C371" s="66" t="s">
        <v>4031</v>
      </c>
      <c r="D371" s="65">
        <v>12</v>
      </c>
      <c r="E371" s="65">
        <v>2</v>
      </c>
    </row>
    <row r="372" spans="1:5">
      <c r="A372" s="65">
        <v>113397</v>
      </c>
      <c r="B372" s="66" t="s">
        <v>3593</v>
      </c>
      <c r="C372" s="66" t="s">
        <v>4032</v>
      </c>
      <c r="D372" s="65">
        <v>5</v>
      </c>
      <c r="E372" s="65">
        <v>2</v>
      </c>
    </row>
    <row r="373" spans="1:5">
      <c r="A373" s="65">
        <v>113405</v>
      </c>
      <c r="B373" s="66" t="s">
        <v>3593</v>
      </c>
      <c r="C373" s="66" t="s">
        <v>4033</v>
      </c>
      <c r="D373" s="65">
        <v>120</v>
      </c>
      <c r="E373" s="65">
        <v>1</v>
      </c>
    </row>
    <row r="374" spans="1:5">
      <c r="A374" s="65">
        <v>113437</v>
      </c>
      <c r="B374" s="66" t="s">
        <v>3639</v>
      </c>
      <c r="C374" s="66" t="s">
        <v>4034</v>
      </c>
      <c r="D374" s="65">
        <v>28</v>
      </c>
      <c r="E374" s="65">
        <v>1</v>
      </c>
    </row>
    <row r="375" spans="1:5">
      <c r="A375" s="65">
        <v>113438</v>
      </c>
      <c r="B375" s="66" t="s">
        <v>3643</v>
      </c>
      <c r="C375" s="66" t="s">
        <v>4035</v>
      </c>
      <c r="D375" s="65">
        <v>48</v>
      </c>
      <c r="E375" s="65">
        <v>8</v>
      </c>
    </row>
    <row r="376" spans="1:5">
      <c r="A376" s="65">
        <v>113439</v>
      </c>
      <c r="B376" s="66" t="s">
        <v>3597</v>
      </c>
      <c r="C376" s="66" t="s">
        <v>4036</v>
      </c>
      <c r="D376" s="65">
        <v>55</v>
      </c>
      <c r="E376" s="65">
        <v>7</v>
      </c>
    </row>
    <row r="377" spans="1:5">
      <c r="A377" s="65">
        <v>113442</v>
      </c>
      <c r="B377" s="66" t="s">
        <v>3641</v>
      </c>
      <c r="C377" s="66" t="s">
        <v>4037</v>
      </c>
      <c r="D377" s="65">
        <v>2</v>
      </c>
      <c r="E377" s="65">
        <v>2</v>
      </c>
    </row>
    <row r="378" spans="1:5">
      <c r="A378" s="65">
        <v>113447</v>
      </c>
      <c r="B378" s="66" t="s">
        <v>3593</v>
      </c>
      <c r="C378" s="66" t="s">
        <v>4038</v>
      </c>
      <c r="D378" s="65">
        <v>988</v>
      </c>
      <c r="E378" s="65">
        <v>41</v>
      </c>
    </row>
    <row r="379" spans="1:5">
      <c r="A379" s="65">
        <v>113448</v>
      </c>
      <c r="B379" s="66" t="s">
        <v>3876</v>
      </c>
      <c r="C379" s="66" t="s">
        <v>4039</v>
      </c>
      <c r="D379" s="65">
        <v>19</v>
      </c>
      <c r="E379" s="65">
        <v>2</v>
      </c>
    </row>
    <row r="380" spans="1:5">
      <c r="A380" s="65">
        <v>113450</v>
      </c>
      <c r="B380" s="66" t="s">
        <v>3731</v>
      </c>
      <c r="C380" s="66" t="s">
        <v>4040</v>
      </c>
      <c r="D380" s="65">
        <v>9</v>
      </c>
      <c r="E380" s="65">
        <v>9</v>
      </c>
    </row>
    <row r="381" spans="1:5">
      <c r="A381" s="65">
        <v>113453</v>
      </c>
      <c r="B381" s="66" t="s">
        <v>3593</v>
      </c>
      <c r="C381" s="66" t="s">
        <v>4041</v>
      </c>
      <c r="D381" s="65">
        <v>4</v>
      </c>
      <c r="E381" s="65">
        <v>4</v>
      </c>
    </row>
    <row r="382" spans="1:5">
      <c r="A382" s="65">
        <v>113455</v>
      </c>
      <c r="B382" s="66" t="s">
        <v>3593</v>
      </c>
      <c r="C382" s="66" t="s">
        <v>4042</v>
      </c>
      <c r="D382" s="65">
        <v>5</v>
      </c>
      <c r="E382" s="65">
        <v>3</v>
      </c>
    </row>
    <row r="383" spans="1:5">
      <c r="A383" s="65">
        <v>113456</v>
      </c>
      <c r="B383" s="66" t="s">
        <v>3593</v>
      </c>
      <c r="C383" s="66" t="s">
        <v>4043</v>
      </c>
      <c r="D383" s="65">
        <v>13</v>
      </c>
      <c r="E383" s="65">
        <v>11</v>
      </c>
    </row>
    <row r="384" spans="1:5">
      <c r="A384" s="65">
        <v>113467</v>
      </c>
      <c r="B384" s="66" t="s">
        <v>3639</v>
      </c>
      <c r="C384" s="66" t="s">
        <v>4044</v>
      </c>
      <c r="D384" s="65">
        <v>30</v>
      </c>
      <c r="E384" s="65">
        <v>1</v>
      </c>
    </row>
    <row r="385" spans="1:5">
      <c r="A385" s="65">
        <v>113471</v>
      </c>
      <c r="B385" s="66" t="s">
        <v>3597</v>
      </c>
      <c r="C385" s="66" t="s">
        <v>4045</v>
      </c>
      <c r="D385" s="65">
        <v>3480</v>
      </c>
      <c r="E385" s="65">
        <v>31</v>
      </c>
    </row>
    <row r="386" spans="1:5">
      <c r="A386" s="65">
        <v>113472</v>
      </c>
      <c r="B386" s="66" t="s">
        <v>3597</v>
      </c>
      <c r="C386" s="66" t="s">
        <v>4046</v>
      </c>
      <c r="D386" s="65">
        <v>634</v>
      </c>
      <c r="E386" s="65">
        <v>26</v>
      </c>
    </row>
    <row r="387" spans="1:5">
      <c r="A387" s="65">
        <v>113488</v>
      </c>
      <c r="B387" s="66" t="s">
        <v>3593</v>
      </c>
      <c r="C387" s="66" t="s">
        <v>4047</v>
      </c>
      <c r="D387" s="65">
        <v>22</v>
      </c>
      <c r="E387" s="65">
        <v>22</v>
      </c>
    </row>
    <row r="388" spans="1:5">
      <c r="A388" s="65">
        <v>113519</v>
      </c>
      <c r="B388" s="66" t="s">
        <v>3601</v>
      </c>
      <c r="C388" s="66" t="s">
        <v>4048</v>
      </c>
      <c r="D388" s="65">
        <v>5</v>
      </c>
      <c r="E388" s="65">
        <v>1</v>
      </c>
    </row>
    <row r="389" spans="1:5">
      <c r="A389" s="65">
        <v>113597</v>
      </c>
      <c r="B389" s="66" t="s">
        <v>3597</v>
      </c>
      <c r="C389" s="66" t="s">
        <v>4049</v>
      </c>
      <c r="D389" s="65">
        <v>702200</v>
      </c>
      <c r="E389" s="65">
        <v>994</v>
      </c>
    </row>
    <row r="390" spans="1:5">
      <c r="A390" s="65">
        <v>113610</v>
      </c>
      <c r="B390" s="66" t="s">
        <v>3593</v>
      </c>
      <c r="C390" s="66" t="s">
        <v>4050</v>
      </c>
      <c r="D390" s="65">
        <v>880</v>
      </c>
      <c r="E390" s="65">
        <v>95</v>
      </c>
    </row>
    <row r="391" spans="1:5">
      <c r="A391" s="65">
        <v>113611</v>
      </c>
      <c r="B391" s="66" t="s">
        <v>3597</v>
      </c>
      <c r="C391" s="66" t="s">
        <v>4051</v>
      </c>
      <c r="D391" s="65">
        <v>5171</v>
      </c>
      <c r="E391" s="65">
        <v>308</v>
      </c>
    </row>
    <row r="392" spans="1:5">
      <c r="A392" s="65">
        <v>113615</v>
      </c>
      <c r="B392" s="66" t="s">
        <v>3649</v>
      </c>
      <c r="C392" s="66" t="s">
        <v>4052</v>
      </c>
      <c r="D392" s="65">
        <v>4276</v>
      </c>
      <c r="E392" s="65">
        <v>150</v>
      </c>
    </row>
    <row r="393" spans="1:5">
      <c r="A393" s="65">
        <v>113619</v>
      </c>
      <c r="B393" s="66" t="s">
        <v>3639</v>
      </c>
      <c r="C393" s="66" t="s">
        <v>4053</v>
      </c>
      <c r="D393" s="65">
        <v>736</v>
      </c>
      <c r="E393" s="65">
        <v>46</v>
      </c>
    </row>
    <row r="394" spans="1:5">
      <c r="A394" s="65">
        <v>113622</v>
      </c>
      <c r="B394" s="66" t="s">
        <v>3616</v>
      </c>
      <c r="C394" s="66" t="s">
        <v>4054</v>
      </c>
      <c r="D394" s="65">
        <v>9331</v>
      </c>
      <c r="E394" s="65">
        <v>312</v>
      </c>
    </row>
    <row r="395" spans="1:5">
      <c r="A395" s="65">
        <v>113623</v>
      </c>
      <c r="B395" s="66" t="s">
        <v>3597</v>
      </c>
      <c r="C395" s="66" t="s">
        <v>4055</v>
      </c>
      <c r="D395" s="65">
        <v>15326</v>
      </c>
      <c r="E395" s="65">
        <v>698</v>
      </c>
    </row>
    <row r="396" spans="1:5">
      <c r="A396" s="65">
        <v>113625</v>
      </c>
      <c r="B396" s="66" t="s">
        <v>3599</v>
      </c>
      <c r="C396" s="66" t="s">
        <v>4056</v>
      </c>
      <c r="D396" s="65">
        <v>6</v>
      </c>
      <c r="E396" s="65">
        <v>1</v>
      </c>
    </row>
    <row r="397" spans="1:5">
      <c r="A397" s="65">
        <v>113639</v>
      </c>
      <c r="B397" s="66" t="s">
        <v>3606</v>
      </c>
      <c r="C397" s="66" t="s">
        <v>4057</v>
      </c>
      <c r="D397" s="65">
        <v>10</v>
      </c>
      <c r="E397" s="65">
        <v>2</v>
      </c>
    </row>
    <row r="398" spans="1:5">
      <c r="A398" s="65">
        <v>1139</v>
      </c>
      <c r="B398" s="66" t="s">
        <v>3606</v>
      </c>
      <c r="C398" s="66" t="s">
        <v>4058</v>
      </c>
      <c r="D398" s="65">
        <v>7</v>
      </c>
      <c r="E398" s="65">
        <v>7</v>
      </c>
    </row>
    <row r="399" spans="1:5">
      <c r="A399" s="65">
        <v>113927</v>
      </c>
      <c r="B399" s="66" t="s">
        <v>4059</v>
      </c>
      <c r="C399" s="66" t="s">
        <v>4060</v>
      </c>
      <c r="D399" s="65">
        <v>60</v>
      </c>
      <c r="E399" s="65">
        <v>2</v>
      </c>
    </row>
    <row r="400" spans="1:5">
      <c r="A400" s="65">
        <v>113965</v>
      </c>
      <c r="B400" s="66" t="s">
        <v>3599</v>
      </c>
      <c r="C400" s="66" t="s">
        <v>4061</v>
      </c>
      <c r="D400" s="65">
        <v>792</v>
      </c>
      <c r="E400" s="65">
        <v>2</v>
      </c>
    </row>
    <row r="401" spans="1:5">
      <c r="A401" s="65">
        <v>113966</v>
      </c>
      <c r="B401" s="66" t="s">
        <v>3599</v>
      </c>
      <c r="C401" s="66" t="s">
        <v>4062</v>
      </c>
      <c r="D401" s="65">
        <v>6</v>
      </c>
      <c r="E401" s="65">
        <v>3</v>
      </c>
    </row>
    <row r="402" spans="1:5">
      <c r="A402" s="65">
        <v>113974</v>
      </c>
      <c r="B402" s="66" t="s">
        <v>3599</v>
      </c>
      <c r="C402" s="66" t="s">
        <v>4063</v>
      </c>
      <c r="D402" s="65">
        <v>130</v>
      </c>
      <c r="E402" s="65">
        <v>6</v>
      </c>
    </row>
    <row r="403" spans="1:5">
      <c r="A403" s="65">
        <v>113983</v>
      </c>
      <c r="B403" s="66" t="s">
        <v>4064</v>
      </c>
      <c r="C403" s="66" t="s">
        <v>4065</v>
      </c>
      <c r="D403" s="65">
        <v>227</v>
      </c>
      <c r="E403" s="65">
        <v>4</v>
      </c>
    </row>
    <row r="404" spans="1:5">
      <c r="A404" s="65">
        <v>113990</v>
      </c>
      <c r="B404" s="66" t="s">
        <v>3593</v>
      </c>
      <c r="C404" s="66" t="s">
        <v>4066</v>
      </c>
      <c r="D404" s="65">
        <v>4400</v>
      </c>
      <c r="E404" s="65">
        <v>8</v>
      </c>
    </row>
    <row r="405" spans="1:5">
      <c r="A405" s="65">
        <v>113992</v>
      </c>
      <c r="B405" s="66" t="s">
        <v>3625</v>
      </c>
      <c r="C405" s="66" t="s">
        <v>4067</v>
      </c>
      <c r="D405" s="65">
        <v>80</v>
      </c>
      <c r="E405" s="65">
        <v>3</v>
      </c>
    </row>
    <row r="406" spans="1:5">
      <c r="A406" s="65">
        <v>113994</v>
      </c>
      <c r="B406" s="66" t="s">
        <v>3601</v>
      </c>
      <c r="C406" s="66" t="s">
        <v>4068</v>
      </c>
      <c r="D406" s="65">
        <v>9200</v>
      </c>
      <c r="E406" s="65">
        <v>12</v>
      </c>
    </row>
    <row r="407" spans="1:5">
      <c r="A407" s="65">
        <v>113995</v>
      </c>
      <c r="B407" s="66" t="s">
        <v>3667</v>
      </c>
      <c r="C407" s="66" t="s">
        <v>4069</v>
      </c>
      <c r="D407" s="65">
        <v>2409</v>
      </c>
      <c r="E407" s="65">
        <v>24</v>
      </c>
    </row>
    <row r="408" spans="1:5">
      <c r="A408" s="65">
        <v>113996</v>
      </c>
      <c r="B408" s="66" t="s">
        <v>3601</v>
      </c>
      <c r="C408" s="66" t="s">
        <v>4070</v>
      </c>
      <c r="D408" s="65">
        <v>2813</v>
      </c>
      <c r="E408" s="65">
        <v>30</v>
      </c>
    </row>
    <row r="409" spans="1:5">
      <c r="A409" s="65">
        <v>113997</v>
      </c>
      <c r="B409" s="66" t="s">
        <v>3597</v>
      </c>
      <c r="C409" s="66" t="s">
        <v>4071</v>
      </c>
      <c r="D409" s="65">
        <v>51</v>
      </c>
      <c r="E409" s="65">
        <v>26</v>
      </c>
    </row>
    <row r="410" spans="1:5">
      <c r="A410" s="65">
        <v>113998</v>
      </c>
      <c r="B410" s="66" t="s">
        <v>3649</v>
      </c>
      <c r="C410" s="66" t="s">
        <v>4072</v>
      </c>
      <c r="D410" s="65">
        <v>7900</v>
      </c>
      <c r="E410" s="65">
        <v>33</v>
      </c>
    </row>
    <row r="411" spans="1:5">
      <c r="A411" s="65">
        <v>113999</v>
      </c>
      <c r="B411" s="66" t="s">
        <v>3677</v>
      </c>
      <c r="C411" s="66" t="s">
        <v>4073</v>
      </c>
      <c r="D411" s="65">
        <v>13</v>
      </c>
      <c r="E411" s="65">
        <v>6</v>
      </c>
    </row>
    <row r="412" spans="1:5">
      <c r="A412" s="65">
        <v>114040</v>
      </c>
      <c r="B412" s="66" t="s">
        <v>3667</v>
      </c>
      <c r="C412" s="66" t="s">
        <v>4074</v>
      </c>
      <c r="D412" s="65">
        <v>3160</v>
      </c>
      <c r="E412" s="65">
        <v>55</v>
      </c>
    </row>
    <row r="413" spans="1:5">
      <c r="A413" s="65">
        <v>114044</v>
      </c>
      <c r="B413" s="66" t="s">
        <v>3667</v>
      </c>
      <c r="C413" s="66" t="s">
        <v>4075</v>
      </c>
      <c r="D413" s="65">
        <v>29875</v>
      </c>
      <c r="E413" s="65">
        <v>177</v>
      </c>
    </row>
    <row r="414" spans="1:5">
      <c r="A414" s="65">
        <v>114045</v>
      </c>
      <c r="B414" s="66" t="s">
        <v>3639</v>
      </c>
      <c r="C414" s="66" t="s">
        <v>4076</v>
      </c>
      <c r="D414" s="65">
        <v>11</v>
      </c>
      <c r="E414" s="65">
        <v>8</v>
      </c>
    </row>
    <row r="415" spans="1:5">
      <c r="A415" s="65">
        <v>114046</v>
      </c>
      <c r="B415" s="66" t="s">
        <v>3649</v>
      </c>
      <c r="C415" s="66" t="s">
        <v>4077</v>
      </c>
      <c r="D415" s="65">
        <v>17</v>
      </c>
      <c r="E415" s="65">
        <v>17</v>
      </c>
    </row>
    <row r="416" spans="1:5">
      <c r="A416" s="65">
        <v>114047</v>
      </c>
      <c r="B416" s="66" t="s">
        <v>3649</v>
      </c>
      <c r="C416" s="66" t="s">
        <v>4078</v>
      </c>
      <c r="D416" s="65">
        <v>3976</v>
      </c>
      <c r="E416" s="65">
        <v>31</v>
      </c>
    </row>
    <row r="417" spans="1:5">
      <c r="A417" s="65">
        <v>114048</v>
      </c>
      <c r="B417" s="66" t="s">
        <v>3649</v>
      </c>
      <c r="C417" s="66" t="s">
        <v>4079</v>
      </c>
      <c r="D417" s="65">
        <v>63</v>
      </c>
      <c r="E417" s="65">
        <v>24</v>
      </c>
    </row>
    <row r="418" spans="1:5">
      <c r="A418" s="65">
        <v>114052</v>
      </c>
      <c r="B418" s="66" t="s">
        <v>3639</v>
      </c>
      <c r="C418" s="66" t="s">
        <v>4080</v>
      </c>
      <c r="D418" s="65">
        <v>11200</v>
      </c>
      <c r="E418" s="65">
        <v>5</v>
      </c>
    </row>
    <row r="419" spans="1:5">
      <c r="A419" s="65">
        <v>114053</v>
      </c>
      <c r="B419" s="66" t="s">
        <v>3639</v>
      </c>
      <c r="C419" s="66" t="s">
        <v>4081</v>
      </c>
      <c r="D419" s="65">
        <v>6400</v>
      </c>
      <c r="E419" s="65">
        <v>8</v>
      </c>
    </row>
    <row r="420" spans="1:5">
      <c r="A420" s="65">
        <v>114054</v>
      </c>
      <c r="B420" s="66" t="s">
        <v>3639</v>
      </c>
      <c r="C420" s="66" t="s">
        <v>4082</v>
      </c>
      <c r="D420" s="65">
        <v>4400</v>
      </c>
      <c r="E420" s="65">
        <v>6</v>
      </c>
    </row>
    <row r="421" spans="1:5">
      <c r="A421" s="65">
        <v>114075</v>
      </c>
      <c r="B421" s="66" t="s">
        <v>3649</v>
      </c>
      <c r="C421" s="66" t="s">
        <v>4083</v>
      </c>
      <c r="D421" s="65">
        <v>3</v>
      </c>
      <c r="E421" s="65">
        <v>3</v>
      </c>
    </row>
    <row r="422" spans="1:5">
      <c r="A422" s="65">
        <v>114076</v>
      </c>
      <c r="B422" s="66" t="s">
        <v>4084</v>
      </c>
      <c r="C422" s="66" t="s">
        <v>4085</v>
      </c>
      <c r="D422" s="65">
        <v>1</v>
      </c>
      <c r="E422" s="65">
        <v>1</v>
      </c>
    </row>
    <row r="423" spans="1:5">
      <c r="A423" s="65">
        <v>114101</v>
      </c>
      <c r="B423" s="66" t="s">
        <v>3593</v>
      </c>
      <c r="C423" s="66" t="s">
        <v>4086</v>
      </c>
      <c r="D423" s="65">
        <v>534</v>
      </c>
      <c r="E423" s="65">
        <v>29</v>
      </c>
    </row>
    <row r="424" spans="1:5">
      <c r="A424" s="65">
        <v>114123</v>
      </c>
      <c r="B424" s="66" t="s">
        <v>3593</v>
      </c>
      <c r="C424" s="66" t="s">
        <v>4087</v>
      </c>
      <c r="D424" s="65">
        <v>7</v>
      </c>
      <c r="E424" s="65">
        <v>6</v>
      </c>
    </row>
    <row r="425" spans="1:5">
      <c r="A425" s="65">
        <v>114126</v>
      </c>
      <c r="B425" s="66" t="s">
        <v>3601</v>
      </c>
      <c r="C425" s="66" t="s">
        <v>4088</v>
      </c>
      <c r="D425" s="65">
        <v>40</v>
      </c>
      <c r="E425" s="65">
        <v>2</v>
      </c>
    </row>
    <row r="426" spans="1:5">
      <c r="A426" s="65">
        <v>114172</v>
      </c>
      <c r="B426" s="66" t="s">
        <v>3599</v>
      </c>
      <c r="C426" s="66" t="s">
        <v>4089</v>
      </c>
      <c r="D426" s="65">
        <v>18</v>
      </c>
      <c r="E426" s="65">
        <v>1</v>
      </c>
    </row>
    <row r="427" spans="1:5">
      <c r="A427" s="65">
        <v>114173</v>
      </c>
      <c r="B427" s="66" t="s">
        <v>3599</v>
      </c>
      <c r="C427" s="66" t="s">
        <v>4090</v>
      </c>
      <c r="D427" s="65">
        <v>54</v>
      </c>
      <c r="E427" s="65">
        <v>3</v>
      </c>
    </row>
    <row r="428" spans="1:5">
      <c r="A428" s="65">
        <v>114262</v>
      </c>
      <c r="B428" s="66" t="s">
        <v>3593</v>
      </c>
      <c r="C428" s="66" t="s">
        <v>4091</v>
      </c>
      <c r="D428" s="65">
        <v>33</v>
      </c>
      <c r="E428" s="65">
        <v>4</v>
      </c>
    </row>
    <row r="429" spans="1:5">
      <c r="A429" s="65">
        <v>114263</v>
      </c>
      <c r="B429" s="66" t="s">
        <v>3649</v>
      </c>
      <c r="C429" s="66" t="s">
        <v>4092</v>
      </c>
      <c r="D429" s="65">
        <v>11</v>
      </c>
      <c r="E429" s="65">
        <v>6</v>
      </c>
    </row>
    <row r="430" spans="1:5">
      <c r="A430" s="65">
        <v>114316</v>
      </c>
      <c r="B430" s="66" t="s">
        <v>3593</v>
      </c>
      <c r="C430" s="66" t="s">
        <v>4093</v>
      </c>
      <c r="D430" s="65">
        <v>4167</v>
      </c>
      <c r="E430" s="65">
        <v>19</v>
      </c>
    </row>
    <row r="431" spans="1:5">
      <c r="A431" s="65">
        <v>114318</v>
      </c>
      <c r="B431" s="66" t="s">
        <v>3597</v>
      </c>
      <c r="C431" s="66" t="s">
        <v>4094</v>
      </c>
      <c r="D431" s="65">
        <v>552</v>
      </c>
      <c r="E431" s="65">
        <v>66</v>
      </c>
    </row>
    <row r="432" spans="1:5">
      <c r="A432" s="65">
        <v>114325</v>
      </c>
      <c r="B432" s="66" t="s">
        <v>3597</v>
      </c>
      <c r="C432" s="66" t="s">
        <v>4095</v>
      </c>
      <c r="D432" s="65">
        <v>210700</v>
      </c>
      <c r="E432" s="65">
        <v>388</v>
      </c>
    </row>
    <row r="433" spans="1:5">
      <c r="A433" s="65">
        <v>114333</v>
      </c>
      <c r="B433" s="66" t="s">
        <v>3599</v>
      </c>
      <c r="C433" s="66" t="s">
        <v>4096</v>
      </c>
      <c r="D433" s="65">
        <v>200</v>
      </c>
      <c r="E433" s="65">
        <v>1</v>
      </c>
    </row>
    <row r="434" spans="1:5">
      <c r="A434" s="65">
        <v>114346</v>
      </c>
      <c r="B434" s="66" t="s">
        <v>4097</v>
      </c>
      <c r="C434" s="66" t="s">
        <v>4098</v>
      </c>
      <c r="D434" s="65">
        <v>10</v>
      </c>
      <c r="E434" s="65">
        <v>2</v>
      </c>
    </row>
    <row r="435" spans="1:5">
      <c r="A435" s="65">
        <v>114357</v>
      </c>
      <c r="B435" s="66" t="s">
        <v>3649</v>
      </c>
      <c r="C435" s="66" t="s">
        <v>4099</v>
      </c>
      <c r="D435" s="65">
        <v>182</v>
      </c>
      <c r="E435" s="65">
        <v>5</v>
      </c>
    </row>
    <row r="436" spans="1:5">
      <c r="A436" s="65">
        <v>114364</v>
      </c>
      <c r="B436" s="66" t="s">
        <v>3625</v>
      </c>
      <c r="C436" s="66" t="s">
        <v>4100</v>
      </c>
      <c r="D436" s="65">
        <v>1</v>
      </c>
      <c r="E436" s="65">
        <v>1</v>
      </c>
    </row>
    <row r="437" spans="1:5">
      <c r="A437" s="65">
        <v>114368</v>
      </c>
      <c r="B437" s="66" t="s">
        <v>3777</v>
      </c>
      <c r="C437" s="66" t="s">
        <v>4101</v>
      </c>
      <c r="D437" s="65">
        <v>10</v>
      </c>
      <c r="E437" s="65">
        <v>1</v>
      </c>
    </row>
    <row r="438" spans="1:5">
      <c r="A438" s="65">
        <v>114380</v>
      </c>
      <c r="B438" s="66" t="s">
        <v>4020</v>
      </c>
      <c r="C438" s="66" t="s">
        <v>4102</v>
      </c>
      <c r="D438" s="65">
        <v>100</v>
      </c>
      <c r="E438" s="65">
        <v>6</v>
      </c>
    </row>
    <row r="439" spans="1:5">
      <c r="A439" s="65">
        <v>114384</v>
      </c>
      <c r="B439" s="66" t="s">
        <v>3593</v>
      </c>
      <c r="C439" s="66" t="s">
        <v>4103</v>
      </c>
      <c r="D439" s="65">
        <v>1134</v>
      </c>
      <c r="E439" s="65">
        <v>19</v>
      </c>
    </row>
    <row r="440" spans="1:5">
      <c r="A440" s="65">
        <v>11444</v>
      </c>
      <c r="B440" s="66" t="s">
        <v>3597</v>
      </c>
      <c r="C440" s="66" t="s">
        <v>4104</v>
      </c>
      <c r="D440" s="65">
        <v>4326</v>
      </c>
      <c r="E440" s="65">
        <v>133</v>
      </c>
    </row>
    <row r="441" spans="1:5">
      <c r="A441" s="65">
        <v>1145</v>
      </c>
      <c r="B441" s="66" t="s">
        <v>3641</v>
      </c>
      <c r="C441" s="66" t="s">
        <v>4105</v>
      </c>
      <c r="D441" s="65">
        <v>26</v>
      </c>
      <c r="E441" s="65">
        <v>3</v>
      </c>
    </row>
    <row r="442" spans="1:5">
      <c r="A442" s="65">
        <v>114550</v>
      </c>
      <c r="B442" s="66" t="s">
        <v>3625</v>
      </c>
      <c r="C442" s="66" t="s">
        <v>4106</v>
      </c>
      <c r="D442" s="65">
        <v>30</v>
      </c>
      <c r="E442" s="65">
        <v>3</v>
      </c>
    </row>
    <row r="443" spans="1:5">
      <c r="A443" s="65">
        <v>114613</v>
      </c>
      <c r="B443" s="66" t="s">
        <v>3625</v>
      </c>
      <c r="C443" s="66" t="s">
        <v>4107</v>
      </c>
      <c r="D443" s="65">
        <v>60</v>
      </c>
      <c r="E443" s="65">
        <v>4</v>
      </c>
    </row>
    <row r="444" spans="1:5">
      <c r="A444" s="65">
        <v>1147</v>
      </c>
      <c r="B444" s="66" t="s">
        <v>3635</v>
      </c>
      <c r="C444" s="66" t="s">
        <v>4108</v>
      </c>
      <c r="D444" s="65">
        <v>10</v>
      </c>
      <c r="E444" s="65">
        <v>2</v>
      </c>
    </row>
    <row r="445" spans="1:5">
      <c r="A445" s="65">
        <v>114768</v>
      </c>
      <c r="B445" s="66" t="s">
        <v>3593</v>
      </c>
      <c r="C445" s="66" t="s">
        <v>4109</v>
      </c>
      <c r="D445" s="65">
        <v>28</v>
      </c>
      <c r="E445" s="65">
        <v>17</v>
      </c>
    </row>
    <row r="446" spans="1:5">
      <c r="A446" s="65">
        <v>11489</v>
      </c>
      <c r="B446" s="66" t="s">
        <v>3665</v>
      </c>
      <c r="C446" s="66" t="s">
        <v>4110</v>
      </c>
      <c r="D446" s="65">
        <v>10</v>
      </c>
      <c r="E446" s="65">
        <v>1</v>
      </c>
    </row>
    <row r="447" spans="1:5">
      <c r="A447" s="65">
        <v>11491</v>
      </c>
      <c r="B447" s="66" t="s">
        <v>3614</v>
      </c>
      <c r="C447" s="66" t="s">
        <v>4111</v>
      </c>
      <c r="D447" s="65">
        <v>7</v>
      </c>
      <c r="E447" s="65">
        <v>2</v>
      </c>
    </row>
    <row r="448" spans="1:5">
      <c r="A448" s="65">
        <v>114922</v>
      </c>
      <c r="B448" s="66" t="s">
        <v>3593</v>
      </c>
      <c r="C448" s="66" t="s">
        <v>4112</v>
      </c>
      <c r="D448" s="65">
        <v>4840</v>
      </c>
      <c r="E448" s="65">
        <v>49</v>
      </c>
    </row>
    <row r="449" spans="1:5">
      <c r="A449" s="65">
        <v>114938</v>
      </c>
      <c r="B449" s="66" t="s">
        <v>3599</v>
      </c>
      <c r="C449" s="66" t="s">
        <v>4113</v>
      </c>
      <c r="D449" s="65">
        <v>70</v>
      </c>
      <c r="E449" s="65">
        <v>3</v>
      </c>
    </row>
    <row r="450" spans="1:5">
      <c r="A450" s="65">
        <v>114950</v>
      </c>
      <c r="B450" s="66" t="s">
        <v>3599</v>
      </c>
      <c r="C450" s="66" t="s">
        <v>4114</v>
      </c>
      <c r="D450" s="65">
        <v>40</v>
      </c>
      <c r="E450" s="65">
        <v>1</v>
      </c>
    </row>
    <row r="451" spans="1:5">
      <c r="A451" s="65">
        <v>114978</v>
      </c>
      <c r="B451" s="66" t="s">
        <v>3597</v>
      </c>
      <c r="C451" s="66" t="s">
        <v>4115</v>
      </c>
      <c r="D451" s="65">
        <v>16</v>
      </c>
      <c r="E451" s="65">
        <v>8</v>
      </c>
    </row>
    <row r="452" spans="1:5">
      <c r="A452" s="65">
        <v>115008</v>
      </c>
      <c r="B452" s="66" t="s">
        <v>3593</v>
      </c>
      <c r="C452" s="66" t="s">
        <v>4116</v>
      </c>
      <c r="D452" s="65">
        <v>16</v>
      </c>
      <c r="E452" s="65">
        <v>14</v>
      </c>
    </row>
    <row r="453" spans="1:5">
      <c r="A453" s="65">
        <v>115022</v>
      </c>
      <c r="B453" s="66" t="s">
        <v>4117</v>
      </c>
      <c r="C453" s="66" t="s">
        <v>4118</v>
      </c>
      <c r="D453" s="65">
        <v>26</v>
      </c>
      <c r="E453" s="65">
        <v>22</v>
      </c>
    </row>
    <row r="454" spans="1:5">
      <c r="A454" s="65">
        <v>115027</v>
      </c>
      <c r="B454" s="66" t="s">
        <v>3599</v>
      </c>
      <c r="C454" s="66" t="s">
        <v>4119</v>
      </c>
      <c r="D454" s="65">
        <v>675</v>
      </c>
      <c r="E454" s="65">
        <v>13</v>
      </c>
    </row>
    <row r="455" spans="1:5">
      <c r="A455" s="65">
        <v>115039</v>
      </c>
      <c r="B455" s="66" t="s">
        <v>3593</v>
      </c>
      <c r="C455" s="66" t="s">
        <v>4120</v>
      </c>
      <c r="D455" s="65">
        <v>9950</v>
      </c>
      <c r="E455" s="65">
        <v>44</v>
      </c>
    </row>
    <row r="456" spans="1:5">
      <c r="A456" s="65">
        <v>115041</v>
      </c>
      <c r="B456" s="66" t="s">
        <v>3593</v>
      </c>
      <c r="C456" s="66" t="s">
        <v>4121</v>
      </c>
      <c r="D456" s="65">
        <v>544</v>
      </c>
      <c r="E456" s="65">
        <v>27</v>
      </c>
    </row>
    <row r="457" spans="1:5">
      <c r="A457" s="65">
        <v>115128</v>
      </c>
      <c r="B457" s="66" t="s">
        <v>3620</v>
      </c>
      <c r="C457" s="66" t="s">
        <v>4122</v>
      </c>
      <c r="D457" s="65">
        <v>7</v>
      </c>
      <c r="E457" s="65">
        <v>4</v>
      </c>
    </row>
    <row r="458" spans="1:5">
      <c r="A458" s="65">
        <v>115226</v>
      </c>
      <c r="B458" s="66" t="s">
        <v>3599</v>
      </c>
      <c r="C458" s="66" t="s">
        <v>4123</v>
      </c>
      <c r="D458" s="65">
        <v>17</v>
      </c>
      <c r="E458" s="65">
        <v>4</v>
      </c>
    </row>
    <row r="459" spans="1:5">
      <c r="A459" s="65">
        <v>115227</v>
      </c>
      <c r="B459" s="66" t="s">
        <v>3599</v>
      </c>
      <c r="C459" s="66" t="s">
        <v>4124</v>
      </c>
      <c r="D459" s="65">
        <v>13</v>
      </c>
      <c r="E459" s="65">
        <v>5</v>
      </c>
    </row>
    <row r="460" spans="1:5">
      <c r="A460" s="65">
        <v>1153</v>
      </c>
      <c r="B460" s="66" t="s">
        <v>3620</v>
      </c>
      <c r="C460" s="66" t="s">
        <v>4125</v>
      </c>
      <c r="D460" s="65">
        <v>6</v>
      </c>
      <c r="E460" s="65">
        <v>6</v>
      </c>
    </row>
    <row r="461" spans="1:5">
      <c r="A461" s="65">
        <v>115470</v>
      </c>
      <c r="B461" s="66" t="s">
        <v>3597</v>
      </c>
      <c r="C461" s="66" t="s">
        <v>4126</v>
      </c>
      <c r="D461" s="65">
        <v>136</v>
      </c>
      <c r="E461" s="65">
        <v>54</v>
      </c>
    </row>
    <row r="462" spans="1:5">
      <c r="A462" s="65">
        <v>115473</v>
      </c>
      <c r="B462" s="66" t="s">
        <v>3649</v>
      </c>
      <c r="C462" s="66" t="s">
        <v>4127</v>
      </c>
      <c r="D462" s="65">
        <v>4</v>
      </c>
      <c r="E462" s="65">
        <v>4</v>
      </c>
    </row>
    <row r="463" spans="1:5">
      <c r="A463" s="65">
        <v>115499</v>
      </c>
      <c r="B463" s="66" t="s">
        <v>3599</v>
      </c>
      <c r="C463" s="66" t="s">
        <v>4128</v>
      </c>
      <c r="D463" s="65">
        <v>152</v>
      </c>
      <c r="E463" s="65">
        <v>2</v>
      </c>
    </row>
    <row r="464" spans="1:5">
      <c r="A464" s="65">
        <v>11552</v>
      </c>
      <c r="B464" s="66" t="s">
        <v>3593</v>
      </c>
      <c r="C464" s="66" t="s">
        <v>4129</v>
      </c>
      <c r="D464" s="65">
        <v>126</v>
      </c>
      <c r="E464" s="65">
        <v>13</v>
      </c>
    </row>
    <row r="465" spans="1:5">
      <c r="A465" s="65">
        <v>115524</v>
      </c>
      <c r="B465" s="66" t="s">
        <v>4020</v>
      </c>
      <c r="C465" s="66" t="s">
        <v>4130</v>
      </c>
      <c r="D465" s="65">
        <v>5</v>
      </c>
      <c r="E465" s="65">
        <v>1</v>
      </c>
    </row>
    <row r="466" spans="1:5">
      <c r="A466" s="65">
        <v>115552</v>
      </c>
      <c r="B466" s="66" t="s">
        <v>3639</v>
      </c>
      <c r="C466" s="66" t="s">
        <v>4131</v>
      </c>
      <c r="D466" s="65">
        <v>2</v>
      </c>
      <c r="E466" s="65">
        <v>1</v>
      </c>
    </row>
    <row r="467" spans="1:5">
      <c r="A467" s="65">
        <v>11557</v>
      </c>
      <c r="B467" s="66" t="s">
        <v>3973</v>
      </c>
      <c r="C467" s="66" t="s">
        <v>4132</v>
      </c>
      <c r="D467" s="65">
        <v>12</v>
      </c>
      <c r="E467" s="65">
        <v>3</v>
      </c>
    </row>
    <row r="468" spans="1:5">
      <c r="A468" s="65">
        <v>1156</v>
      </c>
      <c r="B468" s="66" t="s">
        <v>3646</v>
      </c>
      <c r="C468" s="66" t="s">
        <v>4133</v>
      </c>
      <c r="D468" s="65">
        <v>9</v>
      </c>
      <c r="E468" s="65">
        <v>2</v>
      </c>
    </row>
    <row r="469" spans="1:5">
      <c r="A469" s="65">
        <v>115659</v>
      </c>
      <c r="B469" s="66" t="s">
        <v>3599</v>
      </c>
      <c r="C469" s="66" t="s">
        <v>4134</v>
      </c>
      <c r="D469" s="65">
        <v>50</v>
      </c>
      <c r="E469" s="65">
        <v>1</v>
      </c>
    </row>
    <row r="470" spans="1:5">
      <c r="A470" s="65">
        <v>1158</v>
      </c>
      <c r="B470" s="66" t="s">
        <v>3876</v>
      </c>
      <c r="C470" s="66" t="s">
        <v>4135</v>
      </c>
      <c r="D470" s="65">
        <v>5</v>
      </c>
      <c r="E470" s="65">
        <v>1</v>
      </c>
    </row>
    <row r="471" spans="1:5">
      <c r="A471" s="65">
        <v>1159</v>
      </c>
      <c r="B471" s="66" t="s">
        <v>3677</v>
      </c>
      <c r="C471" s="66" t="s">
        <v>4136</v>
      </c>
      <c r="D471" s="65">
        <v>10</v>
      </c>
      <c r="E471" s="65">
        <v>1</v>
      </c>
    </row>
    <row r="472" spans="1:5">
      <c r="A472" s="65">
        <v>116018</v>
      </c>
      <c r="B472" s="66" t="s">
        <v>4020</v>
      </c>
      <c r="C472" s="66" t="s">
        <v>4137</v>
      </c>
      <c r="D472" s="65">
        <v>620</v>
      </c>
      <c r="E472" s="65">
        <v>12</v>
      </c>
    </row>
    <row r="473" spans="1:5">
      <c r="A473" s="65">
        <v>116097</v>
      </c>
      <c r="B473" s="66" t="s">
        <v>4138</v>
      </c>
      <c r="C473" s="66" t="s">
        <v>4139</v>
      </c>
      <c r="D473" s="65">
        <v>50</v>
      </c>
      <c r="E473" s="65">
        <v>1</v>
      </c>
    </row>
    <row r="474" spans="1:5">
      <c r="A474" s="65">
        <v>116204</v>
      </c>
      <c r="B474" s="66" t="s">
        <v>4140</v>
      </c>
      <c r="C474" s="66" t="s">
        <v>4141</v>
      </c>
      <c r="D474" s="65">
        <v>238</v>
      </c>
      <c r="E474" s="65">
        <v>20</v>
      </c>
    </row>
    <row r="475" spans="1:5">
      <c r="A475" s="65">
        <v>116307</v>
      </c>
      <c r="B475" s="66" t="s">
        <v>3593</v>
      </c>
      <c r="C475" s="66" t="s">
        <v>4142</v>
      </c>
      <c r="D475" s="65">
        <v>15</v>
      </c>
      <c r="E475" s="65">
        <v>2</v>
      </c>
    </row>
    <row r="476" spans="1:5">
      <c r="A476" s="65">
        <v>116458</v>
      </c>
      <c r="B476" s="66" t="s">
        <v>3599</v>
      </c>
      <c r="C476" s="66" t="s">
        <v>4143</v>
      </c>
      <c r="D476" s="65">
        <v>200</v>
      </c>
      <c r="E476" s="65">
        <v>2</v>
      </c>
    </row>
    <row r="477" spans="1:5">
      <c r="A477" s="65">
        <v>116471</v>
      </c>
      <c r="B477" s="66" t="s">
        <v>3593</v>
      </c>
      <c r="C477" s="66" t="s">
        <v>4144</v>
      </c>
      <c r="D477" s="65">
        <v>811</v>
      </c>
      <c r="E477" s="65">
        <v>58</v>
      </c>
    </row>
    <row r="478" spans="1:5">
      <c r="A478" s="65">
        <v>116499</v>
      </c>
      <c r="B478" s="66" t="s">
        <v>3641</v>
      </c>
      <c r="C478" s="66" t="s">
        <v>4145</v>
      </c>
      <c r="D478" s="65">
        <v>2</v>
      </c>
      <c r="E478" s="65">
        <v>2</v>
      </c>
    </row>
    <row r="479" spans="1:5">
      <c r="A479" s="65">
        <v>116501</v>
      </c>
      <c r="B479" s="66" t="s">
        <v>3731</v>
      </c>
      <c r="C479" s="66" t="s">
        <v>4146</v>
      </c>
      <c r="D479" s="65">
        <v>18</v>
      </c>
      <c r="E479" s="65">
        <v>1</v>
      </c>
    </row>
    <row r="480" spans="1:5">
      <c r="A480" s="65">
        <v>116502</v>
      </c>
      <c r="B480" s="66" t="s">
        <v>3731</v>
      </c>
      <c r="C480" s="66" t="s">
        <v>4147</v>
      </c>
      <c r="D480" s="65">
        <v>36</v>
      </c>
      <c r="E480" s="65">
        <v>2</v>
      </c>
    </row>
    <row r="481" spans="1:5">
      <c r="A481" s="65">
        <v>116507</v>
      </c>
      <c r="B481" s="66" t="s">
        <v>3731</v>
      </c>
      <c r="C481" s="66" t="s">
        <v>4148</v>
      </c>
      <c r="D481" s="65">
        <v>1</v>
      </c>
      <c r="E481" s="65">
        <v>1</v>
      </c>
    </row>
    <row r="482" spans="1:5">
      <c r="A482" s="65">
        <v>116511</v>
      </c>
      <c r="B482" s="66" t="s">
        <v>3731</v>
      </c>
      <c r="C482" s="66" t="s">
        <v>4149</v>
      </c>
      <c r="D482" s="65">
        <v>13</v>
      </c>
      <c r="E482" s="65">
        <v>11</v>
      </c>
    </row>
    <row r="483" spans="1:5">
      <c r="A483" s="65">
        <v>116522</v>
      </c>
      <c r="B483" s="66" t="s">
        <v>3639</v>
      </c>
      <c r="C483" s="66" t="s">
        <v>4150</v>
      </c>
      <c r="D483" s="65">
        <v>68</v>
      </c>
      <c r="E483" s="65">
        <v>7</v>
      </c>
    </row>
    <row r="484" spans="1:5">
      <c r="A484" s="65">
        <v>116556</v>
      </c>
      <c r="B484" s="66" t="s">
        <v>3593</v>
      </c>
      <c r="C484" s="66" t="s">
        <v>4151</v>
      </c>
      <c r="D484" s="65">
        <v>12</v>
      </c>
      <c r="E484" s="65">
        <v>1</v>
      </c>
    </row>
    <row r="485" spans="1:5">
      <c r="A485" s="65">
        <v>116597</v>
      </c>
      <c r="B485" s="66" t="s">
        <v>3639</v>
      </c>
      <c r="C485" s="66" t="s">
        <v>4152</v>
      </c>
      <c r="D485" s="65">
        <v>384</v>
      </c>
      <c r="E485" s="65">
        <v>3</v>
      </c>
    </row>
    <row r="486" spans="1:5">
      <c r="A486" s="65">
        <v>116614</v>
      </c>
      <c r="B486" s="66" t="s">
        <v>4153</v>
      </c>
      <c r="C486" s="66" t="s">
        <v>4154</v>
      </c>
      <c r="D486" s="65">
        <v>2</v>
      </c>
      <c r="E486" s="65">
        <v>1</v>
      </c>
    </row>
    <row r="487" spans="1:5">
      <c r="A487" s="65">
        <v>116621</v>
      </c>
      <c r="B487" s="66" t="s">
        <v>3599</v>
      </c>
      <c r="C487" s="66" t="s">
        <v>4155</v>
      </c>
      <c r="D487" s="65">
        <v>63</v>
      </c>
      <c r="E487" s="65">
        <v>37</v>
      </c>
    </row>
    <row r="488" spans="1:5">
      <c r="A488" s="65">
        <v>116628</v>
      </c>
      <c r="B488" s="66" t="s">
        <v>3593</v>
      </c>
      <c r="C488" s="66" t="s">
        <v>4156</v>
      </c>
      <c r="D488" s="65">
        <v>1854</v>
      </c>
      <c r="E488" s="65">
        <v>92</v>
      </c>
    </row>
    <row r="489" spans="1:5">
      <c r="A489" s="65">
        <v>116633</v>
      </c>
      <c r="B489" s="66" t="s">
        <v>3599</v>
      </c>
      <c r="C489" s="66" t="s">
        <v>4157</v>
      </c>
      <c r="D489" s="65">
        <v>14</v>
      </c>
      <c r="E489" s="65">
        <v>8</v>
      </c>
    </row>
    <row r="490" spans="1:5">
      <c r="A490" s="65">
        <v>116639</v>
      </c>
      <c r="B490" s="66" t="s">
        <v>3599</v>
      </c>
      <c r="C490" s="66" t="s">
        <v>4158</v>
      </c>
      <c r="D490" s="65">
        <v>415</v>
      </c>
      <c r="E490" s="65">
        <v>47</v>
      </c>
    </row>
    <row r="491" spans="1:5">
      <c r="A491" s="65">
        <v>116652</v>
      </c>
      <c r="B491" s="66" t="s">
        <v>3599</v>
      </c>
      <c r="C491" s="66" t="s">
        <v>4159</v>
      </c>
      <c r="D491" s="65">
        <v>500</v>
      </c>
      <c r="E491" s="65">
        <v>5</v>
      </c>
    </row>
    <row r="492" spans="1:5">
      <c r="A492" s="65">
        <v>116661</v>
      </c>
      <c r="B492" s="66" t="s">
        <v>3614</v>
      </c>
      <c r="C492" s="66" t="s">
        <v>4160</v>
      </c>
      <c r="D492" s="65">
        <v>20</v>
      </c>
      <c r="E492" s="65">
        <v>2</v>
      </c>
    </row>
    <row r="493" spans="1:5">
      <c r="A493" s="65">
        <v>11671</v>
      </c>
      <c r="B493" s="66" t="s">
        <v>3649</v>
      </c>
      <c r="C493" s="66" t="s">
        <v>4161</v>
      </c>
      <c r="D493" s="65">
        <v>17</v>
      </c>
      <c r="E493" s="65">
        <v>7</v>
      </c>
    </row>
    <row r="494" spans="1:5">
      <c r="A494" s="65">
        <v>11679</v>
      </c>
      <c r="B494" s="66" t="s">
        <v>3627</v>
      </c>
      <c r="C494" s="66" t="s">
        <v>4162</v>
      </c>
      <c r="D494" s="65">
        <v>56</v>
      </c>
      <c r="E494" s="65">
        <v>7</v>
      </c>
    </row>
    <row r="495" spans="1:5">
      <c r="A495" s="65">
        <v>116843</v>
      </c>
      <c r="B495" s="66" t="s">
        <v>3593</v>
      </c>
      <c r="C495" s="66" t="s">
        <v>4163</v>
      </c>
      <c r="D495" s="65">
        <v>4578</v>
      </c>
      <c r="E495" s="65">
        <v>131</v>
      </c>
    </row>
    <row r="496" spans="1:5">
      <c r="A496" s="65">
        <v>116844</v>
      </c>
      <c r="B496" s="66" t="s">
        <v>3593</v>
      </c>
      <c r="C496" s="66" t="s">
        <v>4164</v>
      </c>
      <c r="D496" s="65">
        <v>5200</v>
      </c>
      <c r="E496" s="65">
        <v>37</v>
      </c>
    </row>
    <row r="497" spans="1:5">
      <c r="A497" s="65">
        <v>116845</v>
      </c>
      <c r="B497" s="66" t="s">
        <v>3599</v>
      </c>
      <c r="C497" s="66" t="s">
        <v>4165</v>
      </c>
      <c r="D497" s="65">
        <v>1400</v>
      </c>
      <c r="E497" s="65">
        <v>21</v>
      </c>
    </row>
    <row r="498" spans="1:5">
      <c r="A498" s="65">
        <v>116849</v>
      </c>
      <c r="B498" s="66" t="s">
        <v>3646</v>
      </c>
      <c r="C498" s="66" t="s">
        <v>4166</v>
      </c>
      <c r="D498" s="65">
        <v>1020</v>
      </c>
      <c r="E498" s="65">
        <v>25</v>
      </c>
    </row>
    <row r="499" spans="1:5">
      <c r="A499" s="65">
        <v>116850</v>
      </c>
      <c r="B499" s="66" t="s">
        <v>3649</v>
      </c>
      <c r="C499" s="66" t="s">
        <v>4167</v>
      </c>
      <c r="D499" s="65">
        <v>49</v>
      </c>
      <c r="E499" s="65">
        <v>15</v>
      </c>
    </row>
    <row r="500" spans="1:5">
      <c r="A500" s="65">
        <v>116881</v>
      </c>
      <c r="B500" s="66" t="s">
        <v>3601</v>
      </c>
      <c r="C500" s="66" t="s">
        <v>4168</v>
      </c>
      <c r="D500" s="65">
        <v>208</v>
      </c>
      <c r="E500" s="65">
        <v>5</v>
      </c>
    </row>
    <row r="501" spans="1:5">
      <c r="A501" s="65">
        <v>11689</v>
      </c>
      <c r="B501" s="66" t="s">
        <v>3649</v>
      </c>
      <c r="C501" s="66" t="s">
        <v>4169</v>
      </c>
      <c r="D501" s="65">
        <v>16</v>
      </c>
      <c r="E501" s="65">
        <v>3</v>
      </c>
    </row>
    <row r="502" spans="1:5">
      <c r="A502" s="65">
        <v>116903</v>
      </c>
      <c r="B502" s="66" t="s">
        <v>3593</v>
      </c>
      <c r="C502" s="66" t="s">
        <v>4170</v>
      </c>
      <c r="D502" s="65">
        <v>320</v>
      </c>
      <c r="E502" s="65">
        <v>11</v>
      </c>
    </row>
    <row r="503" spans="1:5">
      <c r="A503" s="65">
        <v>116905</v>
      </c>
      <c r="B503" s="66" t="s">
        <v>3731</v>
      </c>
      <c r="C503" s="66" t="s">
        <v>4171</v>
      </c>
      <c r="D503" s="65">
        <v>381</v>
      </c>
      <c r="E503" s="65">
        <v>6</v>
      </c>
    </row>
    <row r="504" spans="1:5">
      <c r="A504" s="65">
        <v>116906</v>
      </c>
      <c r="B504" s="66" t="s">
        <v>3593</v>
      </c>
      <c r="C504" s="66" t="s">
        <v>4172</v>
      </c>
      <c r="D504" s="65">
        <v>240</v>
      </c>
      <c r="E504" s="65">
        <v>4</v>
      </c>
    </row>
    <row r="505" spans="1:5">
      <c r="A505" s="65">
        <v>116911</v>
      </c>
      <c r="B505" s="66" t="s">
        <v>3612</v>
      </c>
      <c r="C505" s="66" t="s">
        <v>4173</v>
      </c>
      <c r="D505" s="65">
        <v>74</v>
      </c>
      <c r="E505" s="65">
        <v>10</v>
      </c>
    </row>
    <row r="506" spans="1:5">
      <c r="A506" s="65">
        <v>116913</v>
      </c>
      <c r="B506" s="66" t="s">
        <v>3616</v>
      </c>
      <c r="C506" s="66" t="s">
        <v>4174</v>
      </c>
      <c r="D506" s="65">
        <v>100</v>
      </c>
      <c r="E506" s="65">
        <v>4</v>
      </c>
    </row>
    <row r="507" spans="1:5">
      <c r="A507" s="65">
        <v>116915</v>
      </c>
      <c r="B507" s="66" t="s">
        <v>4175</v>
      </c>
      <c r="C507" s="66" t="s">
        <v>4176</v>
      </c>
      <c r="D507" s="65">
        <v>379</v>
      </c>
      <c r="E507" s="65">
        <v>75</v>
      </c>
    </row>
    <row r="508" spans="1:5">
      <c r="A508" s="65">
        <v>116916</v>
      </c>
      <c r="B508" s="66" t="s">
        <v>3597</v>
      </c>
      <c r="C508" s="66" t="s">
        <v>4177</v>
      </c>
      <c r="D508" s="65">
        <v>14437</v>
      </c>
      <c r="E508" s="65">
        <v>526</v>
      </c>
    </row>
    <row r="509" spans="1:5">
      <c r="A509" s="65">
        <v>116941</v>
      </c>
      <c r="B509" s="66" t="s">
        <v>3627</v>
      </c>
      <c r="C509" s="66" t="s">
        <v>4178</v>
      </c>
      <c r="D509" s="65">
        <v>136</v>
      </c>
      <c r="E509" s="65">
        <v>10</v>
      </c>
    </row>
    <row r="510" spans="1:5">
      <c r="A510" s="65">
        <v>116951</v>
      </c>
      <c r="B510" s="66" t="s">
        <v>3599</v>
      </c>
      <c r="C510" s="66" t="s">
        <v>4179</v>
      </c>
      <c r="D510" s="65">
        <v>50</v>
      </c>
      <c r="E510" s="65">
        <v>1</v>
      </c>
    </row>
    <row r="511" spans="1:5">
      <c r="A511" s="65">
        <v>116955</v>
      </c>
      <c r="B511" s="66" t="s">
        <v>3599</v>
      </c>
      <c r="C511" s="66" t="s">
        <v>4180</v>
      </c>
      <c r="D511" s="65">
        <v>30</v>
      </c>
      <c r="E511" s="65">
        <v>1</v>
      </c>
    </row>
    <row r="512" spans="1:5">
      <c r="A512" s="65">
        <v>116983</v>
      </c>
      <c r="B512" s="66" t="s">
        <v>3662</v>
      </c>
      <c r="C512" s="66" t="s">
        <v>4181</v>
      </c>
      <c r="D512" s="65">
        <v>13</v>
      </c>
      <c r="E512" s="65">
        <v>8</v>
      </c>
    </row>
    <row r="513" spans="1:5">
      <c r="A513" s="65">
        <v>117</v>
      </c>
      <c r="B513" s="66" t="s">
        <v>3593</v>
      </c>
      <c r="C513" s="66" t="s">
        <v>4182</v>
      </c>
      <c r="D513" s="65">
        <v>133</v>
      </c>
      <c r="E513" s="65">
        <v>20</v>
      </c>
    </row>
    <row r="514" spans="1:5">
      <c r="A514" s="65">
        <v>117007</v>
      </c>
      <c r="B514" s="66" t="s">
        <v>3900</v>
      </c>
      <c r="C514" s="66" t="s">
        <v>4183</v>
      </c>
      <c r="D514" s="65">
        <v>10</v>
      </c>
      <c r="E514" s="65">
        <v>3</v>
      </c>
    </row>
    <row r="515" spans="1:5">
      <c r="A515" s="65">
        <v>117036</v>
      </c>
      <c r="B515" s="66" t="s">
        <v>3894</v>
      </c>
      <c r="C515" s="66" t="s">
        <v>4184</v>
      </c>
      <c r="D515" s="65">
        <v>80</v>
      </c>
      <c r="E515" s="65">
        <v>1</v>
      </c>
    </row>
    <row r="516" spans="1:5">
      <c r="A516" s="65">
        <v>117060</v>
      </c>
      <c r="B516" s="66" t="s">
        <v>3731</v>
      </c>
      <c r="C516" s="66" t="s">
        <v>4185</v>
      </c>
      <c r="D516" s="65">
        <v>3</v>
      </c>
      <c r="E516" s="65">
        <v>2</v>
      </c>
    </row>
    <row r="517" spans="1:5">
      <c r="A517" s="65">
        <v>1171</v>
      </c>
      <c r="B517" s="66" t="s">
        <v>3616</v>
      </c>
      <c r="C517" s="66" t="s">
        <v>4186</v>
      </c>
      <c r="D517" s="65">
        <v>303</v>
      </c>
      <c r="E517" s="65">
        <v>36</v>
      </c>
    </row>
    <row r="518" spans="1:5">
      <c r="A518" s="65">
        <v>117127</v>
      </c>
      <c r="B518" s="66" t="s">
        <v>3599</v>
      </c>
      <c r="C518" s="66" t="s">
        <v>4187</v>
      </c>
      <c r="D518" s="65">
        <v>80</v>
      </c>
      <c r="E518" s="65">
        <v>2</v>
      </c>
    </row>
    <row r="519" spans="1:5">
      <c r="A519" s="65">
        <v>117154</v>
      </c>
      <c r="B519" s="66" t="s">
        <v>3665</v>
      </c>
      <c r="C519" s="66" t="s">
        <v>4188</v>
      </c>
      <c r="D519" s="65">
        <v>12</v>
      </c>
      <c r="E519" s="65">
        <v>4</v>
      </c>
    </row>
    <row r="520" spans="1:5">
      <c r="A520" s="65">
        <v>117155</v>
      </c>
      <c r="B520" s="66" t="s">
        <v>3677</v>
      </c>
      <c r="C520" s="66" t="s">
        <v>4189</v>
      </c>
      <c r="D520" s="65">
        <v>47</v>
      </c>
      <c r="E520" s="65">
        <v>12</v>
      </c>
    </row>
    <row r="521" spans="1:5">
      <c r="A521" s="65">
        <v>1172</v>
      </c>
      <c r="B521" s="66" t="s">
        <v>3593</v>
      </c>
      <c r="C521" s="66" t="s">
        <v>4190</v>
      </c>
      <c r="D521" s="65">
        <v>709</v>
      </c>
      <c r="E521" s="65">
        <v>68</v>
      </c>
    </row>
    <row r="522" spans="1:5">
      <c r="A522" s="65">
        <v>1174</v>
      </c>
      <c r="B522" s="66" t="s">
        <v>4191</v>
      </c>
      <c r="C522" s="66" t="s">
        <v>4192</v>
      </c>
      <c r="D522" s="65">
        <v>45</v>
      </c>
      <c r="E522" s="65">
        <v>11</v>
      </c>
    </row>
    <row r="523" spans="1:5">
      <c r="A523" s="65">
        <v>1175</v>
      </c>
      <c r="B523" s="66" t="s">
        <v>3616</v>
      </c>
      <c r="C523" s="66" t="s">
        <v>4193</v>
      </c>
      <c r="D523" s="65">
        <v>27</v>
      </c>
      <c r="E523" s="65">
        <v>6</v>
      </c>
    </row>
    <row r="524" spans="1:5">
      <c r="A524" s="65">
        <v>11769</v>
      </c>
      <c r="B524" s="66" t="s">
        <v>3625</v>
      </c>
      <c r="C524" s="66" t="s">
        <v>4194</v>
      </c>
      <c r="D524" s="65">
        <v>560</v>
      </c>
      <c r="E524" s="65">
        <v>5</v>
      </c>
    </row>
    <row r="525" spans="1:5">
      <c r="A525" s="65">
        <v>117795</v>
      </c>
      <c r="B525" s="66" t="s">
        <v>3625</v>
      </c>
      <c r="C525" s="66" t="s">
        <v>4195</v>
      </c>
      <c r="D525" s="65">
        <v>375</v>
      </c>
      <c r="E525" s="65">
        <v>2</v>
      </c>
    </row>
    <row r="526" spans="1:5">
      <c r="A526" s="65">
        <v>117891</v>
      </c>
      <c r="B526" s="66" t="s">
        <v>3593</v>
      </c>
      <c r="C526" s="66" t="s">
        <v>4196</v>
      </c>
      <c r="D526" s="65">
        <v>1700</v>
      </c>
      <c r="E526" s="65">
        <v>16</v>
      </c>
    </row>
    <row r="527" spans="1:5">
      <c r="A527" s="65">
        <v>1179</v>
      </c>
      <c r="B527" s="66" t="s">
        <v>4197</v>
      </c>
      <c r="C527" s="66" t="s">
        <v>4198</v>
      </c>
      <c r="D527" s="65">
        <v>3</v>
      </c>
      <c r="E527" s="65">
        <v>1</v>
      </c>
    </row>
    <row r="528" spans="1:5">
      <c r="A528" s="65">
        <v>117922</v>
      </c>
      <c r="B528" s="66" t="s">
        <v>3786</v>
      </c>
      <c r="C528" s="66" t="s">
        <v>4199</v>
      </c>
      <c r="D528" s="65">
        <v>2600</v>
      </c>
      <c r="E528" s="65">
        <v>25</v>
      </c>
    </row>
    <row r="529" spans="1:5">
      <c r="A529" s="65">
        <v>117930</v>
      </c>
      <c r="B529" s="66" t="s">
        <v>3900</v>
      </c>
      <c r="C529" s="66" t="s">
        <v>4200</v>
      </c>
      <c r="D529" s="65">
        <v>21</v>
      </c>
      <c r="E529" s="65">
        <v>3</v>
      </c>
    </row>
    <row r="530" spans="1:5">
      <c r="A530" s="65">
        <v>1181</v>
      </c>
      <c r="B530" s="66" t="s">
        <v>4197</v>
      </c>
      <c r="C530" s="66" t="s">
        <v>4201</v>
      </c>
      <c r="D530" s="65">
        <v>12</v>
      </c>
      <c r="E530" s="65">
        <v>2</v>
      </c>
    </row>
    <row r="531" spans="1:5">
      <c r="A531" s="65">
        <v>1182</v>
      </c>
      <c r="B531" s="66" t="s">
        <v>3786</v>
      </c>
      <c r="C531" s="66" t="s">
        <v>4202</v>
      </c>
      <c r="D531" s="65">
        <v>42</v>
      </c>
      <c r="E531" s="65">
        <v>15</v>
      </c>
    </row>
    <row r="532" spans="1:5">
      <c r="A532" s="65">
        <v>118301</v>
      </c>
      <c r="B532" s="66" t="s">
        <v>3597</v>
      </c>
      <c r="C532" s="66" t="s">
        <v>4203</v>
      </c>
      <c r="D532" s="65">
        <v>37</v>
      </c>
      <c r="E532" s="65">
        <v>29</v>
      </c>
    </row>
    <row r="533" spans="1:5">
      <c r="A533" s="65">
        <v>118318</v>
      </c>
      <c r="B533" s="66" t="s">
        <v>3597</v>
      </c>
      <c r="C533" s="66" t="s">
        <v>4204</v>
      </c>
      <c r="D533" s="65">
        <v>10600</v>
      </c>
      <c r="E533" s="65">
        <v>58</v>
      </c>
    </row>
    <row r="534" spans="1:5">
      <c r="A534" s="65">
        <v>118325</v>
      </c>
      <c r="B534" s="66" t="s">
        <v>3593</v>
      </c>
      <c r="C534" s="66" t="s">
        <v>4205</v>
      </c>
      <c r="D534" s="65">
        <v>49</v>
      </c>
      <c r="E534" s="65">
        <v>22</v>
      </c>
    </row>
    <row r="535" spans="1:5">
      <c r="A535" s="65">
        <v>118326</v>
      </c>
      <c r="B535" s="66" t="s">
        <v>3786</v>
      </c>
      <c r="C535" s="66" t="s">
        <v>4206</v>
      </c>
      <c r="D535" s="65">
        <v>54</v>
      </c>
      <c r="E535" s="65">
        <v>16</v>
      </c>
    </row>
    <row r="536" spans="1:5">
      <c r="A536" s="65">
        <v>118342</v>
      </c>
      <c r="B536" s="66" t="s">
        <v>3599</v>
      </c>
      <c r="C536" s="66" t="s">
        <v>4207</v>
      </c>
      <c r="D536" s="65">
        <v>120</v>
      </c>
      <c r="E536" s="65">
        <v>2</v>
      </c>
    </row>
    <row r="537" spans="1:5">
      <c r="A537" s="65">
        <v>118343</v>
      </c>
      <c r="B537" s="66" t="s">
        <v>3599</v>
      </c>
      <c r="C537" s="66" t="s">
        <v>4208</v>
      </c>
      <c r="D537" s="65">
        <v>90</v>
      </c>
      <c r="E537" s="65">
        <v>3</v>
      </c>
    </row>
    <row r="538" spans="1:5">
      <c r="A538" s="65">
        <v>118344</v>
      </c>
      <c r="B538" s="66" t="s">
        <v>3599</v>
      </c>
      <c r="C538" s="66" t="s">
        <v>4209</v>
      </c>
      <c r="D538" s="65">
        <v>30</v>
      </c>
      <c r="E538" s="65">
        <v>1</v>
      </c>
    </row>
    <row r="539" spans="1:5">
      <c r="A539" s="65">
        <v>118355</v>
      </c>
      <c r="B539" s="66" t="s">
        <v>3667</v>
      </c>
      <c r="C539" s="66" t="s">
        <v>4210</v>
      </c>
      <c r="D539" s="65">
        <v>167</v>
      </c>
      <c r="E539" s="65">
        <v>39</v>
      </c>
    </row>
    <row r="540" spans="1:5">
      <c r="A540" s="65">
        <v>118437</v>
      </c>
      <c r="B540" s="66" t="s">
        <v>3599</v>
      </c>
      <c r="C540" s="66" t="s">
        <v>4211</v>
      </c>
      <c r="D540" s="65">
        <v>20</v>
      </c>
      <c r="E540" s="65">
        <v>1</v>
      </c>
    </row>
    <row r="541" spans="1:5">
      <c r="A541" s="65">
        <v>118440</v>
      </c>
      <c r="B541" s="66" t="s">
        <v>3593</v>
      </c>
      <c r="C541" s="66" t="s">
        <v>4212</v>
      </c>
      <c r="D541" s="65">
        <v>2350</v>
      </c>
      <c r="E541" s="65">
        <v>238</v>
      </c>
    </row>
    <row r="542" spans="1:5">
      <c r="A542" s="65">
        <v>118496</v>
      </c>
      <c r="B542" s="66" t="s">
        <v>3599</v>
      </c>
      <c r="C542" s="66" t="s">
        <v>4213</v>
      </c>
      <c r="D542" s="65">
        <v>18</v>
      </c>
      <c r="E542" s="65">
        <v>15</v>
      </c>
    </row>
    <row r="543" spans="1:5">
      <c r="A543" s="65">
        <v>1185</v>
      </c>
      <c r="B543" s="66" t="s">
        <v>4097</v>
      </c>
      <c r="C543" s="66" t="s">
        <v>4214</v>
      </c>
      <c r="D543" s="65">
        <v>8</v>
      </c>
      <c r="E543" s="65">
        <v>2</v>
      </c>
    </row>
    <row r="544" spans="1:5">
      <c r="A544" s="65">
        <v>118520</v>
      </c>
      <c r="B544" s="66" t="s">
        <v>4191</v>
      </c>
      <c r="C544" s="66" t="s">
        <v>4215</v>
      </c>
      <c r="D544" s="65">
        <v>100</v>
      </c>
      <c r="E544" s="65">
        <v>1</v>
      </c>
    </row>
    <row r="545" spans="1:5">
      <c r="A545" s="65">
        <v>118618</v>
      </c>
      <c r="B545" s="66" t="s">
        <v>4197</v>
      </c>
      <c r="C545" s="66" t="s">
        <v>4216</v>
      </c>
      <c r="D545" s="65">
        <v>205</v>
      </c>
      <c r="E545" s="65">
        <v>12</v>
      </c>
    </row>
    <row r="546" spans="1:5">
      <c r="A546" s="65">
        <v>118742</v>
      </c>
      <c r="B546" s="66" t="s">
        <v>4097</v>
      </c>
      <c r="C546" s="66" t="s">
        <v>4217</v>
      </c>
      <c r="D546" s="65">
        <v>1</v>
      </c>
      <c r="E546" s="65">
        <v>1</v>
      </c>
    </row>
    <row r="547" spans="1:5">
      <c r="A547" s="65">
        <v>118779</v>
      </c>
      <c r="B547" s="66" t="s">
        <v>3616</v>
      </c>
      <c r="C547" s="66" t="s">
        <v>4218</v>
      </c>
      <c r="D547" s="65">
        <v>73450</v>
      </c>
      <c r="E547" s="65">
        <v>385</v>
      </c>
    </row>
    <row r="548" spans="1:5">
      <c r="A548" s="65">
        <v>118782</v>
      </c>
      <c r="B548" s="66" t="s">
        <v>3593</v>
      </c>
      <c r="C548" s="66" t="s">
        <v>4219</v>
      </c>
      <c r="D548" s="65">
        <v>842</v>
      </c>
      <c r="E548" s="65">
        <v>107</v>
      </c>
    </row>
    <row r="549" spans="1:5">
      <c r="A549" s="65">
        <v>1188</v>
      </c>
      <c r="B549" s="66" t="s">
        <v>3786</v>
      </c>
      <c r="C549" s="66" t="s">
        <v>4220</v>
      </c>
      <c r="D549" s="65">
        <v>6</v>
      </c>
      <c r="E549" s="65">
        <v>3</v>
      </c>
    </row>
    <row r="550" spans="1:5">
      <c r="A550" s="65">
        <v>118835</v>
      </c>
      <c r="B550" s="66" t="s">
        <v>3635</v>
      </c>
      <c r="C550" s="66" t="s">
        <v>4221</v>
      </c>
      <c r="D550" s="65">
        <v>220</v>
      </c>
      <c r="E550" s="65">
        <v>10</v>
      </c>
    </row>
    <row r="551" spans="1:5">
      <c r="A551" s="65">
        <v>118836</v>
      </c>
      <c r="B551" s="66" t="s">
        <v>4175</v>
      </c>
      <c r="C551" s="66" t="s">
        <v>4222</v>
      </c>
      <c r="D551" s="65">
        <v>537</v>
      </c>
      <c r="E551" s="65">
        <v>18</v>
      </c>
    </row>
    <row r="552" spans="1:5">
      <c r="A552" s="65">
        <v>118837</v>
      </c>
      <c r="B552" s="66" t="s">
        <v>3599</v>
      </c>
      <c r="C552" s="66" t="s">
        <v>4223</v>
      </c>
      <c r="D552" s="65">
        <v>2200</v>
      </c>
      <c r="E552" s="65">
        <v>9</v>
      </c>
    </row>
    <row r="553" spans="1:5">
      <c r="A553" s="65">
        <v>118894</v>
      </c>
      <c r="B553" s="66" t="s">
        <v>3597</v>
      </c>
      <c r="C553" s="66" t="s">
        <v>4224</v>
      </c>
      <c r="D553" s="65">
        <v>397</v>
      </c>
      <c r="E553" s="65">
        <v>56</v>
      </c>
    </row>
    <row r="554" spans="1:5">
      <c r="A554" s="65">
        <v>118905</v>
      </c>
      <c r="B554" s="66" t="s">
        <v>3627</v>
      </c>
      <c r="C554" s="66" t="s">
        <v>4225</v>
      </c>
      <c r="D554" s="65">
        <v>283</v>
      </c>
      <c r="E554" s="65">
        <v>24</v>
      </c>
    </row>
    <row r="555" spans="1:5">
      <c r="A555" s="65">
        <v>118945</v>
      </c>
      <c r="B555" s="66" t="s">
        <v>3599</v>
      </c>
      <c r="C555" s="66" t="s">
        <v>4226</v>
      </c>
      <c r="D555" s="65">
        <v>693</v>
      </c>
      <c r="E555" s="65">
        <v>71</v>
      </c>
    </row>
    <row r="556" spans="1:5">
      <c r="A556" s="65">
        <v>11895</v>
      </c>
      <c r="B556" s="66" t="s">
        <v>4227</v>
      </c>
      <c r="C556" s="66" t="s">
        <v>4228</v>
      </c>
      <c r="D556" s="65">
        <v>106</v>
      </c>
      <c r="E556" s="65">
        <v>15</v>
      </c>
    </row>
    <row r="557" spans="1:5">
      <c r="A557" s="65">
        <v>118955</v>
      </c>
      <c r="B557" s="66" t="s">
        <v>3616</v>
      </c>
      <c r="C557" s="66" t="s">
        <v>4229</v>
      </c>
      <c r="D557" s="65">
        <v>579</v>
      </c>
      <c r="E557" s="65">
        <v>171</v>
      </c>
    </row>
    <row r="558" spans="1:5">
      <c r="A558" s="65">
        <v>119</v>
      </c>
      <c r="B558" s="66" t="s">
        <v>3601</v>
      </c>
      <c r="C558" s="66" t="s">
        <v>4230</v>
      </c>
      <c r="D558" s="65">
        <v>780</v>
      </c>
      <c r="E558" s="65">
        <v>37</v>
      </c>
    </row>
    <row r="559" spans="1:5">
      <c r="A559" s="65">
        <v>1190</v>
      </c>
      <c r="B559" s="66" t="s">
        <v>4197</v>
      </c>
      <c r="C559" s="66" t="s">
        <v>4231</v>
      </c>
      <c r="D559" s="65">
        <v>8</v>
      </c>
      <c r="E559" s="65">
        <v>3</v>
      </c>
    </row>
    <row r="560" spans="1:5">
      <c r="A560" s="65">
        <v>119209</v>
      </c>
      <c r="B560" s="66" t="s">
        <v>4232</v>
      </c>
      <c r="C560" s="66" t="s">
        <v>4233</v>
      </c>
      <c r="D560" s="65">
        <v>200</v>
      </c>
      <c r="E560" s="65">
        <v>2</v>
      </c>
    </row>
    <row r="561" spans="1:5">
      <c r="A561" s="65">
        <v>11938</v>
      </c>
      <c r="B561" s="66" t="s">
        <v>3876</v>
      </c>
      <c r="C561" s="66" t="s">
        <v>4234</v>
      </c>
      <c r="D561" s="65">
        <v>25</v>
      </c>
      <c r="E561" s="65">
        <v>4</v>
      </c>
    </row>
    <row r="562" spans="1:5">
      <c r="A562" s="65">
        <v>119580</v>
      </c>
      <c r="B562" s="66" t="s">
        <v>3593</v>
      </c>
      <c r="C562" s="66" t="s">
        <v>4235</v>
      </c>
      <c r="D562" s="65">
        <v>10</v>
      </c>
      <c r="E562" s="65">
        <v>1</v>
      </c>
    </row>
    <row r="563" spans="1:5">
      <c r="A563" s="65">
        <v>119829</v>
      </c>
      <c r="B563" s="66" t="s">
        <v>3649</v>
      </c>
      <c r="C563" s="66" t="s">
        <v>4236</v>
      </c>
      <c r="D563" s="65">
        <v>616</v>
      </c>
      <c r="E563" s="65">
        <v>24</v>
      </c>
    </row>
    <row r="564" spans="1:5">
      <c r="A564" s="65">
        <v>119896</v>
      </c>
      <c r="B564" s="66" t="s">
        <v>4237</v>
      </c>
      <c r="C564" s="66" t="s">
        <v>4238</v>
      </c>
      <c r="D564" s="65">
        <v>40</v>
      </c>
      <c r="E564" s="65">
        <v>2</v>
      </c>
    </row>
    <row r="565" spans="1:5">
      <c r="A565" s="65">
        <v>119934</v>
      </c>
      <c r="B565" s="66" t="s">
        <v>3639</v>
      </c>
      <c r="C565" s="66" t="s">
        <v>4239</v>
      </c>
      <c r="D565" s="65">
        <v>70</v>
      </c>
      <c r="E565" s="65">
        <v>5</v>
      </c>
    </row>
    <row r="566" spans="1:5">
      <c r="A566" s="65">
        <v>119935</v>
      </c>
      <c r="B566" s="66" t="s">
        <v>3593</v>
      </c>
      <c r="C566" s="66" t="s">
        <v>4240</v>
      </c>
      <c r="D566" s="65">
        <v>70</v>
      </c>
      <c r="E566" s="65">
        <v>6</v>
      </c>
    </row>
    <row r="567" spans="1:5">
      <c r="A567" s="65">
        <v>119962</v>
      </c>
      <c r="B567" s="66" t="s">
        <v>3597</v>
      </c>
      <c r="C567" s="66" t="s">
        <v>4241</v>
      </c>
      <c r="D567" s="65">
        <v>4</v>
      </c>
      <c r="E567" s="65">
        <v>1</v>
      </c>
    </row>
    <row r="568" spans="1:5">
      <c r="A568" s="65">
        <v>119965</v>
      </c>
      <c r="B568" s="66" t="s">
        <v>3593</v>
      </c>
      <c r="C568" s="66" t="s">
        <v>4242</v>
      </c>
      <c r="D568" s="65">
        <v>198</v>
      </c>
      <c r="E568" s="65">
        <v>23</v>
      </c>
    </row>
    <row r="569" spans="1:5">
      <c r="A569" s="65">
        <v>119970</v>
      </c>
      <c r="B569" s="66" t="s">
        <v>3597</v>
      </c>
      <c r="C569" s="66" t="s">
        <v>4243</v>
      </c>
      <c r="D569" s="65">
        <v>5</v>
      </c>
      <c r="E569" s="65">
        <v>4</v>
      </c>
    </row>
    <row r="570" spans="1:5">
      <c r="A570" s="65">
        <v>119975</v>
      </c>
      <c r="B570" s="66" t="s">
        <v>3649</v>
      </c>
      <c r="C570" s="66" t="s">
        <v>4244</v>
      </c>
      <c r="D570" s="65">
        <v>129</v>
      </c>
      <c r="E570" s="65">
        <v>8</v>
      </c>
    </row>
    <row r="571" spans="1:5">
      <c r="A571" s="65">
        <v>119995</v>
      </c>
      <c r="B571" s="66" t="s">
        <v>3998</v>
      </c>
      <c r="C571" s="66" t="s">
        <v>4245</v>
      </c>
      <c r="D571" s="65">
        <v>529</v>
      </c>
      <c r="E571" s="65">
        <v>37</v>
      </c>
    </row>
    <row r="572" spans="1:5">
      <c r="A572" s="65">
        <v>120</v>
      </c>
      <c r="B572" s="66" t="s">
        <v>3616</v>
      </c>
      <c r="C572" s="66" t="s">
        <v>4246</v>
      </c>
      <c r="D572" s="65">
        <v>1333</v>
      </c>
      <c r="E572" s="65">
        <v>76</v>
      </c>
    </row>
    <row r="573" spans="1:5">
      <c r="A573" s="65">
        <v>120002</v>
      </c>
      <c r="B573" s="66" t="s">
        <v>3597</v>
      </c>
      <c r="C573" s="66" t="s">
        <v>4247</v>
      </c>
      <c r="D573" s="65">
        <v>8520</v>
      </c>
      <c r="E573" s="65">
        <v>131</v>
      </c>
    </row>
    <row r="574" spans="1:5">
      <c r="A574" s="65">
        <v>120003</v>
      </c>
      <c r="B574" s="66" t="s">
        <v>3597</v>
      </c>
      <c r="C574" s="66" t="s">
        <v>4248</v>
      </c>
      <c r="D574" s="65">
        <v>23025</v>
      </c>
      <c r="E574" s="65">
        <v>234</v>
      </c>
    </row>
    <row r="575" spans="1:5">
      <c r="A575" s="65">
        <v>120004</v>
      </c>
      <c r="B575" s="66" t="s">
        <v>3593</v>
      </c>
      <c r="C575" s="66" t="s">
        <v>4249</v>
      </c>
      <c r="D575" s="65">
        <v>109350</v>
      </c>
      <c r="E575" s="65">
        <v>492</v>
      </c>
    </row>
    <row r="576" spans="1:5">
      <c r="A576" s="65">
        <v>120005</v>
      </c>
      <c r="B576" s="66" t="s">
        <v>3599</v>
      </c>
      <c r="C576" s="66" t="s">
        <v>4250</v>
      </c>
      <c r="D576" s="65">
        <v>1440</v>
      </c>
      <c r="E576" s="65">
        <v>3</v>
      </c>
    </row>
    <row r="577" spans="1:5">
      <c r="A577" s="65">
        <v>120024</v>
      </c>
      <c r="B577" s="66" t="s">
        <v>3616</v>
      </c>
      <c r="C577" s="66" t="s">
        <v>4251</v>
      </c>
      <c r="D577" s="65">
        <v>2594</v>
      </c>
      <c r="E577" s="65">
        <v>102</v>
      </c>
    </row>
    <row r="578" spans="1:5">
      <c r="A578" s="65">
        <v>120031</v>
      </c>
      <c r="B578" s="66" t="s">
        <v>3616</v>
      </c>
      <c r="C578" s="66" t="s">
        <v>4252</v>
      </c>
      <c r="D578" s="65">
        <v>838</v>
      </c>
      <c r="E578" s="65">
        <v>355</v>
      </c>
    </row>
    <row r="579" spans="1:5">
      <c r="A579" s="65">
        <v>12007</v>
      </c>
      <c r="B579" s="66" t="s">
        <v>4253</v>
      </c>
      <c r="C579" s="66" t="s">
        <v>4254</v>
      </c>
      <c r="D579" s="65">
        <v>100</v>
      </c>
      <c r="E579" s="65">
        <v>2</v>
      </c>
    </row>
    <row r="580" spans="1:5">
      <c r="A580" s="65">
        <v>120173</v>
      </c>
      <c r="B580" s="66" t="s">
        <v>3593</v>
      </c>
      <c r="C580" s="66" t="s">
        <v>4255</v>
      </c>
      <c r="D580" s="65">
        <v>61</v>
      </c>
      <c r="E580" s="65">
        <v>11</v>
      </c>
    </row>
    <row r="581" spans="1:5">
      <c r="A581" s="65">
        <v>120174</v>
      </c>
      <c r="B581" s="66" t="s">
        <v>3601</v>
      </c>
      <c r="C581" s="66" t="s">
        <v>4256</v>
      </c>
      <c r="D581" s="65">
        <v>211</v>
      </c>
      <c r="E581" s="65">
        <v>40</v>
      </c>
    </row>
    <row r="582" spans="1:5">
      <c r="A582" s="65">
        <v>120175</v>
      </c>
      <c r="B582" s="66" t="s">
        <v>3599</v>
      </c>
      <c r="C582" s="66" t="s">
        <v>4257</v>
      </c>
      <c r="D582" s="65">
        <v>78</v>
      </c>
      <c r="E582" s="65">
        <v>13</v>
      </c>
    </row>
    <row r="583" spans="1:5">
      <c r="A583" s="65">
        <v>120280</v>
      </c>
      <c r="B583" s="66" t="s">
        <v>3742</v>
      </c>
      <c r="C583" s="66" t="s">
        <v>4258</v>
      </c>
      <c r="D583" s="65">
        <v>40</v>
      </c>
      <c r="E583" s="65">
        <v>1</v>
      </c>
    </row>
    <row r="584" spans="1:5">
      <c r="A584" s="65">
        <v>12090</v>
      </c>
      <c r="B584" s="66" t="s">
        <v>3641</v>
      </c>
      <c r="C584" s="66" t="s">
        <v>4259</v>
      </c>
      <c r="D584" s="65">
        <v>3</v>
      </c>
      <c r="E584" s="65">
        <v>3</v>
      </c>
    </row>
    <row r="585" spans="1:5">
      <c r="A585" s="65">
        <v>121</v>
      </c>
      <c r="B585" s="66" t="s">
        <v>3616</v>
      </c>
      <c r="C585" s="66" t="s">
        <v>4260</v>
      </c>
      <c r="D585" s="65">
        <v>2278</v>
      </c>
      <c r="E585" s="65">
        <v>164</v>
      </c>
    </row>
    <row r="586" spans="1:5">
      <c r="A586" s="65">
        <v>121075</v>
      </c>
      <c r="B586" s="66" t="s">
        <v>3635</v>
      </c>
      <c r="C586" s="66" t="s">
        <v>4261</v>
      </c>
      <c r="D586" s="65">
        <v>30</v>
      </c>
      <c r="E586" s="65">
        <v>5</v>
      </c>
    </row>
    <row r="587" spans="1:5">
      <c r="A587" s="65">
        <v>121221</v>
      </c>
      <c r="B587" s="66" t="s">
        <v>3749</v>
      </c>
      <c r="C587" s="66" t="s">
        <v>4262</v>
      </c>
      <c r="D587" s="65">
        <v>40</v>
      </c>
      <c r="E587" s="65">
        <v>1</v>
      </c>
    </row>
    <row r="588" spans="1:5">
      <c r="A588" s="65">
        <v>121231</v>
      </c>
      <c r="B588" s="66" t="s">
        <v>3593</v>
      </c>
      <c r="C588" s="66" t="s">
        <v>4263</v>
      </c>
      <c r="D588" s="65">
        <v>2</v>
      </c>
      <c r="E588" s="65">
        <v>2</v>
      </c>
    </row>
    <row r="589" spans="1:5">
      <c r="A589" s="65">
        <v>121257</v>
      </c>
      <c r="B589" s="66" t="s">
        <v>3597</v>
      </c>
      <c r="C589" s="66" t="s">
        <v>4264</v>
      </c>
      <c r="D589" s="65">
        <v>4300</v>
      </c>
      <c r="E589" s="65">
        <v>14</v>
      </c>
    </row>
    <row r="590" spans="1:5">
      <c r="A590" s="65">
        <v>121260</v>
      </c>
      <c r="B590" s="66" t="s">
        <v>4059</v>
      </c>
      <c r="C590" s="66" t="s">
        <v>4265</v>
      </c>
      <c r="D590" s="65">
        <v>8</v>
      </c>
      <c r="E590" s="65">
        <v>5</v>
      </c>
    </row>
    <row r="591" spans="1:5">
      <c r="A591" s="65">
        <v>121299</v>
      </c>
      <c r="B591" s="66" t="s">
        <v>4084</v>
      </c>
      <c r="C591" s="66" t="s">
        <v>4266</v>
      </c>
      <c r="D591" s="65">
        <v>2</v>
      </c>
      <c r="E591" s="65">
        <v>2</v>
      </c>
    </row>
    <row r="592" spans="1:5">
      <c r="A592" s="65">
        <v>121302</v>
      </c>
      <c r="B592" s="66" t="s">
        <v>3597</v>
      </c>
      <c r="C592" s="66" t="s">
        <v>4267</v>
      </c>
      <c r="D592" s="65">
        <v>385</v>
      </c>
      <c r="E592" s="65">
        <v>265</v>
      </c>
    </row>
    <row r="593" spans="1:5">
      <c r="A593" s="65">
        <v>121332</v>
      </c>
      <c r="B593" s="66" t="s">
        <v>4268</v>
      </c>
      <c r="C593" s="66" t="s">
        <v>4269</v>
      </c>
      <c r="D593" s="65">
        <v>1</v>
      </c>
      <c r="E593" s="65">
        <v>1</v>
      </c>
    </row>
    <row r="594" spans="1:5">
      <c r="A594" s="65">
        <v>121419</v>
      </c>
      <c r="B594" s="66" t="s">
        <v>3894</v>
      </c>
      <c r="C594" s="66" t="s">
        <v>4270</v>
      </c>
      <c r="D594" s="65">
        <v>154</v>
      </c>
      <c r="E594" s="65">
        <v>4</v>
      </c>
    </row>
    <row r="595" spans="1:5">
      <c r="A595" s="65">
        <v>12158</v>
      </c>
      <c r="B595" s="66" t="s">
        <v>3667</v>
      </c>
      <c r="C595" s="66" t="s">
        <v>4271</v>
      </c>
      <c r="D595" s="65">
        <v>807</v>
      </c>
      <c r="E595" s="65">
        <v>96</v>
      </c>
    </row>
    <row r="596" spans="1:5">
      <c r="A596" s="65">
        <v>121677</v>
      </c>
      <c r="B596" s="66" t="s">
        <v>4272</v>
      </c>
      <c r="C596" s="66" t="s">
        <v>4273</v>
      </c>
      <c r="D596" s="65">
        <v>1</v>
      </c>
      <c r="E596" s="65">
        <v>1</v>
      </c>
    </row>
    <row r="597" spans="1:5">
      <c r="A597" s="65">
        <v>121693</v>
      </c>
      <c r="B597" s="66" t="s">
        <v>3597</v>
      </c>
      <c r="C597" s="66" t="s">
        <v>4274</v>
      </c>
      <c r="D597" s="65">
        <v>81</v>
      </c>
      <c r="E597" s="65">
        <v>9</v>
      </c>
    </row>
    <row r="598" spans="1:5">
      <c r="A598" s="65">
        <v>122</v>
      </c>
      <c r="B598" s="66" t="s">
        <v>3616</v>
      </c>
      <c r="C598" s="66" t="s">
        <v>4275</v>
      </c>
      <c r="D598" s="65">
        <v>1110</v>
      </c>
      <c r="E598" s="65">
        <v>90</v>
      </c>
    </row>
    <row r="599" spans="1:5">
      <c r="A599" s="65">
        <v>122171</v>
      </c>
      <c r="B599" s="66" t="s">
        <v>4276</v>
      </c>
      <c r="C599" s="66" t="s">
        <v>4277</v>
      </c>
      <c r="D599" s="65">
        <v>2</v>
      </c>
      <c r="E599" s="65">
        <v>2</v>
      </c>
    </row>
    <row r="600" spans="1:5">
      <c r="A600" s="65">
        <v>122172</v>
      </c>
      <c r="B600" s="66" t="s">
        <v>3998</v>
      </c>
      <c r="C600" s="66" t="s">
        <v>4278</v>
      </c>
      <c r="D600" s="65">
        <v>10</v>
      </c>
      <c r="E600" s="65">
        <v>5</v>
      </c>
    </row>
    <row r="601" spans="1:5">
      <c r="A601" s="65">
        <v>122175</v>
      </c>
      <c r="B601" s="66" t="s">
        <v>4279</v>
      </c>
      <c r="C601" s="66" t="s">
        <v>4280</v>
      </c>
      <c r="D601" s="65">
        <v>1</v>
      </c>
      <c r="E601" s="65">
        <v>1</v>
      </c>
    </row>
    <row r="602" spans="1:5">
      <c r="A602" s="65">
        <v>122273</v>
      </c>
      <c r="B602" s="66" t="s">
        <v>3593</v>
      </c>
      <c r="C602" s="66" t="s">
        <v>4281</v>
      </c>
      <c r="D602" s="65">
        <v>28</v>
      </c>
      <c r="E602" s="65">
        <v>1</v>
      </c>
    </row>
    <row r="603" spans="1:5">
      <c r="A603" s="65">
        <v>122313</v>
      </c>
      <c r="B603" s="66" t="s">
        <v>3608</v>
      </c>
      <c r="C603" s="66" t="s">
        <v>4282</v>
      </c>
      <c r="D603" s="65">
        <v>1140</v>
      </c>
      <c r="E603" s="65">
        <v>23</v>
      </c>
    </row>
    <row r="604" spans="1:5">
      <c r="A604" s="65">
        <v>122319</v>
      </c>
      <c r="B604" s="66" t="s">
        <v>3649</v>
      </c>
      <c r="C604" s="66" t="s">
        <v>4283</v>
      </c>
      <c r="D604" s="65">
        <v>404</v>
      </c>
      <c r="E604" s="65">
        <v>60</v>
      </c>
    </row>
    <row r="605" spans="1:5">
      <c r="A605" s="65">
        <v>122320</v>
      </c>
      <c r="B605" s="66" t="s">
        <v>3614</v>
      </c>
      <c r="C605" s="66" t="s">
        <v>4284</v>
      </c>
      <c r="D605" s="65">
        <v>232</v>
      </c>
      <c r="E605" s="65">
        <v>22</v>
      </c>
    </row>
    <row r="606" spans="1:5">
      <c r="A606" s="65">
        <v>12233</v>
      </c>
      <c r="B606" s="66" t="s">
        <v>3593</v>
      </c>
      <c r="C606" s="66" t="s">
        <v>4285</v>
      </c>
      <c r="D606" s="65">
        <v>360</v>
      </c>
      <c r="E606" s="65">
        <v>14</v>
      </c>
    </row>
    <row r="607" spans="1:5">
      <c r="A607" s="65">
        <v>122475</v>
      </c>
      <c r="B607" s="66" t="s">
        <v>3649</v>
      </c>
      <c r="C607" s="66" t="s">
        <v>4286</v>
      </c>
      <c r="D607" s="65">
        <v>62</v>
      </c>
      <c r="E607" s="65">
        <v>13</v>
      </c>
    </row>
    <row r="608" spans="1:5">
      <c r="A608" s="65">
        <v>122622</v>
      </c>
      <c r="B608" s="66" t="s">
        <v>3747</v>
      </c>
      <c r="C608" s="66" t="s">
        <v>4287</v>
      </c>
      <c r="D608" s="65">
        <v>1</v>
      </c>
      <c r="E608" s="65">
        <v>1</v>
      </c>
    </row>
    <row r="609" spans="1:5">
      <c r="A609" s="65">
        <v>122687</v>
      </c>
      <c r="B609" s="66" t="s">
        <v>3804</v>
      </c>
      <c r="C609" s="66" t="s">
        <v>4288</v>
      </c>
      <c r="D609" s="65">
        <v>11</v>
      </c>
      <c r="E609" s="65">
        <v>11</v>
      </c>
    </row>
    <row r="610" spans="1:5">
      <c r="A610" s="65">
        <v>122690</v>
      </c>
      <c r="B610" s="66" t="s">
        <v>3625</v>
      </c>
      <c r="C610" s="66" t="s">
        <v>4289</v>
      </c>
      <c r="D610" s="65">
        <v>8</v>
      </c>
      <c r="E610" s="65">
        <v>8</v>
      </c>
    </row>
    <row r="611" spans="1:5">
      <c r="A611" s="65">
        <v>123012</v>
      </c>
      <c r="B611" s="66" t="s">
        <v>3620</v>
      </c>
      <c r="C611" s="66" t="s">
        <v>4290</v>
      </c>
      <c r="D611" s="65">
        <v>2</v>
      </c>
      <c r="E611" s="65">
        <v>2</v>
      </c>
    </row>
    <row r="612" spans="1:5">
      <c r="A612" s="65">
        <v>123118</v>
      </c>
      <c r="B612" s="66" t="s">
        <v>3649</v>
      </c>
      <c r="C612" s="66" t="s">
        <v>4291</v>
      </c>
      <c r="D612" s="65">
        <v>105</v>
      </c>
      <c r="E612" s="65">
        <v>6</v>
      </c>
    </row>
    <row r="613" spans="1:5">
      <c r="A613" s="65">
        <v>123119</v>
      </c>
      <c r="B613" s="66" t="s">
        <v>3649</v>
      </c>
      <c r="C613" s="66" t="s">
        <v>4292</v>
      </c>
      <c r="D613" s="65">
        <v>570</v>
      </c>
      <c r="E613" s="65">
        <v>20</v>
      </c>
    </row>
    <row r="614" spans="1:5">
      <c r="A614" s="65">
        <v>123389</v>
      </c>
      <c r="B614" s="66" t="s">
        <v>4293</v>
      </c>
      <c r="C614" s="66" t="s">
        <v>4294</v>
      </c>
      <c r="D614" s="65">
        <v>100</v>
      </c>
      <c r="E614" s="65">
        <v>1</v>
      </c>
    </row>
    <row r="615" spans="1:5">
      <c r="A615" s="65">
        <v>123544</v>
      </c>
      <c r="B615" s="66" t="s">
        <v>3820</v>
      </c>
      <c r="C615" s="66" t="s">
        <v>4295</v>
      </c>
      <c r="D615" s="65">
        <v>8</v>
      </c>
      <c r="E615" s="65">
        <v>2</v>
      </c>
    </row>
    <row r="616" spans="1:5">
      <c r="A616" s="65">
        <v>12360</v>
      </c>
      <c r="B616" s="66" t="s">
        <v>3618</v>
      </c>
      <c r="C616" s="66" t="s">
        <v>4296</v>
      </c>
      <c r="D616" s="65">
        <v>1248</v>
      </c>
      <c r="E616" s="65">
        <v>22</v>
      </c>
    </row>
    <row r="617" spans="1:5">
      <c r="A617" s="65">
        <v>123719</v>
      </c>
      <c r="B617" s="66" t="s">
        <v>3639</v>
      </c>
      <c r="C617" s="66" t="s">
        <v>4297</v>
      </c>
      <c r="D617" s="65">
        <v>345</v>
      </c>
      <c r="E617" s="65">
        <v>12</v>
      </c>
    </row>
    <row r="618" spans="1:5">
      <c r="A618" s="65">
        <v>123728</v>
      </c>
      <c r="B618" s="66" t="s">
        <v>3616</v>
      </c>
      <c r="C618" s="66" t="s">
        <v>4298</v>
      </c>
      <c r="D618" s="65">
        <v>10704</v>
      </c>
      <c r="E618" s="65">
        <v>225</v>
      </c>
    </row>
    <row r="619" spans="1:5">
      <c r="A619" s="65">
        <v>12385</v>
      </c>
      <c r="B619" s="66" t="s">
        <v>3635</v>
      </c>
      <c r="C619" s="66" t="s">
        <v>4299</v>
      </c>
      <c r="D619" s="65">
        <v>4</v>
      </c>
      <c r="E619" s="65">
        <v>4</v>
      </c>
    </row>
    <row r="620" spans="1:5">
      <c r="A620" s="65">
        <v>123944</v>
      </c>
      <c r="B620" s="66" t="s">
        <v>3625</v>
      </c>
      <c r="C620" s="66" t="s">
        <v>4300</v>
      </c>
      <c r="D620" s="65">
        <v>90</v>
      </c>
      <c r="E620" s="65">
        <v>6</v>
      </c>
    </row>
    <row r="621" spans="1:5">
      <c r="A621" s="65">
        <v>123945</v>
      </c>
      <c r="B621" s="66" t="s">
        <v>3625</v>
      </c>
      <c r="C621" s="66" t="s">
        <v>4301</v>
      </c>
      <c r="D621" s="65">
        <v>6</v>
      </c>
      <c r="E621" s="65">
        <v>3</v>
      </c>
    </row>
    <row r="622" spans="1:5">
      <c r="A622" s="65">
        <v>124</v>
      </c>
      <c r="B622" s="66" t="s">
        <v>3597</v>
      </c>
      <c r="C622" s="66" t="s">
        <v>4302</v>
      </c>
      <c r="D622" s="65">
        <v>10</v>
      </c>
      <c r="E622" s="65">
        <v>1</v>
      </c>
    </row>
    <row r="623" spans="1:5">
      <c r="A623" s="65">
        <v>12403</v>
      </c>
      <c r="B623" s="66" t="s">
        <v>3820</v>
      </c>
      <c r="C623" s="66" t="s">
        <v>4303</v>
      </c>
      <c r="D623" s="65">
        <v>3</v>
      </c>
      <c r="E623" s="65">
        <v>1</v>
      </c>
    </row>
    <row r="624" spans="1:5">
      <c r="A624" s="65">
        <v>1241</v>
      </c>
      <c r="B624" s="66" t="s">
        <v>4304</v>
      </c>
      <c r="C624" s="66" t="s">
        <v>4305</v>
      </c>
      <c r="D624" s="65">
        <v>39</v>
      </c>
      <c r="E624" s="65">
        <v>3</v>
      </c>
    </row>
    <row r="625" spans="1:5">
      <c r="A625" s="65">
        <v>124142</v>
      </c>
      <c r="B625" s="66" t="s">
        <v>3599</v>
      </c>
      <c r="C625" s="66" t="s">
        <v>4306</v>
      </c>
      <c r="D625" s="65">
        <v>56</v>
      </c>
      <c r="E625" s="65">
        <v>2</v>
      </c>
    </row>
    <row r="626" spans="1:5">
      <c r="A626" s="65">
        <v>124172</v>
      </c>
      <c r="B626" s="66" t="s">
        <v>3593</v>
      </c>
      <c r="C626" s="66" t="s">
        <v>4307</v>
      </c>
      <c r="D626" s="65">
        <v>69</v>
      </c>
      <c r="E626" s="65">
        <v>5</v>
      </c>
    </row>
    <row r="627" spans="1:5">
      <c r="A627" s="65">
        <v>124410</v>
      </c>
      <c r="B627" s="66" t="s">
        <v>3601</v>
      </c>
      <c r="C627" s="66" t="s">
        <v>4308</v>
      </c>
      <c r="D627" s="65">
        <v>29</v>
      </c>
      <c r="E627" s="65">
        <v>25</v>
      </c>
    </row>
    <row r="628" spans="1:5">
      <c r="A628" s="65">
        <v>124522</v>
      </c>
      <c r="B628" s="66" t="s">
        <v>3777</v>
      </c>
      <c r="C628" s="66" t="s">
        <v>4309</v>
      </c>
      <c r="D628" s="65">
        <v>1</v>
      </c>
      <c r="E628" s="65">
        <v>1</v>
      </c>
    </row>
    <row r="629" spans="1:5">
      <c r="A629" s="65">
        <v>124557</v>
      </c>
      <c r="B629" s="66" t="s">
        <v>3599</v>
      </c>
      <c r="C629" s="66" t="s">
        <v>4310</v>
      </c>
      <c r="D629" s="65">
        <v>144</v>
      </c>
      <c r="E629" s="65">
        <v>2</v>
      </c>
    </row>
    <row r="630" spans="1:5">
      <c r="A630" s="65">
        <v>124574</v>
      </c>
      <c r="B630" s="66" t="s">
        <v>3601</v>
      </c>
      <c r="C630" s="66" t="s">
        <v>4311</v>
      </c>
      <c r="D630" s="65">
        <v>170</v>
      </c>
      <c r="E630" s="65">
        <v>19</v>
      </c>
    </row>
    <row r="631" spans="1:5">
      <c r="A631" s="65">
        <v>12458</v>
      </c>
      <c r="B631" s="66" t="s">
        <v>3665</v>
      </c>
      <c r="C631" s="66" t="s">
        <v>4312</v>
      </c>
      <c r="D631" s="65">
        <v>12</v>
      </c>
      <c r="E631" s="65">
        <v>1</v>
      </c>
    </row>
    <row r="632" spans="1:5">
      <c r="A632" s="65">
        <v>124605</v>
      </c>
      <c r="B632" s="66" t="s">
        <v>4232</v>
      </c>
      <c r="C632" s="66" t="s">
        <v>4313</v>
      </c>
      <c r="D632" s="65">
        <v>6</v>
      </c>
      <c r="E632" s="65">
        <v>2</v>
      </c>
    </row>
    <row r="633" spans="1:5">
      <c r="A633" s="65">
        <v>124669</v>
      </c>
      <c r="B633" s="66" t="s">
        <v>3667</v>
      </c>
      <c r="C633" s="66" t="s">
        <v>4314</v>
      </c>
      <c r="D633" s="65">
        <v>26800</v>
      </c>
      <c r="E633" s="65">
        <v>118</v>
      </c>
    </row>
    <row r="634" spans="1:5">
      <c r="A634" s="65">
        <v>124670</v>
      </c>
      <c r="B634" s="66" t="s">
        <v>3667</v>
      </c>
      <c r="C634" s="66" t="s">
        <v>4315</v>
      </c>
      <c r="D634" s="65">
        <v>34400</v>
      </c>
      <c r="E634" s="65">
        <v>300</v>
      </c>
    </row>
    <row r="635" spans="1:5">
      <c r="A635" s="65">
        <v>124671</v>
      </c>
      <c r="B635" s="66" t="s">
        <v>3593</v>
      </c>
      <c r="C635" s="66" t="s">
        <v>4316</v>
      </c>
      <c r="D635" s="65">
        <v>150</v>
      </c>
      <c r="E635" s="65">
        <v>78</v>
      </c>
    </row>
    <row r="636" spans="1:5">
      <c r="A636" s="65">
        <v>12475</v>
      </c>
      <c r="B636" s="66" t="s">
        <v>4317</v>
      </c>
      <c r="C636" s="66" t="s">
        <v>4318</v>
      </c>
      <c r="D636" s="65">
        <v>5</v>
      </c>
      <c r="E636" s="65">
        <v>1</v>
      </c>
    </row>
    <row r="637" spans="1:5">
      <c r="A637" s="65">
        <v>124755</v>
      </c>
      <c r="B637" s="66" t="s">
        <v>3597</v>
      </c>
      <c r="C637" s="66" t="s">
        <v>4319</v>
      </c>
      <c r="D637" s="65">
        <v>99</v>
      </c>
      <c r="E637" s="65">
        <v>33</v>
      </c>
    </row>
    <row r="638" spans="1:5">
      <c r="A638" s="65">
        <v>124756</v>
      </c>
      <c r="B638" s="66" t="s">
        <v>3786</v>
      </c>
      <c r="C638" s="66" t="s">
        <v>4320</v>
      </c>
      <c r="D638" s="65">
        <v>4</v>
      </c>
      <c r="E638" s="65">
        <v>4</v>
      </c>
    </row>
    <row r="639" spans="1:5">
      <c r="A639" s="65">
        <v>124757</v>
      </c>
      <c r="B639" s="66" t="s">
        <v>3597</v>
      </c>
      <c r="C639" s="66" t="s">
        <v>4321</v>
      </c>
      <c r="D639" s="65">
        <v>121</v>
      </c>
      <c r="E639" s="65">
        <v>40</v>
      </c>
    </row>
    <row r="640" spans="1:5">
      <c r="A640" s="65">
        <v>124781</v>
      </c>
      <c r="B640" s="66" t="s">
        <v>3635</v>
      </c>
      <c r="C640" s="66" t="s">
        <v>4322</v>
      </c>
      <c r="D640" s="65">
        <v>1300</v>
      </c>
      <c r="E640" s="65">
        <v>12</v>
      </c>
    </row>
    <row r="641" spans="1:5">
      <c r="A641" s="65">
        <v>124785</v>
      </c>
      <c r="B641" s="66" t="s">
        <v>3649</v>
      </c>
      <c r="C641" s="66" t="s">
        <v>4323</v>
      </c>
      <c r="D641" s="65">
        <v>102</v>
      </c>
      <c r="E641" s="65">
        <v>22</v>
      </c>
    </row>
    <row r="642" spans="1:5">
      <c r="A642" s="65">
        <v>12491</v>
      </c>
      <c r="B642" s="66" t="s">
        <v>3731</v>
      </c>
      <c r="C642" s="66" t="s">
        <v>4324</v>
      </c>
      <c r="D642" s="65">
        <v>12</v>
      </c>
      <c r="E642" s="65">
        <v>2</v>
      </c>
    </row>
    <row r="643" spans="1:5">
      <c r="A643" s="65">
        <v>124911</v>
      </c>
      <c r="B643" s="66" t="s">
        <v>3649</v>
      </c>
      <c r="C643" s="66" t="s">
        <v>4325</v>
      </c>
      <c r="D643" s="65">
        <v>17</v>
      </c>
      <c r="E643" s="65">
        <v>10</v>
      </c>
    </row>
    <row r="644" spans="1:5">
      <c r="A644" s="65">
        <v>124929</v>
      </c>
      <c r="B644" s="66" t="s">
        <v>4326</v>
      </c>
      <c r="C644" s="66" t="s">
        <v>4327</v>
      </c>
      <c r="D644" s="65">
        <v>25</v>
      </c>
      <c r="E644" s="65">
        <v>3</v>
      </c>
    </row>
    <row r="645" spans="1:5">
      <c r="A645" s="65">
        <v>124930</v>
      </c>
      <c r="B645" s="66" t="s">
        <v>3597</v>
      </c>
      <c r="C645" s="66" t="s">
        <v>4328</v>
      </c>
      <c r="D645" s="65">
        <v>13</v>
      </c>
      <c r="E645" s="65">
        <v>13</v>
      </c>
    </row>
    <row r="646" spans="1:5">
      <c r="A646" s="65">
        <v>124931</v>
      </c>
      <c r="B646" s="66" t="s">
        <v>3597</v>
      </c>
      <c r="C646" s="66" t="s">
        <v>4329</v>
      </c>
      <c r="D646" s="65">
        <v>900</v>
      </c>
      <c r="E646" s="65">
        <v>16</v>
      </c>
    </row>
    <row r="647" spans="1:5">
      <c r="A647" s="65">
        <v>124932</v>
      </c>
      <c r="B647" s="66" t="s">
        <v>3608</v>
      </c>
      <c r="C647" s="66" t="s">
        <v>4330</v>
      </c>
      <c r="D647" s="65">
        <v>1800</v>
      </c>
      <c r="E647" s="65">
        <v>22</v>
      </c>
    </row>
    <row r="648" spans="1:5">
      <c r="A648" s="65">
        <v>124934</v>
      </c>
      <c r="B648" s="66" t="s">
        <v>3601</v>
      </c>
      <c r="C648" s="66" t="s">
        <v>4331</v>
      </c>
      <c r="D648" s="65">
        <v>327</v>
      </c>
      <c r="E648" s="65">
        <v>25</v>
      </c>
    </row>
    <row r="649" spans="1:5">
      <c r="A649" s="65">
        <v>124935</v>
      </c>
      <c r="B649" s="66" t="s">
        <v>3599</v>
      </c>
      <c r="C649" s="66" t="s">
        <v>4332</v>
      </c>
      <c r="D649" s="65">
        <v>790</v>
      </c>
      <c r="E649" s="65">
        <v>79</v>
      </c>
    </row>
    <row r="650" spans="1:5">
      <c r="A650" s="65">
        <v>124936</v>
      </c>
      <c r="B650" s="66" t="s">
        <v>3616</v>
      </c>
      <c r="C650" s="66" t="s">
        <v>4333</v>
      </c>
      <c r="D650" s="65">
        <v>360</v>
      </c>
      <c r="E650" s="65">
        <v>33</v>
      </c>
    </row>
    <row r="651" spans="1:5">
      <c r="A651" s="65">
        <v>124938</v>
      </c>
      <c r="B651" s="66" t="s">
        <v>3593</v>
      </c>
      <c r="C651" s="66" t="s">
        <v>4334</v>
      </c>
      <c r="D651" s="65">
        <v>1340</v>
      </c>
      <c r="E651" s="65">
        <v>47</v>
      </c>
    </row>
    <row r="652" spans="1:5">
      <c r="A652" s="65">
        <v>124940</v>
      </c>
      <c r="B652" s="66" t="s">
        <v>3662</v>
      </c>
      <c r="C652" s="66" t="s">
        <v>4335</v>
      </c>
      <c r="D652" s="65">
        <v>195</v>
      </c>
      <c r="E652" s="65">
        <v>11</v>
      </c>
    </row>
    <row r="653" spans="1:5">
      <c r="A653" s="65">
        <v>124941</v>
      </c>
      <c r="B653" s="66" t="s">
        <v>3608</v>
      </c>
      <c r="C653" s="66" t="s">
        <v>4336</v>
      </c>
      <c r="D653" s="65">
        <v>80</v>
      </c>
      <c r="E653" s="65">
        <v>7</v>
      </c>
    </row>
    <row r="654" spans="1:5">
      <c r="A654" s="65">
        <v>124942</v>
      </c>
      <c r="B654" s="66" t="s">
        <v>3775</v>
      </c>
      <c r="C654" s="66" t="s">
        <v>4337</v>
      </c>
      <c r="D654" s="65">
        <v>1943</v>
      </c>
      <c r="E654" s="65">
        <v>53</v>
      </c>
    </row>
    <row r="655" spans="1:5">
      <c r="A655" s="65">
        <v>124943</v>
      </c>
      <c r="B655" s="66" t="s">
        <v>3601</v>
      </c>
      <c r="C655" s="66" t="s">
        <v>4338</v>
      </c>
      <c r="D655" s="65">
        <v>165</v>
      </c>
      <c r="E655" s="65">
        <v>26</v>
      </c>
    </row>
    <row r="656" spans="1:5">
      <c r="A656" s="65">
        <v>124944</v>
      </c>
      <c r="B656" s="66" t="s">
        <v>3597</v>
      </c>
      <c r="C656" s="66" t="s">
        <v>4339</v>
      </c>
      <c r="D656" s="65">
        <v>12689</v>
      </c>
      <c r="E656" s="65">
        <v>461</v>
      </c>
    </row>
    <row r="657" spans="1:5">
      <c r="A657" s="65">
        <v>124946</v>
      </c>
      <c r="B657" s="66" t="s">
        <v>3597</v>
      </c>
      <c r="C657" s="66" t="s">
        <v>4340</v>
      </c>
      <c r="D657" s="65">
        <v>10310</v>
      </c>
      <c r="E657" s="65">
        <v>143</v>
      </c>
    </row>
    <row r="658" spans="1:5">
      <c r="A658" s="65">
        <v>124947</v>
      </c>
      <c r="B658" s="66" t="s">
        <v>3599</v>
      </c>
      <c r="C658" s="66" t="s">
        <v>4341</v>
      </c>
      <c r="D658" s="65">
        <v>433</v>
      </c>
      <c r="E658" s="65">
        <v>44</v>
      </c>
    </row>
    <row r="659" spans="1:5">
      <c r="A659" s="65">
        <v>124948</v>
      </c>
      <c r="B659" s="66" t="s">
        <v>3593</v>
      </c>
      <c r="C659" s="66" t="s">
        <v>4342</v>
      </c>
      <c r="D659" s="65">
        <v>7</v>
      </c>
      <c r="E659" s="65">
        <v>7</v>
      </c>
    </row>
    <row r="660" spans="1:5">
      <c r="A660" s="65">
        <v>124950</v>
      </c>
      <c r="B660" s="66" t="s">
        <v>3649</v>
      </c>
      <c r="C660" s="66" t="s">
        <v>4343</v>
      </c>
      <c r="D660" s="65">
        <v>9</v>
      </c>
      <c r="E660" s="65">
        <v>5</v>
      </c>
    </row>
    <row r="661" spans="1:5">
      <c r="A661" s="65">
        <v>124994</v>
      </c>
      <c r="B661" s="66" t="s">
        <v>3616</v>
      </c>
      <c r="C661" s="66" t="s">
        <v>4344</v>
      </c>
      <c r="D661" s="65">
        <v>428</v>
      </c>
      <c r="E661" s="65">
        <v>130</v>
      </c>
    </row>
    <row r="662" spans="1:5">
      <c r="A662" s="65">
        <v>125002</v>
      </c>
      <c r="B662" s="66" t="s">
        <v>3667</v>
      </c>
      <c r="C662" s="66" t="s">
        <v>4345</v>
      </c>
      <c r="D662" s="65">
        <v>525</v>
      </c>
      <c r="E662" s="65">
        <v>276</v>
      </c>
    </row>
    <row r="663" spans="1:5">
      <c r="A663" s="65">
        <v>125053</v>
      </c>
      <c r="B663" s="66" t="s">
        <v>3599</v>
      </c>
      <c r="C663" s="66" t="s">
        <v>4346</v>
      </c>
      <c r="D663" s="65">
        <v>303</v>
      </c>
      <c r="E663" s="65">
        <v>203</v>
      </c>
    </row>
    <row r="664" spans="1:5">
      <c r="A664" s="65">
        <v>125063</v>
      </c>
      <c r="B664" s="66" t="s">
        <v>3599</v>
      </c>
      <c r="C664" s="66" t="s">
        <v>4347</v>
      </c>
      <c r="D664" s="65">
        <v>402</v>
      </c>
      <c r="E664" s="65">
        <v>20</v>
      </c>
    </row>
    <row r="665" spans="1:5">
      <c r="A665" s="65">
        <v>125260</v>
      </c>
      <c r="B665" s="66" t="s">
        <v>3998</v>
      </c>
      <c r="C665" s="66" t="s">
        <v>4348</v>
      </c>
      <c r="D665" s="65">
        <v>6</v>
      </c>
      <c r="E665" s="65">
        <v>1</v>
      </c>
    </row>
    <row r="666" spans="1:5">
      <c r="A666" s="65">
        <v>125261</v>
      </c>
      <c r="B666" s="66" t="s">
        <v>3998</v>
      </c>
      <c r="C666" s="66" t="s">
        <v>4349</v>
      </c>
      <c r="D666" s="65">
        <v>39</v>
      </c>
      <c r="E666" s="65">
        <v>4</v>
      </c>
    </row>
    <row r="667" spans="1:5">
      <c r="A667" s="65">
        <v>125262</v>
      </c>
      <c r="B667" s="66" t="s">
        <v>3998</v>
      </c>
      <c r="C667" s="66" t="s">
        <v>4350</v>
      </c>
      <c r="D667" s="65">
        <v>16</v>
      </c>
      <c r="E667" s="65">
        <v>3</v>
      </c>
    </row>
    <row r="668" spans="1:5">
      <c r="A668" s="65">
        <v>125445</v>
      </c>
      <c r="B668" s="66" t="s">
        <v>3593</v>
      </c>
      <c r="C668" s="66" t="s">
        <v>4351</v>
      </c>
      <c r="D668" s="65">
        <v>72</v>
      </c>
      <c r="E668" s="65">
        <v>43</v>
      </c>
    </row>
    <row r="669" spans="1:5">
      <c r="A669" s="65">
        <v>125446</v>
      </c>
      <c r="B669" s="66" t="s">
        <v>3593</v>
      </c>
      <c r="C669" s="66" t="s">
        <v>4352</v>
      </c>
      <c r="D669" s="65">
        <v>68</v>
      </c>
      <c r="E669" s="65">
        <v>42</v>
      </c>
    </row>
    <row r="670" spans="1:5">
      <c r="A670" s="65">
        <v>125447</v>
      </c>
      <c r="B670" s="66" t="s">
        <v>3649</v>
      </c>
      <c r="C670" s="66" t="s">
        <v>4353</v>
      </c>
      <c r="D670" s="65">
        <v>14</v>
      </c>
      <c r="E670" s="65">
        <v>10</v>
      </c>
    </row>
    <row r="671" spans="1:5">
      <c r="A671" s="65">
        <v>125478</v>
      </c>
      <c r="B671" s="66" t="s">
        <v>3597</v>
      </c>
      <c r="C671" s="66" t="s">
        <v>4354</v>
      </c>
      <c r="D671" s="65">
        <v>42</v>
      </c>
      <c r="E671" s="65">
        <v>21</v>
      </c>
    </row>
    <row r="672" spans="1:5">
      <c r="A672" s="65">
        <v>125494</v>
      </c>
      <c r="B672" s="66" t="s">
        <v>3625</v>
      </c>
      <c r="C672" s="66" t="s">
        <v>4355</v>
      </c>
      <c r="D672" s="65">
        <v>20</v>
      </c>
      <c r="E672" s="65">
        <v>2</v>
      </c>
    </row>
    <row r="673" spans="1:5">
      <c r="A673" s="65">
        <v>125531</v>
      </c>
      <c r="B673" s="66" t="s">
        <v>3783</v>
      </c>
      <c r="C673" s="66" t="s">
        <v>4356</v>
      </c>
      <c r="D673" s="65">
        <v>1340</v>
      </c>
      <c r="E673" s="65">
        <v>10</v>
      </c>
    </row>
    <row r="674" spans="1:5">
      <c r="A674" s="65">
        <v>125688</v>
      </c>
      <c r="B674" s="66" t="s">
        <v>3599</v>
      </c>
      <c r="C674" s="66" t="s">
        <v>4357</v>
      </c>
      <c r="D674" s="65">
        <v>920</v>
      </c>
      <c r="E674" s="65">
        <v>8</v>
      </c>
    </row>
    <row r="675" spans="1:5">
      <c r="A675" s="65">
        <v>125733</v>
      </c>
      <c r="B675" s="66" t="s">
        <v>3649</v>
      </c>
      <c r="C675" s="66" t="s">
        <v>4358</v>
      </c>
      <c r="D675" s="65">
        <v>86</v>
      </c>
      <c r="E675" s="65">
        <v>22</v>
      </c>
    </row>
    <row r="676" spans="1:5">
      <c r="A676" s="65">
        <v>125897</v>
      </c>
      <c r="B676" s="66" t="s">
        <v>3667</v>
      </c>
      <c r="C676" s="66" t="s">
        <v>4359</v>
      </c>
      <c r="D676" s="65">
        <v>572</v>
      </c>
      <c r="E676" s="65">
        <v>269</v>
      </c>
    </row>
    <row r="677" spans="1:5">
      <c r="A677" s="65">
        <v>125900</v>
      </c>
      <c r="B677" s="66" t="s">
        <v>3597</v>
      </c>
      <c r="C677" s="66" t="s">
        <v>4360</v>
      </c>
      <c r="D677" s="65">
        <v>9921</v>
      </c>
      <c r="E677" s="65">
        <v>256</v>
      </c>
    </row>
    <row r="678" spans="1:5">
      <c r="A678" s="65">
        <v>12595</v>
      </c>
      <c r="B678" s="66" t="s">
        <v>3597</v>
      </c>
      <c r="C678" s="66" t="s">
        <v>4361</v>
      </c>
      <c r="D678" s="65">
        <v>12</v>
      </c>
      <c r="E678" s="65">
        <v>9</v>
      </c>
    </row>
    <row r="679" spans="1:5">
      <c r="A679" s="65">
        <v>126</v>
      </c>
      <c r="B679" s="66" t="s">
        <v>3677</v>
      </c>
      <c r="C679" s="66" t="s">
        <v>4362</v>
      </c>
      <c r="D679" s="65">
        <v>39</v>
      </c>
      <c r="E679" s="65">
        <v>9</v>
      </c>
    </row>
    <row r="680" spans="1:5">
      <c r="A680" s="65">
        <v>126006</v>
      </c>
      <c r="B680" s="66" t="s">
        <v>3973</v>
      </c>
      <c r="C680" s="66" t="s">
        <v>4363</v>
      </c>
      <c r="D680" s="65">
        <v>6</v>
      </c>
      <c r="E680" s="65">
        <v>1</v>
      </c>
    </row>
    <row r="681" spans="1:5">
      <c r="A681" s="65">
        <v>126009</v>
      </c>
      <c r="B681" s="66" t="s">
        <v>3593</v>
      </c>
      <c r="C681" s="66" t="s">
        <v>4364</v>
      </c>
      <c r="D681" s="65">
        <v>92</v>
      </c>
      <c r="E681" s="65">
        <v>57</v>
      </c>
    </row>
    <row r="682" spans="1:5">
      <c r="A682" s="65">
        <v>126032</v>
      </c>
      <c r="B682" s="66" t="s">
        <v>3731</v>
      </c>
      <c r="C682" s="66" t="s">
        <v>4365</v>
      </c>
      <c r="D682" s="65">
        <v>30</v>
      </c>
      <c r="E682" s="65">
        <v>5</v>
      </c>
    </row>
    <row r="683" spans="1:5">
      <c r="A683" s="65">
        <v>126040</v>
      </c>
      <c r="B683" s="66" t="s">
        <v>3593</v>
      </c>
      <c r="C683" s="66" t="s">
        <v>4366</v>
      </c>
      <c r="D683" s="65">
        <v>26</v>
      </c>
      <c r="E683" s="65">
        <v>17</v>
      </c>
    </row>
    <row r="684" spans="1:5">
      <c r="A684" s="65">
        <v>126041</v>
      </c>
      <c r="B684" s="66" t="s">
        <v>3593</v>
      </c>
      <c r="C684" s="66" t="s">
        <v>4367</v>
      </c>
      <c r="D684" s="65">
        <v>46</v>
      </c>
      <c r="E684" s="65">
        <v>42</v>
      </c>
    </row>
    <row r="685" spans="1:5">
      <c r="A685" s="65">
        <v>126057</v>
      </c>
      <c r="B685" s="66" t="s">
        <v>3876</v>
      </c>
      <c r="C685" s="66" t="s">
        <v>4368</v>
      </c>
      <c r="D685" s="65">
        <v>6</v>
      </c>
      <c r="E685" s="65">
        <v>1</v>
      </c>
    </row>
    <row r="686" spans="1:5">
      <c r="A686" s="65">
        <v>126059</v>
      </c>
      <c r="B686" s="66" t="s">
        <v>3612</v>
      </c>
      <c r="C686" s="66" t="s">
        <v>4369</v>
      </c>
      <c r="D686" s="65">
        <v>2</v>
      </c>
      <c r="E686" s="65">
        <v>2</v>
      </c>
    </row>
    <row r="687" spans="1:5">
      <c r="A687" s="65">
        <v>126060</v>
      </c>
      <c r="B687" s="66" t="s">
        <v>3593</v>
      </c>
      <c r="C687" s="66" t="s">
        <v>4370</v>
      </c>
      <c r="D687" s="65">
        <v>44</v>
      </c>
      <c r="E687" s="65">
        <v>31</v>
      </c>
    </row>
    <row r="688" spans="1:5">
      <c r="A688" s="65">
        <v>126071</v>
      </c>
      <c r="B688" s="66" t="s">
        <v>3627</v>
      </c>
      <c r="C688" s="66" t="s">
        <v>4371</v>
      </c>
      <c r="D688" s="65">
        <v>6</v>
      </c>
      <c r="E688" s="65">
        <v>5</v>
      </c>
    </row>
    <row r="689" spans="1:5">
      <c r="A689" s="65">
        <v>126101</v>
      </c>
      <c r="B689" s="66" t="s">
        <v>3593</v>
      </c>
      <c r="C689" s="66" t="s">
        <v>4372</v>
      </c>
      <c r="D689" s="65">
        <v>555</v>
      </c>
      <c r="E689" s="65">
        <v>58</v>
      </c>
    </row>
    <row r="690" spans="1:5">
      <c r="A690" s="65">
        <v>126102</v>
      </c>
      <c r="B690" s="66" t="s">
        <v>3593</v>
      </c>
      <c r="C690" s="66" t="s">
        <v>4373</v>
      </c>
      <c r="D690" s="65">
        <v>647</v>
      </c>
      <c r="E690" s="65">
        <v>79</v>
      </c>
    </row>
    <row r="691" spans="1:5">
      <c r="A691" s="65">
        <v>126103</v>
      </c>
      <c r="B691" s="66" t="s">
        <v>3641</v>
      </c>
      <c r="C691" s="66" t="s">
        <v>4374</v>
      </c>
      <c r="D691" s="65">
        <v>5</v>
      </c>
      <c r="E691" s="65">
        <v>1</v>
      </c>
    </row>
    <row r="692" spans="1:5">
      <c r="A692" s="65">
        <v>126104</v>
      </c>
      <c r="B692" s="66" t="s">
        <v>3662</v>
      </c>
      <c r="C692" s="66" t="s">
        <v>4375</v>
      </c>
      <c r="D692" s="65">
        <v>15</v>
      </c>
      <c r="E692" s="65">
        <v>10</v>
      </c>
    </row>
    <row r="693" spans="1:5">
      <c r="A693" s="65">
        <v>126105</v>
      </c>
      <c r="B693" s="66" t="s">
        <v>3804</v>
      </c>
      <c r="C693" s="66" t="s">
        <v>4376</v>
      </c>
      <c r="D693" s="65">
        <v>11</v>
      </c>
      <c r="E693" s="65">
        <v>9</v>
      </c>
    </row>
    <row r="694" spans="1:5">
      <c r="A694" s="65">
        <v>126135</v>
      </c>
      <c r="B694" s="66" t="s">
        <v>3593</v>
      </c>
      <c r="C694" s="66" t="s">
        <v>4377</v>
      </c>
      <c r="D694" s="65">
        <v>16</v>
      </c>
      <c r="E694" s="65">
        <v>4</v>
      </c>
    </row>
    <row r="695" spans="1:5">
      <c r="A695" s="65">
        <v>126138</v>
      </c>
      <c r="B695" s="66" t="s">
        <v>3749</v>
      </c>
      <c r="C695" s="66" t="s">
        <v>4378</v>
      </c>
      <c r="D695" s="65">
        <v>10</v>
      </c>
      <c r="E695" s="65">
        <v>1</v>
      </c>
    </row>
    <row r="696" spans="1:5">
      <c r="A696" s="65">
        <v>126196</v>
      </c>
      <c r="B696" s="66" t="s">
        <v>3593</v>
      </c>
      <c r="C696" s="66" t="s">
        <v>4379</v>
      </c>
      <c r="D696" s="65">
        <v>29</v>
      </c>
      <c r="E696" s="65">
        <v>20</v>
      </c>
    </row>
    <row r="697" spans="1:5">
      <c r="A697" s="65">
        <v>126197</v>
      </c>
      <c r="B697" s="66" t="s">
        <v>3593</v>
      </c>
      <c r="C697" s="66" t="s">
        <v>4380</v>
      </c>
      <c r="D697" s="65">
        <v>26</v>
      </c>
      <c r="E697" s="65">
        <v>17</v>
      </c>
    </row>
    <row r="698" spans="1:5">
      <c r="A698" s="65">
        <v>126214</v>
      </c>
      <c r="B698" s="66" t="s">
        <v>3616</v>
      </c>
      <c r="C698" s="66" t="s">
        <v>4381</v>
      </c>
      <c r="D698" s="65">
        <v>56</v>
      </c>
      <c r="E698" s="65">
        <v>8</v>
      </c>
    </row>
    <row r="699" spans="1:5">
      <c r="A699" s="65">
        <v>126216</v>
      </c>
      <c r="B699" s="66" t="s">
        <v>3616</v>
      </c>
      <c r="C699" s="66" t="s">
        <v>4382</v>
      </c>
      <c r="D699" s="65">
        <v>579</v>
      </c>
      <c r="E699" s="65">
        <v>197</v>
      </c>
    </row>
    <row r="700" spans="1:5">
      <c r="A700" s="65">
        <v>12628</v>
      </c>
      <c r="B700" s="66" t="s">
        <v>3643</v>
      </c>
      <c r="C700" s="66" t="s">
        <v>4383</v>
      </c>
      <c r="D700" s="65">
        <v>25</v>
      </c>
      <c r="E700" s="65">
        <v>1</v>
      </c>
    </row>
    <row r="701" spans="1:5">
      <c r="A701" s="65">
        <v>126332</v>
      </c>
      <c r="B701" s="66" t="s">
        <v>3597</v>
      </c>
      <c r="C701" s="66" t="s">
        <v>4384</v>
      </c>
      <c r="D701" s="65">
        <v>5479</v>
      </c>
      <c r="E701" s="65">
        <v>165</v>
      </c>
    </row>
    <row r="702" spans="1:5">
      <c r="A702" s="65">
        <v>126374</v>
      </c>
      <c r="B702" s="66" t="s">
        <v>3593</v>
      </c>
      <c r="C702" s="66" t="s">
        <v>4385</v>
      </c>
      <c r="D702" s="65">
        <v>21</v>
      </c>
      <c r="E702" s="65">
        <v>10</v>
      </c>
    </row>
    <row r="703" spans="1:5">
      <c r="A703" s="65">
        <v>126375</v>
      </c>
      <c r="B703" s="66" t="s">
        <v>3593</v>
      </c>
      <c r="C703" s="66" t="s">
        <v>4386</v>
      </c>
      <c r="D703" s="65">
        <v>11</v>
      </c>
      <c r="E703" s="65">
        <v>6</v>
      </c>
    </row>
    <row r="704" spans="1:5">
      <c r="A704" s="65">
        <v>12645</v>
      </c>
      <c r="B704" s="66" t="s">
        <v>3593</v>
      </c>
      <c r="C704" s="66" t="s">
        <v>4387</v>
      </c>
      <c r="D704" s="65">
        <v>9</v>
      </c>
      <c r="E704" s="65">
        <v>7</v>
      </c>
    </row>
    <row r="705" spans="1:5">
      <c r="A705" s="65">
        <v>126523</v>
      </c>
      <c r="B705" s="66" t="s">
        <v>3608</v>
      </c>
      <c r="C705" s="66" t="s">
        <v>4388</v>
      </c>
      <c r="D705" s="65">
        <v>140</v>
      </c>
      <c r="E705" s="65">
        <v>4</v>
      </c>
    </row>
    <row r="706" spans="1:5">
      <c r="A706" s="65">
        <v>126616</v>
      </c>
      <c r="B706" s="66" t="s">
        <v>3641</v>
      </c>
      <c r="C706" s="66" t="s">
        <v>4389</v>
      </c>
      <c r="D706" s="65">
        <v>30</v>
      </c>
      <c r="E706" s="65">
        <v>2</v>
      </c>
    </row>
    <row r="707" spans="1:5">
      <c r="A707" s="65">
        <v>12682</v>
      </c>
      <c r="B707" s="66" t="s">
        <v>3843</v>
      </c>
      <c r="C707" s="66" t="s">
        <v>4390</v>
      </c>
      <c r="D707" s="65">
        <v>6</v>
      </c>
      <c r="E707" s="65">
        <v>3</v>
      </c>
    </row>
    <row r="708" spans="1:5">
      <c r="A708" s="65">
        <v>127111</v>
      </c>
      <c r="B708" s="66" t="s">
        <v>3593</v>
      </c>
      <c r="C708" s="66" t="s">
        <v>4391</v>
      </c>
      <c r="D708" s="65">
        <v>2100</v>
      </c>
      <c r="E708" s="65">
        <v>31</v>
      </c>
    </row>
    <row r="709" spans="1:5">
      <c r="A709" s="65">
        <v>127136</v>
      </c>
      <c r="B709" s="66" t="s">
        <v>3597</v>
      </c>
      <c r="C709" s="66" t="s">
        <v>4392</v>
      </c>
      <c r="D709" s="65">
        <v>18</v>
      </c>
      <c r="E709" s="65">
        <v>9</v>
      </c>
    </row>
    <row r="710" spans="1:5">
      <c r="A710" s="65">
        <v>127137</v>
      </c>
      <c r="B710" s="66" t="s">
        <v>3597</v>
      </c>
      <c r="C710" s="66" t="s">
        <v>4393</v>
      </c>
      <c r="D710" s="65">
        <v>159</v>
      </c>
      <c r="E710" s="65">
        <v>18</v>
      </c>
    </row>
    <row r="711" spans="1:5">
      <c r="A711" s="65">
        <v>127138</v>
      </c>
      <c r="B711" s="66" t="s">
        <v>3597</v>
      </c>
      <c r="C711" s="66" t="s">
        <v>4394</v>
      </c>
      <c r="D711" s="65">
        <v>58</v>
      </c>
      <c r="E711" s="65">
        <v>13</v>
      </c>
    </row>
    <row r="712" spans="1:5">
      <c r="A712" s="65">
        <v>127147</v>
      </c>
      <c r="B712" s="66" t="s">
        <v>3649</v>
      </c>
      <c r="C712" s="66" t="s">
        <v>4395</v>
      </c>
      <c r="D712" s="65">
        <v>11</v>
      </c>
      <c r="E712" s="65">
        <v>9</v>
      </c>
    </row>
    <row r="713" spans="1:5">
      <c r="A713" s="65">
        <v>127215</v>
      </c>
      <c r="B713" s="66" t="s">
        <v>3820</v>
      </c>
      <c r="C713" s="66" t="s">
        <v>4396</v>
      </c>
      <c r="D713" s="65">
        <v>4</v>
      </c>
      <c r="E713" s="65">
        <v>1</v>
      </c>
    </row>
    <row r="714" spans="1:5">
      <c r="A714" s="65">
        <v>127216</v>
      </c>
      <c r="B714" s="66" t="s">
        <v>3667</v>
      </c>
      <c r="C714" s="66" t="s">
        <v>4397</v>
      </c>
      <c r="D714" s="65">
        <v>4</v>
      </c>
      <c r="E714" s="65">
        <v>2</v>
      </c>
    </row>
    <row r="715" spans="1:5">
      <c r="A715" s="65">
        <v>127217</v>
      </c>
      <c r="B715" s="66" t="s">
        <v>3820</v>
      </c>
      <c r="C715" s="66" t="s">
        <v>4398</v>
      </c>
      <c r="D715" s="65">
        <v>14</v>
      </c>
      <c r="E715" s="65">
        <v>4</v>
      </c>
    </row>
    <row r="716" spans="1:5">
      <c r="A716" s="65">
        <v>127244</v>
      </c>
      <c r="B716" s="66" t="s">
        <v>3616</v>
      </c>
      <c r="C716" s="66" t="s">
        <v>4399</v>
      </c>
      <c r="D716" s="65">
        <v>380</v>
      </c>
      <c r="E716" s="65">
        <v>23</v>
      </c>
    </row>
    <row r="717" spans="1:5">
      <c r="A717" s="65">
        <v>127245</v>
      </c>
      <c r="B717" s="66" t="s">
        <v>3601</v>
      </c>
      <c r="C717" s="66" t="s">
        <v>4400</v>
      </c>
      <c r="D717" s="65">
        <v>727</v>
      </c>
      <c r="E717" s="65">
        <v>55</v>
      </c>
    </row>
    <row r="718" spans="1:5">
      <c r="A718" s="65">
        <v>127246</v>
      </c>
      <c r="B718" s="66" t="s">
        <v>3616</v>
      </c>
      <c r="C718" s="66" t="s">
        <v>4401</v>
      </c>
      <c r="D718" s="65">
        <v>385</v>
      </c>
      <c r="E718" s="65">
        <v>30</v>
      </c>
    </row>
    <row r="719" spans="1:5">
      <c r="A719" s="65">
        <v>127255</v>
      </c>
      <c r="B719" s="66" t="s">
        <v>3597</v>
      </c>
      <c r="C719" s="66" t="s">
        <v>4402</v>
      </c>
      <c r="D719" s="65">
        <v>428</v>
      </c>
      <c r="E719" s="65">
        <v>97</v>
      </c>
    </row>
    <row r="720" spans="1:5">
      <c r="A720" s="65">
        <v>127265</v>
      </c>
      <c r="B720" s="66" t="s">
        <v>3625</v>
      </c>
      <c r="C720" s="66" t="s">
        <v>4403</v>
      </c>
      <c r="D720" s="65">
        <v>490</v>
      </c>
      <c r="E720" s="65">
        <v>25</v>
      </c>
    </row>
    <row r="721" spans="1:5">
      <c r="A721" s="65">
        <v>127283</v>
      </c>
      <c r="B721" s="66" t="s">
        <v>3643</v>
      </c>
      <c r="C721" s="66" t="s">
        <v>4404</v>
      </c>
      <c r="D721" s="65">
        <v>6</v>
      </c>
      <c r="E721" s="65">
        <v>5</v>
      </c>
    </row>
    <row r="722" spans="1:5">
      <c r="A722" s="65">
        <v>127300</v>
      </c>
      <c r="B722" s="66" t="s">
        <v>3597</v>
      </c>
      <c r="C722" s="66" t="s">
        <v>4405</v>
      </c>
      <c r="D722" s="65">
        <v>12</v>
      </c>
      <c r="E722" s="65">
        <v>7</v>
      </c>
    </row>
    <row r="723" spans="1:5">
      <c r="A723" s="65">
        <v>127302</v>
      </c>
      <c r="B723" s="66" t="s">
        <v>3786</v>
      </c>
      <c r="C723" s="66" t="s">
        <v>4406</v>
      </c>
      <c r="D723" s="65">
        <v>14</v>
      </c>
      <c r="E723" s="65">
        <v>14</v>
      </c>
    </row>
    <row r="724" spans="1:5">
      <c r="A724" s="65">
        <v>127348</v>
      </c>
      <c r="B724" s="66" t="s">
        <v>3970</v>
      </c>
      <c r="C724" s="66" t="s">
        <v>4407</v>
      </c>
      <c r="D724" s="65">
        <v>46</v>
      </c>
      <c r="E724" s="65">
        <v>24</v>
      </c>
    </row>
    <row r="725" spans="1:5">
      <c r="A725" s="65">
        <v>127395</v>
      </c>
      <c r="B725" s="66" t="s">
        <v>3616</v>
      </c>
      <c r="C725" s="66" t="s">
        <v>4408</v>
      </c>
      <c r="D725" s="65">
        <v>43885</v>
      </c>
      <c r="E725" s="65">
        <v>703</v>
      </c>
    </row>
    <row r="726" spans="1:5">
      <c r="A726" s="65">
        <v>127468</v>
      </c>
      <c r="B726" s="66" t="s">
        <v>3593</v>
      </c>
      <c r="C726" s="66" t="s">
        <v>4409</v>
      </c>
      <c r="D726" s="65">
        <v>9250</v>
      </c>
      <c r="E726" s="65">
        <v>29</v>
      </c>
    </row>
    <row r="727" spans="1:5">
      <c r="A727" s="65">
        <v>12747</v>
      </c>
      <c r="B727" s="66" t="s">
        <v>3593</v>
      </c>
      <c r="C727" s="66" t="s">
        <v>4410</v>
      </c>
      <c r="D727" s="65">
        <v>3101</v>
      </c>
      <c r="E727" s="65">
        <v>101</v>
      </c>
    </row>
    <row r="728" spans="1:5">
      <c r="A728" s="65">
        <v>127508</v>
      </c>
      <c r="B728" s="66" t="s">
        <v>3625</v>
      </c>
      <c r="C728" s="66" t="s">
        <v>4411</v>
      </c>
      <c r="D728" s="65">
        <v>16</v>
      </c>
      <c r="E728" s="65">
        <v>10</v>
      </c>
    </row>
    <row r="729" spans="1:5">
      <c r="A729" s="65">
        <v>127509</v>
      </c>
      <c r="B729" s="66" t="s">
        <v>3662</v>
      </c>
      <c r="C729" s="66" t="s">
        <v>4412</v>
      </c>
      <c r="D729" s="65">
        <v>50</v>
      </c>
      <c r="E729" s="65">
        <v>5</v>
      </c>
    </row>
    <row r="730" spans="1:5">
      <c r="A730" s="65">
        <v>12755</v>
      </c>
      <c r="B730" s="66" t="s">
        <v>3627</v>
      </c>
      <c r="C730" s="66" t="s">
        <v>4413</v>
      </c>
      <c r="D730" s="65">
        <v>9</v>
      </c>
      <c r="E730" s="65">
        <v>3</v>
      </c>
    </row>
    <row r="731" spans="1:5">
      <c r="A731" s="65">
        <v>12767</v>
      </c>
      <c r="B731" s="66" t="s">
        <v>3625</v>
      </c>
      <c r="C731" s="66" t="s">
        <v>4414</v>
      </c>
      <c r="D731" s="65">
        <v>33</v>
      </c>
      <c r="E731" s="65">
        <v>5</v>
      </c>
    </row>
    <row r="732" spans="1:5">
      <c r="A732" s="65">
        <v>127720</v>
      </c>
      <c r="B732" s="66" t="s">
        <v>3616</v>
      </c>
      <c r="C732" s="66" t="s">
        <v>4415</v>
      </c>
      <c r="D732" s="65">
        <v>3681</v>
      </c>
      <c r="E732" s="65">
        <v>183</v>
      </c>
    </row>
    <row r="733" spans="1:5">
      <c r="A733" s="65">
        <v>127748</v>
      </c>
      <c r="B733" s="66" t="s">
        <v>4416</v>
      </c>
      <c r="C733" s="66" t="s">
        <v>4417</v>
      </c>
      <c r="D733" s="65">
        <v>65</v>
      </c>
      <c r="E733" s="65">
        <v>11</v>
      </c>
    </row>
    <row r="734" spans="1:5">
      <c r="A734" s="65">
        <v>12778</v>
      </c>
      <c r="B734" s="66" t="s">
        <v>3593</v>
      </c>
      <c r="C734" s="66" t="s">
        <v>4418</v>
      </c>
      <c r="D734" s="65">
        <v>314</v>
      </c>
      <c r="E734" s="65">
        <v>21</v>
      </c>
    </row>
    <row r="735" spans="1:5">
      <c r="A735" s="65">
        <v>127783</v>
      </c>
      <c r="B735" s="66" t="s">
        <v>3593</v>
      </c>
      <c r="C735" s="66" t="s">
        <v>4419</v>
      </c>
      <c r="D735" s="65">
        <v>270</v>
      </c>
      <c r="E735" s="65">
        <v>15</v>
      </c>
    </row>
    <row r="736" spans="1:5">
      <c r="A736" s="65">
        <v>127828</v>
      </c>
      <c r="B736" s="66" t="s">
        <v>4420</v>
      </c>
      <c r="C736" s="66" t="s">
        <v>4421</v>
      </c>
      <c r="D736" s="65">
        <v>26</v>
      </c>
      <c r="E736" s="65">
        <v>4</v>
      </c>
    </row>
    <row r="737" spans="1:5">
      <c r="A737" s="65">
        <v>127920</v>
      </c>
      <c r="B737" s="66" t="s">
        <v>3649</v>
      </c>
      <c r="C737" s="66" t="s">
        <v>4422</v>
      </c>
      <c r="D737" s="65">
        <v>160</v>
      </c>
      <c r="E737" s="65">
        <v>3</v>
      </c>
    </row>
    <row r="738" spans="1:5">
      <c r="A738" s="65">
        <v>128030</v>
      </c>
      <c r="B738" s="66" t="s">
        <v>3616</v>
      </c>
      <c r="C738" s="66" t="s">
        <v>4423</v>
      </c>
      <c r="D738" s="65">
        <v>4032</v>
      </c>
      <c r="E738" s="65">
        <v>160</v>
      </c>
    </row>
    <row r="739" spans="1:5">
      <c r="A739" s="65">
        <v>128158</v>
      </c>
      <c r="B739" s="66" t="s">
        <v>3593</v>
      </c>
      <c r="C739" s="66" t="s">
        <v>4424</v>
      </c>
      <c r="D739" s="65">
        <v>158</v>
      </c>
      <c r="E739" s="65">
        <v>8</v>
      </c>
    </row>
    <row r="740" spans="1:5">
      <c r="A740" s="65">
        <v>128189</v>
      </c>
      <c r="B740" s="66" t="s">
        <v>3639</v>
      </c>
      <c r="C740" s="66" t="s">
        <v>4425</v>
      </c>
      <c r="D740" s="65">
        <v>124</v>
      </c>
      <c r="E740" s="65">
        <v>6</v>
      </c>
    </row>
    <row r="741" spans="1:5">
      <c r="A741" s="65">
        <v>1282</v>
      </c>
      <c r="B741" s="66" t="s">
        <v>3942</v>
      </c>
      <c r="C741" s="66" t="s">
        <v>4426</v>
      </c>
      <c r="D741" s="65">
        <v>20</v>
      </c>
      <c r="E741" s="65">
        <v>5</v>
      </c>
    </row>
    <row r="742" spans="1:5">
      <c r="A742" s="65">
        <v>128266</v>
      </c>
      <c r="B742" s="66" t="s">
        <v>3616</v>
      </c>
      <c r="C742" s="66" t="s">
        <v>4427</v>
      </c>
      <c r="D742" s="65">
        <v>1227</v>
      </c>
      <c r="E742" s="65">
        <v>165</v>
      </c>
    </row>
    <row r="743" spans="1:5">
      <c r="A743" s="65">
        <v>128267</v>
      </c>
      <c r="B743" s="66" t="s">
        <v>3601</v>
      </c>
      <c r="C743" s="66" t="s">
        <v>4428</v>
      </c>
      <c r="D743" s="65">
        <v>593</v>
      </c>
      <c r="E743" s="65">
        <v>98</v>
      </c>
    </row>
    <row r="744" spans="1:5">
      <c r="A744" s="65">
        <v>128270</v>
      </c>
      <c r="B744" s="66" t="s">
        <v>3606</v>
      </c>
      <c r="C744" s="66" t="s">
        <v>4429</v>
      </c>
      <c r="D744" s="65">
        <v>106</v>
      </c>
      <c r="E744" s="65">
        <v>15</v>
      </c>
    </row>
    <row r="745" spans="1:5">
      <c r="A745" s="65">
        <v>128271</v>
      </c>
      <c r="B745" s="66" t="s">
        <v>3667</v>
      </c>
      <c r="C745" s="66" t="s">
        <v>4430</v>
      </c>
      <c r="D745" s="65">
        <v>345</v>
      </c>
      <c r="E745" s="65">
        <v>60</v>
      </c>
    </row>
    <row r="746" spans="1:5">
      <c r="A746" s="65">
        <v>128281</v>
      </c>
      <c r="B746" s="66" t="s">
        <v>4431</v>
      </c>
      <c r="C746" s="66" t="s">
        <v>4432</v>
      </c>
      <c r="D746" s="65">
        <v>3</v>
      </c>
      <c r="E746" s="65">
        <v>1</v>
      </c>
    </row>
    <row r="747" spans="1:5">
      <c r="A747" s="65">
        <v>128509</v>
      </c>
      <c r="B747" s="66" t="s">
        <v>3593</v>
      </c>
      <c r="C747" s="66" t="s">
        <v>4433</v>
      </c>
      <c r="D747" s="65">
        <v>24</v>
      </c>
      <c r="E747" s="65">
        <v>2</v>
      </c>
    </row>
    <row r="748" spans="1:5">
      <c r="A748" s="65">
        <v>128602</v>
      </c>
      <c r="B748" s="66" t="s">
        <v>4434</v>
      </c>
      <c r="C748" s="66" t="s">
        <v>4435</v>
      </c>
      <c r="D748" s="65">
        <v>2</v>
      </c>
      <c r="E748" s="65">
        <v>1</v>
      </c>
    </row>
    <row r="749" spans="1:5">
      <c r="A749" s="65">
        <v>128656</v>
      </c>
      <c r="B749" s="66" t="s">
        <v>3593</v>
      </c>
      <c r="C749" s="66" t="s">
        <v>4436</v>
      </c>
      <c r="D749" s="65">
        <v>60</v>
      </c>
      <c r="E749" s="65">
        <v>1</v>
      </c>
    </row>
    <row r="750" spans="1:5">
      <c r="A750" s="65">
        <v>128662</v>
      </c>
      <c r="B750" s="66" t="s">
        <v>3593</v>
      </c>
      <c r="C750" s="66" t="s">
        <v>4437</v>
      </c>
      <c r="D750" s="65">
        <v>1102</v>
      </c>
      <c r="E750" s="65">
        <v>127</v>
      </c>
    </row>
    <row r="751" spans="1:5">
      <c r="A751" s="65">
        <v>128683</v>
      </c>
      <c r="B751" s="66" t="s">
        <v>3614</v>
      </c>
      <c r="C751" s="66" t="s">
        <v>4438</v>
      </c>
      <c r="D751" s="65">
        <v>10</v>
      </c>
      <c r="E751" s="65">
        <v>1</v>
      </c>
    </row>
    <row r="752" spans="1:5">
      <c r="A752" s="65">
        <v>128712</v>
      </c>
      <c r="B752" s="66" t="s">
        <v>3593</v>
      </c>
      <c r="C752" s="66" t="s">
        <v>4439</v>
      </c>
      <c r="D752" s="65">
        <v>123</v>
      </c>
      <c r="E752" s="65">
        <v>9</v>
      </c>
    </row>
    <row r="753" spans="1:5">
      <c r="A753" s="65">
        <v>128901</v>
      </c>
      <c r="B753" s="66" t="s">
        <v>3616</v>
      </c>
      <c r="C753" s="66" t="s">
        <v>4440</v>
      </c>
      <c r="D753" s="65">
        <v>259</v>
      </c>
      <c r="E753" s="65">
        <v>32</v>
      </c>
    </row>
    <row r="754" spans="1:5">
      <c r="A754" s="65">
        <v>1290</v>
      </c>
      <c r="B754" s="66" t="s">
        <v>3667</v>
      </c>
      <c r="C754" s="66" t="s">
        <v>4441</v>
      </c>
      <c r="D754" s="65">
        <v>13</v>
      </c>
      <c r="E754" s="65">
        <v>3</v>
      </c>
    </row>
    <row r="755" spans="1:5">
      <c r="A755" s="65">
        <v>129080</v>
      </c>
      <c r="B755" s="66" t="s">
        <v>3597</v>
      </c>
      <c r="C755" s="66" t="s">
        <v>4442</v>
      </c>
      <c r="D755" s="65">
        <v>707</v>
      </c>
      <c r="E755" s="65">
        <v>50</v>
      </c>
    </row>
    <row r="756" spans="1:5">
      <c r="A756" s="65">
        <v>129090</v>
      </c>
      <c r="B756" s="66" t="s">
        <v>3667</v>
      </c>
      <c r="C756" s="66" t="s">
        <v>4443</v>
      </c>
      <c r="D756" s="65">
        <v>101</v>
      </c>
      <c r="E756" s="65">
        <v>65</v>
      </c>
    </row>
    <row r="757" spans="1:5">
      <c r="A757" s="65">
        <v>129167</v>
      </c>
      <c r="B757" s="66" t="s">
        <v>3593</v>
      </c>
      <c r="C757" s="66" t="s">
        <v>4444</v>
      </c>
      <c r="D757" s="65">
        <v>2078</v>
      </c>
      <c r="E757" s="65">
        <v>282</v>
      </c>
    </row>
    <row r="758" spans="1:5">
      <c r="A758" s="65">
        <v>129267</v>
      </c>
      <c r="B758" s="66" t="s">
        <v>3677</v>
      </c>
      <c r="C758" s="66" t="s">
        <v>4445</v>
      </c>
      <c r="D758" s="65">
        <v>12</v>
      </c>
      <c r="E758" s="65">
        <v>1</v>
      </c>
    </row>
    <row r="759" spans="1:5">
      <c r="A759" s="65">
        <v>129275</v>
      </c>
      <c r="B759" s="66" t="s">
        <v>3593</v>
      </c>
      <c r="C759" s="66" t="s">
        <v>4446</v>
      </c>
      <c r="D759" s="65">
        <v>185</v>
      </c>
      <c r="E759" s="65">
        <v>5</v>
      </c>
    </row>
    <row r="760" spans="1:5">
      <c r="A760" s="65">
        <v>129491</v>
      </c>
      <c r="B760" s="66" t="s">
        <v>3643</v>
      </c>
      <c r="C760" s="66" t="s">
        <v>4447</v>
      </c>
      <c r="D760" s="65">
        <v>1</v>
      </c>
      <c r="E760" s="65">
        <v>1</v>
      </c>
    </row>
    <row r="761" spans="1:5">
      <c r="A761" s="65">
        <v>129492</v>
      </c>
      <c r="B761" s="66" t="s">
        <v>3643</v>
      </c>
      <c r="C761" s="66" t="s">
        <v>4448</v>
      </c>
      <c r="D761" s="65">
        <v>2</v>
      </c>
      <c r="E761" s="65">
        <v>2</v>
      </c>
    </row>
    <row r="762" spans="1:5">
      <c r="A762" s="65">
        <v>129493</v>
      </c>
      <c r="B762" s="66" t="s">
        <v>3783</v>
      </c>
      <c r="C762" s="66" t="s">
        <v>4449</v>
      </c>
      <c r="D762" s="65">
        <v>5</v>
      </c>
      <c r="E762" s="65">
        <v>2</v>
      </c>
    </row>
    <row r="763" spans="1:5">
      <c r="A763" s="65">
        <v>129515</v>
      </c>
      <c r="B763" s="66" t="s">
        <v>3783</v>
      </c>
      <c r="C763" s="66" t="s">
        <v>4450</v>
      </c>
      <c r="D763" s="65">
        <v>12</v>
      </c>
      <c r="E763" s="65">
        <v>8</v>
      </c>
    </row>
    <row r="764" spans="1:5">
      <c r="A764" s="65">
        <v>129516</v>
      </c>
      <c r="B764" s="66" t="s">
        <v>3597</v>
      </c>
      <c r="C764" s="66" t="s">
        <v>4451</v>
      </c>
      <c r="D764" s="65">
        <v>435</v>
      </c>
      <c r="E764" s="65">
        <v>22</v>
      </c>
    </row>
    <row r="765" spans="1:5">
      <c r="A765" s="65">
        <v>129566</v>
      </c>
      <c r="B765" s="66" t="s">
        <v>3792</v>
      </c>
      <c r="C765" s="66" t="s">
        <v>4452</v>
      </c>
      <c r="D765" s="65">
        <v>16</v>
      </c>
      <c r="E765" s="65">
        <v>4</v>
      </c>
    </row>
    <row r="766" spans="1:5">
      <c r="A766" s="65">
        <v>12962</v>
      </c>
      <c r="B766" s="66" t="s">
        <v>3597</v>
      </c>
      <c r="C766" s="66" t="s">
        <v>4453</v>
      </c>
      <c r="D766" s="65">
        <v>84</v>
      </c>
      <c r="E766" s="65">
        <v>40</v>
      </c>
    </row>
    <row r="767" spans="1:5">
      <c r="A767" s="65">
        <v>129688</v>
      </c>
      <c r="B767" s="66" t="s">
        <v>4020</v>
      </c>
      <c r="C767" s="66" t="s">
        <v>4454</v>
      </c>
      <c r="D767" s="65">
        <v>240</v>
      </c>
      <c r="E767" s="65">
        <v>9</v>
      </c>
    </row>
    <row r="768" spans="1:5">
      <c r="A768" s="65">
        <v>129690</v>
      </c>
      <c r="B768" s="66" t="s">
        <v>4455</v>
      </c>
      <c r="C768" s="66" t="s">
        <v>4456</v>
      </c>
      <c r="D768" s="65">
        <v>20</v>
      </c>
      <c r="E768" s="65">
        <v>1</v>
      </c>
    </row>
    <row r="769" spans="1:5">
      <c r="A769" s="65">
        <v>129745</v>
      </c>
      <c r="B769" s="66" t="s">
        <v>4304</v>
      </c>
      <c r="C769" s="66" t="s">
        <v>4457</v>
      </c>
      <c r="D769" s="65">
        <v>10</v>
      </c>
      <c r="E769" s="65">
        <v>1</v>
      </c>
    </row>
    <row r="770" spans="1:5">
      <c r="A770" s="65">
        <v>129746</v>
      </c>
      <c r="B770" s="66" t="s">
        <v>4253</v>
      </c>
      <c r="C770" s="66" t="s">
        <v>4458</v>
      </c>
      <c r="D770" s="65">
        <v>20</v>
      </c>
      <c r="E770" s="65">
        <v>1</v>
      </c>
    </row>
    <row r="771" spans="1:5">
      <c r="A771" s="65">
        <v>129747</v>
      </c>
      <c r="B771" s="66" t="s">
        <v>3677</v>
      </c>
      <c r="C771" s="66" t="s">
        <v>4459</v>
      </c>
      <c r="D771" s="65">
        <v>125</v>
      </c>
      <c r="E771" s="65">
        <v>6</v>
      </c>
    </row>
    <row r="772" spans="1:5">
      <c r="A772" s="65">
        <v>129748</v>
      </c>
      <c r="B772" s="66" t="s">
        <v>3593</v>
      </c>
      <c r="C772" s="66" t="s">
        <v>4460</v>
      </c>
      <c r="D772" s="65">
        <v>1105</v>
      </c>
      <c r="E772" s="65">
        <v>46</v>
      </c>
    </row>
    <row r="773" spans="1:5">
      <c r="A773" s="65">
        <v>129749</v>
      </c>
      <c r="B773" s="66" t="s">
        <v>3620</v>
      </c>
      <c r="C773" s="66" t="s">
        <v>4461</v>
      </c>
      <c r="D773" s="65">
        <v>131</v>
      </c>
      <c r="E773" s="65">
        <v>22</v>
      </c>
    </row>
    <row r="774" spans="1:5">
      <c r="A774" s="65">
        <v>129750</v>
      </c>
      <c r="B774" s="66" t="s">
        <v>3593</v>
      </c>
      <c r="C774" s="66" t="s">
        <v>4462</v>
      </c>
      <c r="D774" s="65">
        <v>5530</v>
      </c>
      <c r="E774" s="65">
        <v>149</v>
      </c>
    </row>
    <row r="775" spans="1:5">
      <c r="A775" s="65">
        <v>129751</v>
      </c>
      <c r="B775" s="66" t="s">
        <v>3597</v>
      </c>
      <c r="C775" s="66" t="s">
        <v>4463</v>
      </c>
      <c r="D775" s="65">
        <v>36760</v>
      </c>
      <c r="E775" s="65">
        <v>638</v>
      </c>
    </row>
    <row r="776" spans="1:5">
      <c r="A776" s="65">
        <v>129752</v>
      </c>
      <c r="B776" s="66" t="s">
        <v>3597</v>
      </c>
      <c r="C776" s="66" t="s">
        <v>4464</v>
      </c>
      <c r="D776" s="65">
        <v>14735</v>
      </c>
      <c r="E776" s="65">
        <v>308</v>
      </c>
    </row>
    <row r="777" spans="1:5">
      <c r="A777" s="65">
        <v>129753</v>
      </c>
      <c r="B777" s="66" t="s">
        <v>3616</v>
      </c>
      <c r="C777" s="66" t="s">
        <v>4465</v>
      </c>
      <c r="D777" s="65">
        <v>2025</v>
      </c>
      <c r="E777" s="65">
        <v>74</v>
      </c>
    </row>
    <row r="778" spans="1:5">
      <c r="A778" s="65">
        <v>129754</v>
      </c>
      <c r="B778" s="66" t="s">
        <v>3597</v>
      </c>
      <c r="C778" s="66" t="s">
        <v>4466</v>
      </c>
      <c r="D778" s="65">
        <v>735</v>
      </c>
      <c r="E778" s="65">
        <v>35</v>
      </c>
    </row>
    <row r="779" spans="1:5">
      <c r="A779" s="65">
        <v>129771</v>
      </c>
      <c r="B779" s="66" t="s">
        <v>4467</v>
      </c>
      <c r="C779" s="66" t="s">
        <v>4468</v>
      </c>
      <c r="D779" s="65">
        <v>335</v>
      </c>
      <c r="E779" s="65">
        <v>47</v>
      </c>
    </row>
    <row r="780" spans="1:5">
      <c r="A780" s="65">
        <v>129777</v>
      </c>
      <c r="B780" s="66" t="s">
        <v>3597</v>
      </c>
      <c r="C780" s="66" t="s">
        <v>4469</v>
      </c>
      <c r="D780" s="65">
        <v>20</v>
      </c>
      <c r="E780" s="65">
        <v>7</v>
      </c>
    </row>
    <row r="781" spans="1:5">
      <c r="A781" s="65">
        <v>129778</v>
      </c>
      <c r="B781" s="66" t="s">
        <v>3783</v>
      </c>
      <c r="C781" s="66" t="s">
        <v>4470</v>
      </c>
      <c r="D781" s="65">
        <v>55</v>
      </c>
      <c r="E781" s="65">
        <v>13</v>
      </c>
    </row>
    <row r="782" spans="1:5">
      <c r="A782" s="65">
        <v>129779</v>
      </c>
      <c r="B782" s="66" t="s">
        <v>3783</v>
      </c>
      <c r="C782" s="66" t="s">
        <v>4471</v>
      </c>
      <c r="D782" s="65">
        <v>50</v>
      </c>
      <c r="E782" s="65">
        <v>14</v>
      </c>
    </row>
    <row r="783" spans="1:5">
      <c r="A783" s="65">
        <v>129780</v>
      </c>
      <c r="B783" s="66" t="s">
        <v>4472</v>
      </c>
      <c r="C783" s="66" t="s">
        <v>4473</v>
      </c>
      <c r="D783" s="65">
        <v>18</v>
      </c>
      <c r="E783" s="65">
        <v>4</v>
      </c>
    </row>
    <row r="784" spans="1:5">
      <c r="A784" s="65">
        <v>129781</v>
      </c>
      <c r="B784" s="66" t="s">
        <v>3593</v>
      </c>
      <c r="C784" s="66" t="s">
        <v>4474</v>
      </c>
      <c r="D784" s="65">
        <v>338</v>
      </c>
      <c r="E784" s="65">
        <v>82</v>
      </c>
    </row>
    <row r="785" spans="1:5">
      <c r="A785" s="65">
        <v>129821</v>
      </c>
      <c r="B785" s="66" t="s">
        <v>3635</v>
      </c>
      <c r="C785" s="66" t="s">
        <v>4475</v>
      </c>
      <c r="D785" s="65">
        <v>20</v>
      </c>
      <c r="E785" s="65">
        <v>1</v>
      </c>
    </row>
    <row r="786" spans="1:5">
      <c r="A786" s="65">
        <v>129822</v>
      </c>
      <c r="B786" s="66" t="s">
        <v>3635</v>
      </c>
      <c r="C786" s="66" t="s">
        <v>4476</v>
      </c>
      <c r="D786" s="65">
        <v>20</v>
      </c>
      <c r="E786" s="65">
        <v>1</v>
      </c>
    </row>
    <row r="787" spans="1:5">
      <c r="A787" s="65">
        <v>129823</v>
      </c>
      <c r="B787" s="66" t="s">
        <v>3635</v>
      </c>
      <c r="C787" s="66" t="s">
        <v>4477</v>
      </c>
      <c r="D787" s="65">
        <v>30</v>
      </c>
      <c r="E787" s="65">
        <v>1</v>
      </c>
    </row>
    <row r="788" spans="1:5">
      <c r="A788" s="65">
        <v>129848</v>
      </c>
      <c r="B788" s="66" t="s">
        <v>3804</v>
      </c>
      <c r="C788" s="66" t="s">
        <v>4478</v>
      </c>
      <c r="D788" s="65">
        <v>20</v>
      </c>
      <c r="E788" s="65">
        <v>1</v>
      </c>
    </row>
    <row r="789" spans="1:5">
      <c r="A789" s="65">
        <v>129852</v>
      </c>
      <c r="B789" s="66" t="s">
        <v>3593</v>
      </c>
      <c r="C789" s="66" t="s">
        <v>4479</v>
      </c>
      <c r="D789" s="65">
        <v>347</v>
      </c>
      <c r="E789" s="65">
        <v>43</v>
      </c>
    </row>
    <row r="790" spans="1:5">
      <c r="A790" s="65">
        <v>129853</v>
      </c>
      <c r="B790" s="66" t="s">
        <v>3616</v>
      </c>
      <c r="C790" s="66" t="s">
        <v>4480</v>
      </c>
      <c r="D790" s="65">
        <v>1488</v>
      </c>
      <c r="E790" s="65">
        <v>123</v>
      </c>
    </row>
    <row r="791" spans="1:5">
      <c r="A791" s="65">
        <v>129854</v>
      </c>
      <c r="B791" s="66" t="s">
        <v>3599</v>
      </c>
      <c r="C791" s="66" t="s">
        <v>4481</v>
      </c>
      <c r="D791" s="65">
        <v>3279</v>
      </c>
      <c r="E791" s="65">
        <v>195</v>
      </c>
    </row>
    <row r="792" spans="1:5">
      <c r="A792" s="65">
        <v>129855</v>
      </c>
      <c r="B792" s="66" t="s">
        <v>3593</v>
      </c>
      <c r="C792" s="66" t="s">
        <v>4482</v>
      </c>
      <c r="D792" s="65">
        <v>152</v>
      </c>
      <c r="E792" s="65">
        <v>5</v>
      </c>
    </row>
    <row r="793" spans="1:5">
      <c r="A793" s="65">
        <v>129863</v>
      </c>
      <c r="B793" s="66" t="s">
        <v>3593</v>
      </c>
      <c r="C793" s="66" t="s">
        <v>4483</v>
      </c>
      <c r="D793" s="65">
        <v>200</v>
      </c>
      <c r="E793" s="65">
        <v>20</v>
      </c>
    </row>
    <row r="794" spans="1:5">
      <c r="A794" s="65">
        <v>130114</v>
      </c>
      <c r="B794" s="66" t="s">
        <v>3820</v>
      </c>
      <c r="C794" s="66" t="s">
        <v>4484</v>
      </c>
      <c r="D794" s="65">
        <v>15</v>
      </c>
      <c r="E794" s="65">
        <v>2</v>
      </c>
    </row>
    <row r="795" spans="1:5">
      <c r="A795" s="65">
        <v>130120</v>
      </c>
      <c r="B795" s="66" t="s">
        <v>3593</v>
      </c>
      <c r="C795" s="66" t="s">
        <v>4485</v>
      </c>
      <c r="D795" s="65">
        <v>3170</v>
      </c>
      <c r="E795" s="65">
        <v>200</v>
      </c>
    </row>
    <row r="796" spans="1:5">
      <c r="A796" s="65">
        <v>130151</v>
      </c>
      <c r="B796" s="66" t="s">
        <v>3649</v>
      </c>
      <c r="C796" s="66" t="s">
        <v>4486</v>
      </c>
      <c r="D796" s="65">
        <v>8500</v>
      </c>
      <c r="E796" s="65">
        <v>49</v>
      </c>
    </row>
    <row r="797" spans="1:5">
      <c r="A797" s="65">
        <v>130155</v>
      </c>
      <c r="B797" s="66" t="s">
        <v>3601</v>
      </c>
      <c r="C797" s="66" t="s">
        <v>4487</v>
      </c>
      <c r="D797" s="65">
        <v>85</v>
      </c>
      <c r="E797" s="65">
        <v>5</v>
      </c>
    </row>
    <row r="798" spans="1:5">
      <c r="A798" s="65">
        <v>130156</v>
      </c>
      <c r="B798" s="66" t="s">
        <v>3900</v>
      </c>
      <c r="C798" s="66" t="s">
        <v>4488</v>
      </c>
      <c r="D798" s="65">
        <v>86</v>
      </c>
      <c r="E798" s="65">
        <v>5</v>
      </c>
    </row>
    <row r="799" spans="1:5">
      <c r="A799" s="65">
        <v>130157</v>
      </c>
      <c r="B799" s="66" t="s">
        <v>3625</v>
      </c>
      <c r="C799" s="66" t="s">
        <v>4489</v>
      </c>
      <c r="D799" s="65">
        <v>37</v>
      </c>
      <c r="E799" s="65">
        <v>3</v>
      </c>
    </row>
    <row r="800" spans="1:5">
      <c r="A800" s="65">
        <v>130168</v>
      </c>
      <c r="B800" s="66" t="s">
        <v>3593</v>
      </c>
      <c r="C800" s="66" t="s">
        <v>4490</v>
      </c>
      <c r="D800" s="65">
        <v>266</v>
      </c>
      <c r="E800" s="65">
        <v>22</v>
      </c>
    </row>
    <row r="801" spans="1:5">
      <c r="A801" s="65">
        <v>130169</v>
      </c>
      <c r="B801" s="66" t="s">
        <v>3639</v>
      </c>
      <c r="C801" s="66" t="s">
        <v>4491</v>
      </c>
      <c r="D801" s="65">
        <v>10300</v>
      </c>
      <c r="E801" s="65">
        <v>48</v>
      </c>
    </row>
    <row r="802" spans="1:5">
      <c r="A802" s="65">
        <v>130170</v>
      </c>
      <c r="B802" s="66" t="s">
        <v>4492</v>
      </c>
      <c r="C802" s="66" t="s">
        <v>4493</v>
      </c>
      <c r="D802" s="65">
        <v>1</v>
      </c>
      <c r="E802" s="65">
        <v>1</v>
      </c>
    </row>
    <row r="803" spans="1:5">
      <c r="A803" s="65">
        <v>130171</v>
      </c>
      <c r="B803" s="66" t="s">
        <v>3616</v>
      </c>
      <c r="C803" s="66" t="s">
        <v>4494</v>
      </c>
      <c r="D803" s="65">
        <v>83</v>
      </c>
      <c r="E803" s="65">
        <v>22</v>
      </c>
    </row>
    <row r="804" spans="1:5">
      <c r="A804" s="65">
        <v>130172</v>
      </c>
      <c r="B804" s="66" t="s">
        <v>3786</v>
      </c>
      <c r="C804" s="66" t="s">
        <v>4495</v>
      </c>
      <c r="D804" s="65">
        <v>67</v>
      </c>
      <c r="E804" s="65">
        <v>48</v>
      </c>
    </row>
    <row r="805" spans="1:5">
      <c r="A805" s="65">
        <v>130173</v>
      </c>
      <c r="B805" s="66" t="s">
        <v>3599</v>
      </c>
      <c r="C805" s="66" t="s">
        <v>4496</v>
      </c>
      <c r="D805" s="65">
        <v>429</v>
      </c>
      <c r="E805" s="65">
        <v>250</v>
      </c>
    </row>
    <row r="806" spans="1:5">
      <c r="A806" s="65">
        <v>130175</v>
      </c>
      <c r="B806" s="66" t="s">
        <v>3597</v>
      </c>
      <c r="C806" s="66" t="s">
        <v>4497</v>
      </c>
      <c r="D806" s="65">
        <v>783</v>
      </c>
      <c r="E806" s="65">
        <v>348</v>
      </c>
    </row>
    <row r="807" spans="1:5">
      <c r="A807" s="65">
        <v>130176</v>
      </c>
      <c r="B807" s="66" t="s">
        <v>3599</v>
      </c>
      <c r="C807" s="66" t="s">
        <v>4498</v>
      </c>
      <c r="D807" s="65">
        <v>24</v>
      </c>
      <c r="E807" s="65">
        <v>8</v>
      </c>
    </row>
    <row r="808" spans="1:5">
      <c r="A808" s="65">
        <v>130177</v>
      </c>
      <c r="B808" s="66" t="s">
        <v>3667</v>
      </c>
      <c r="C808" s="66" t="s">
        <v>4499</v>
      </c>
      <c r="D808" s="65">
        <v>359</v>
      </c>
      <c r="E808" s="65">
        <v>282</v>
      </c>
    </row>
    <row r="809" spans="1:5">
      <c r="A809" s="65">
        <v>130184</v>
      </c>
      <c r="B809" s="66" t="s">
        <v>3601</v>
      </c>
      <c r="C809" s="66" t="s">
        <v>4500</v>
      </c>
      <c r="D809" s="65">
        <v>6</v>
      </c>
      <c r="E809" s="65">
        <v>3</v>
      </c>
    </row>
    <row r="810" spans="1:5">
      <c r="A810" s="65">
        <v>13020</v>
      </c>
      <c r="B810" s="66" t="s">
        <v>3625</v>
      </c>
      <c r="C810" s="66" t="s">
        <v>4501</v>
      </c>
      <c r="D810" s="65">
        <v>12</v>
      </c>
      <c r="E810" s="65">
        <v>9</v>
      </c>
    </row>
    <row r="811" spans="1:5">
      <c r="A811" s="65">
        <v>130206</v>
      </c>
      <c r="B811" s="66" t="s">
        <v>4502</v>
      </c>
      <c r="C811" s="66" t="s">
        <v>4503</v>
      </c>
      <c r="D811" s="65">
        <v>5</v>
      </c>
      <c r="E811" s="65">
        <v>2</v>
      </c>
    </row>
    <row r="812" spans="1:5">
      <c r="A812" s="65">
        <v>130209</v>
      </c>
      <c r="B812" s="66" t="s">
        <v>3973</v>
      </c>
      <c r="C812" s="66" t="s">
        <v>4504</v>
      </c>
      <c r="D812" s="65">
        <v>4</v>
      </c>
      <c r="E812" s="65">
        <v>1</v>
      </c>
    </row>
    <row r="813" spans="1:5">
      <c r="A813" s="65">
        <v>130227</v>
      </c>
      <c r="B813" s="66" t="s">
        <v>3777</v>
      </c>
      <c r="C813" s="66" t="s">
        <v>4505</v>
      </c>
      <c r="D813" s="65">
        <v>13</v>
      </c>
      <c r="E813" s="65">
        <v>8</v>
      </c>
    </row>
    <row r="814" spans="1:5">
      <c r="A814" s="65">
        <v>130252</v>
      </c>
      <c r="B814" s="66" t="s">
        <v>3649</v>
      </c>
      <c r="C814" s="66" t="s">
        <v>4506</v>
      </c>
      <c r="D814" s="65">
        <v>65</v>
      </c>
      <c r="E814" s="65">
        <v>5</v>
      </c>
    </row>
    <row r="815" spans="1:5">
      <c r="A815" s="65">
        <v>13048</v>
      </c>
      <c r="B815" s="66" t="s">
        <v>3593</v>
      </c>
      <c r="C815" s="66" t="s">
        <v>4507</v>
      </c>
      <c r="D815" s="65">
        <v>41</v>
      </c>
      <c r="E815" s="65">
        <v>8</v>
      </c>
    </row>
    <row r="816" spans="1:5">
      <c r="A816" s="65">
        <v>130558</v>
      </c>
      <c r="B816" s="66" t="s">
        <v>3616</v>
      </c>
      <c r="C816" s="66" t="s">
        <v>4508</v>
      </c>
      <c r="D816" s="65">
        <v>2605</v>
      </c>
      <c r="E816" s="65">
        <v>259</v>
      </c>
    </row>
    <row r="817" spans="1:5">
      <c r="A817" s="65">
        <v>130560</v>
      </c>
      <c r="B817" s="66" t="s">
        <v>3649</v>
      </c>
      <c r="C817" s="66" t="s">
        <v>4509</v>
      </c>
      <c r="D817" s="65">
        <v>2</v>
      </c>
      <c r="E817" s="65">
        <v>1</v>
      </c>
    </row>
    <row r="818" spans="1:5">
      <c r="A818" s="65">
        <v>130583</v>
      </c>
      <c r="B818" s="66" t="s">
        <v>3616</v>
      </c>
      <c r="C818" s="66" t="s">
        <v>4510</v>
      </c>
      <c r="D818" s="65">
        <v>633</v>
      </c>
      <c r="E818" s="65">
        <v>92</v>
      </c>
    </row>
    <row r="819" spans="1:5">
      <c r="A819" s="65">
        <v>130997</v>
      </c>
      <c r="B819" s="66" t="s">
        <v>3649</v>
      </c>
      <c r="C819" s="66" t="s">
        <v>4511</v>
      </c>
      <c r="D819" s="65">
        <v>539</v>
      </c>
      <c r="E819" s="65">
        <v>50</v>
      </c>
    </row>
    <row r="820" spans="1:5">
      <c r="A820" s="65">
        <v>131401</v>
      </c>
      <c r="B820" s="66" t="s">
        <v>3593</v>
      </c>
      <c r="C820" s="66" t="s">
        <v>4512</v>
      </c>
      <c r="D820" s="65">
        <v>264</v>
      </c>
      <c r="E820" s="65">
        <v>30</v>
      </c>
    </row>
    <row r="821" spans="1:5">
      <c r="A821" s="65">
        <v>131413</v>
      </c>
      <c r="B821" s="66" t="s">
        <v>3593</v>
      </c>
      <c r="C821" s="66" t="s">
        <v>4513</v>
      </c>
      <c r="D821" s="65">
        <v>24</v>
      </c>
      <c r="E821" s="65">
        <v>8</v>
      </c>
    </row>
    <row r="822" spans="1:5">
      <c r="A822" s="65">
        <v>131484</v>
      </c>
      <c r="B822" s="66" t="s">
        <v>3649</v>
      </c>
      <c r="C822" s="66" t="s">
        <v>4514</v>
      </c>
      <c r="D822" s="65">
        <v>1</v>
      </c>
      <c r="E822" s="65">
        <v>1</v>
      </c>
    </row>
    <row r="823" spans="1:5">
      <c r="A823" s="65">
        <v>131489</v>
      </c>
      <c r="B823" s="66" t="s">
        <v>3593</v>
      </c>
      <c r="C823" s="66" t="s">
        <v>4515</v>
      </c>
      <c r="D823" s="65">
        <v>52</v>
      </c>
      <c r="E823" s="65">
        <v>24</v>
      </c>
    </row>
    <row r="824" spans="1:5">
      <c r="A824" s="65">
        <v>131494</v>
      </c>
      <c r="B824" s="66" t="s">
        <v>3597</v>
      </c>
      <c r="C824" s="66" t="s">
        <v>4516</v>
      </c>
      <c r="D824" s="65">
        <v>190</v>
      </c>
      <c r="E824" s="65">
        <v>9</v>
      </c>
    </row>
    <row r="825" spans="1:5">
      <c r="A825" s="65">
        <v>131495</v>
      </c>
      <c r="B825" s="66" t="s">
        <v>3649</v>
      </c>
      <c r="C825" s="66" t="s">
        <v>4517</v>
      </c>
      <c r="D825" s="65">
        <v>79</v>
      </c>
      <c r="E825" s="65">
        <v>15</v>
      </c>
    </row>
    <row r="826" spans="1:5">
      <c r="A826" s="65">
        <v>131531</v>
      </c>
      <c r="B826" s="66" t="s">
        <v>3597</v>
      </c>
      <c r="C826" s="66" t="s">
        <v>4518</v>
      </c>
      <c r="D826" s="65">
        <v>629</v>
      </c>
      <c r="E826" s="65">
        <v>37</v>
      </c>
    </row>
    <row r="827" spans="1:5">
      <c r="A827" s="65">
        <v>131591</v>
      </c>
      <c r="B827" s="66" t="s">
        <v>3804</v>
      </c>
      <c r="C827" s="66" t="s">
        <v>4519</v>
      </c>
      <c r="D827" s="65">
        <v>7</v>
      </c>
      <c r="E827" s="65">
        <v>6</v>
      </c>
    </row>
    <row r="828" spans="1:5">
      <c r="A828" s="65">
        <v>131592</v>
      </c>
      <c r="B828" s="66" t="s">
        <v>3973</v>
      </c>
      <c r="C828" s="66" t="s">
        <v>4520</v>
      </c>
      <c r="D828" s="65">
        <v>8</v>
      </c>
      <c r="E828" s="65">
        <v>7</v>
      </c>
    </row>
    <row r="829" spans="1:5">
      <c r="A829" s="65">
        <v>131593</v>
      </c>
      <c r="B829" s="66" t="s">
        <v>3973</v>
      </c>
      <c r="C829" s="66" t="s">
        <v>4521</v>
      </c>
      <c r="D829" s="65">
        <v>3</v>
      </c>
      <c r="E829" s="65">
        <v>3</v>
      </c>
    </row>
    <row r="830" spans="1:5">
      <c r="A830" s="65">
        <v>131594</v>
      </c>
      <c r="B830" s="66" t="s">
        <v>3973</v>
      </c>
      <c r="C830" s="66" t="s">
        <v>4522</v>
      </c>
      <c r="D830" s="65">
        <v>7</v>
      </c>
      <c r="E830" s="65">
        <v>5</v>
      </c>
    </row>
    <row r="831" spans="1:5">
      <c r="A831" s="65">
        <v>131595</v>
      </c>
      <c r="B831" s="66" t="s">
        <v>3973</v>
      </c>
      <c r="C831" s="66" t="s">
        <v>4523</v>
      </c>
      <c r="D831" s="65">
        <v>2</v>
      </c>
      <c r="E831" s="65">
        <v>1</v>
      </c>
    </row>
    <row r="832" spans="1:5">
      <c r="A832" s="65">
        <v>131596</v>
      </c>
      <c r="B832" s="66" t="s">
        <v>3973</v>
      </c>
      <c r="C832" s="66" t="s">
        <v>4524</v>
      </c>
      <c r="D832" s="65">
        <v>2</v>
      </c>
      <c r="E832" s="65">
        <v>1</v>
      </c>
    </row>
    <row r="833" spans="1:5">
      <c r="A833" s="65">
        <v>131597</v>
      </c>
      <c r="B833" s="66" t="s">
        <v>3973</v>
      </c>
      <c r="C833" s="66" t="s">
        <v>4525</v>
      </c>
      <c r="D833" s="65">
        <v>2</v>
      </c>
      <c r="E833" s="65">
        <v>1</v>
      </c>
    </row>
    <row r="834" spans="1:5">
      <c r="A834" s="65">
        <v>131598</v>
      </c>
      <c r="B834" s="66" t="s">
        <v>3804</v>
      </c>
      <c r="C834" s="66" t="s">
        <v>4526</v>
      </c>
      <c r="D834" s="65">
        <v>13</v>
      </c>
      <c r="E834" s="65">
        <v>7</v>
      </c>
    </row>
    <row r="835" spans="1:5">
      <c r="A835" s="65">
        <v>131599</v>
      </c>
      <c r="B835" s="66" t="s">
        <v>3973</v>
      </c>
      <c r="C835" s="66" t="s">
        <v>4527</v>
      </c>
      <c r="D835" s="65">
        <v>3</v>
      </c>
      <c r="E835" s="65">
        <v>2</v>
      </c>
    </row>
    <row r="836" spans="1:5">
      <c r="A836" s="65">
        <v>131600</v>
      </c>
      <c r="B836" s="66" t="s">
        <v>3973</v>
      </c>
      <c r="C836" s="66" t="s">
        <v>4528</v>
      </c>
      <c r="D836" s="65">
        <v>4</v>
      </c>
      <c r="E836" s="65">
        <v>1</v>
      </c>
    </row>
    <row r="837" spans="1:5">
      <c r="A837" s="65">
        <v>131626</v>
      </c>
      <c r="B837" s="66" t="s">
        <v>3593</v>
      </c>
      <c r="C837" s="66" t="s">
        <v>4529</v>
      </c>
      <c r="D837" s="65">
        <v>571</v>
      </c>
      <c r="E837" s="65">
        <v>33</v>
      </c>
    </row>
    <row r="838" spans="1:5">
      <c r="A838" s="65">
        <v>131705</v>
      </c>
      <c r="B838" s="66" t="s">
        <v>3616</v>
      </c>
      <c r="C838" s="66" t="s">
        <v>4530</v>
      </c>
      <c r="D838" s="65">
        <v>1628</v>
      </c>
      <c r="E838" s="65">
        <v>5</v>
      </c>
    </row>
    <row r="839" spans="1:5">
      <c r="A839" s="65">
        <v>131725</v>
      </c>
      <c r="B839" s="66" t="s">
        <v>3620</v>
      </c>
      <c r="C839" s="66" t="s">
        <v>4531</v>
      </c>
      <c r="D839" s="65">
        <v>55</v>
      </c>
      <c r="E839" s="65">
        <v>3</v>
      </c>
    </row>
    <row r="840" spans="1:5">
      <c r="A840" s="65">
        <v>131791</v>
      </c>
      <c r="B840" s="66" t="s">
        <v>3601</v>
      </c>
      <c r="C840" s="66" t="s">
        <v>4532</v>
      </c>
      <c r="D840" s="65">
        <v>5</v>
      </c>
      <c r="E840" s="65">
        <v>5</v>
      </c>
    </row>
    <row r="841" spans="1:5">
      <c r="A841" s="65">
        <v>131846</v>
      </c>
      <c r="B841" s="66" t="s">
        <v>3625</v>
      </c>
      <c r="C841" s="66" t="s">
        <v>4533</v>
      </c>
      <c r="D841" s="65">
        <v>120</v>
      </c>
      <c r="E841" s="65">
        <v>6</v>
      </c>
    </row>
    <row r="842" spans="1:5">
      <c r="A842" s="65">
        <v>131903</v>
      </c>
      <c r="B842" s="66" t="s">
        <v>3597</v>
      </c>
      <c r="C842" s="66" t="s">
        <v>4534</v>
      </c>
      <c r="D842" s="65">
        <v>733</v>
      </c>
      <c r="E842" s="65">
        <v>21</v>
      </c>
    </row>
    <row r="843" spans="1:5">
      <c r="A843" s="65">
        <v>131930</v>
      </c>
      <c r="B843" s="66" t="s">
        <v>4197</v>
      </c>
      <c r="C843" s="66" t="s">
        <v>4535</v>
      </c>
      <c r="D843" s="65">
        <v>15</v>
      </c>
      <c r="E843" s="65">
        <v>2</v>
      </c>
    </row>
    <row r="844" spans="1:5">
      <c r="A844" s="65">
        <v>131954</v>
      </c>
      <c r="B844" s="66" t="s">
        <v>3614</v>
      </c>
      <c r="C844" s="66" t="s">
        <v>4536</v>
      </c>
      <c r="D844" s="65">
        <v>7</v>
      </c>
      <c r="E844" s="65">
        <v>5</v>
      </c>
    </row>
    <row r="845" spans="1:5">
      <c r="A845" s="65">
        <v>13223</v>
      </c>
      <c r="B845" s="66" t="s">
        <v>4537</v>
      </c>
      <c r="C845" s="66" t="s">
        <v>4538</v>
      </c>
      <c r="D845" s="65">
        <v>194</v>
      </c>
      <c r="E845" s="65">
        <v>19</v>
      </c>
    </row>
    <row r="846" spans="1:5">
      <c r="A846" s="65">
        <v>132336</v>
      </c>
      <c r="B846" s="66" t="s">
        <v>3731</v>
      </c>
      <c r="C846" s="66" t="s">
        <v>4539</v>
      </c>
      <c r="D846" s="65">
        <v>84</v>
      </c>
      <c r="E846" s="65">
        <v>10</v>
      </c>
    </row>
    <row r="847" spans="1:5">
      <c r="A847" s="65">
        <v>132475</v>
      </c>
      <c r="B847" s="66" t="s">
        <v>3597</v>
      </c>
      <c r="C847" s="66" t="s">
        <v>4540</v>
      </c>
      <c r="D847" s="65">
        <v>2314</v>
      </c>
      <c r="E847" s="65">
        <v>264</v>
      </c>
    </row>
    <row r="848" spans="1:5">
      <c r="A848" s="65">
        <v>132587</v>
      </c>
      <c r="B848" s="66" t="s">
        <v>3973</v>
      </c>
      <c r="C848" s="66" t="s">
        <v>4541</v>
      </c>
      <c r="D848" s="65">
        <v>8</v>
      </c>
      <c r="E848" s="65">
        <v>2</v>
      </c>
    </row>
    <row r="849" spans="1:5">
      <c r="A849" s="65">
        <v>132590</v>
      </c>
      <c r="B849" s="66" t="s">
        <v>3665</v>
      </c>
      <c r="C849" s="66" t="s">
        <v>4542</v>
      </c>
      <c r="D849" s="65">
        <v>121</v>
      </c>
      <c r="E849" s="65">
        <v>10</v>
      </c>
    </row>
    <row r="850" spans="1:5">
      <c r="A850" s="65">
        <v>132591</v>
      </c>
      <c r="B850" s="66" t="s">
        <v>3593</v>
      </c>
      <c r="C850" s="66" t="s">
        <v>4543</v>
      </c>
      <c r="D850" s="65">
        <v>2272</v>
      </c>
      <c r="E850" s="65">
        <v>65</v>
      </c>
    </row>
    <row r="851" spans="1:5">
      <c r="A851" s="65">
        <v>132592</v>
      </c>
      <c r="B851" s="66" t="s">
        <v>3593</v>
      </c>
      <c r="C851" s="66" t="s">
        <v>4544</v>
      </c>
      <c r="D851" s="65">
        <v>5733</v>
      </c>
      <c r="E851" s="65">
        <v>184</v>
      </c>
    </row>
    <row r="852" spans="1:5">
      <c r="A852" s="65">
        <v>132593</v>
      </c>
      <c r="B852" s="66" t="s">
        <v>3614</v>
      </c>
      <c r="C852" s="66" t="s">
        <v>4545</v>
      </c>
      <c r="D852" s="65">
        <v>659</v>
      </c>
      <c r="E852" s="65">
        <v>32</v>
      </c>
    </row>
    <row r="853" spans="1:5">
      <c r="A853" s="65">
        <v>132594</v>
      </c>
      <c r="B853" s="66" t="s">
        <v>3649</v>
      </c>
      <c r="C853" s="66" t="s">
        <v>4546</v>
      </c>
      <c r="D853" s="65">
        <v>325</v>
      </c>
      <c r="E853" s="65">
        <v>9</v>
      </c>
    </row>
    <row r="854" spans="1:5">
      <c r="A854" s="65">
        <v>132595</v>
      </c>
      <c r="B854" s="66" t="s">
        <v>3593</v>
      </c>
      <c r="C854" s="66" t="s">
        <v>4547</v>
      </c>
      <c r="D854" s="65">
        <v>979</v>
      </c>
      <c r="E854" s="65">
        <v>26</v>
      </c>
    </row>
    <row r="855" spans="1:5">
      <c r="A855" s="65">
        <v>132596</v>
      </c>
      <c r="B855" s="66" t="s">
        <v>3593</v>
      </c>
      <c r="C855" s="66" t="s">
        <v>4548</v>
      </c>
      <c r="D855" s="65">
        <v>256</v>
      </c>
      <c r="E855" s="65">
        <v>6</v>
      </c>
    </row>
    <row r="856" spans="1:5">
      <c r="A856" s="65">
        <v>132597</v>
      </c>
      <c r="B856" s="66" t="s">
        <v>3593</v>
      </c>
      <c r="C856" s="66" t="s">
        <v>4549</v>
      </c>
      <c r="D856" s="65">
        <v>324</v>
      </c>
      <c r="E856" s="65">
        <v>11</v>
      </c>
    </row>
    <row r="857" spans="1:5">
      <c r="A857" s="65">
        <v>132598</v>
      </c>
      <c r="B857" s="66" t="s">
        <v>3593</v>
      </c>
      <c r="C857" s="66" t="s">
        <v>4550</v>
      </c>
      <c r="D857" s="65">
        <v>232</v>
      </c>
      <c r="E857" s="65">
        <v>12</v>
      </c>
    </row>
    <row r="858" spans="1:5">
      <c r="A858" s="65">
        <v>132599</v>
      </c>
      <c r="B858" s="66" t="s">
        <v>3597</v>
      </c>
      <c r="C858" s="66" t="s">
        <v>4551</v>
      </c>
      <c r="D858" s="65">
        <v>818</v>
      </c>
      <c r="E858" s="65">
        <v>27</v>
      </c>
    </row>
    <row r="859" spans="1:5">
      <c r="A859" s="65">
        <v>132698</v>
      </c>
      <c r="B859" s="66" t="s">
        <v>3597</v>
      </c>
      <c r="C859" s="66" t="s">
        <v>4552</v>
      </c>
      <c r="D859" s="65">
        <v>10</v>
      </c>
      <c r="E859" s="65">
        <v>10</v>
      </c>
    </row>
    <row r="860" spans="1:5">
      <c r="A860" s="65">
        <v>132699</v>
      </c>
      <c r="B860" s="66" t="s">
        <v>3597</v>
      </c>
      <c r="C860" s="66" t="s">
        <v>4553</v>
      </c>
      <c r="D860" s="65">
        <v>358</v>
      </c>
      <c r="E860" s="65">
        <v>19</v>
      </c>
    </row>
    <row r="861" spans="1:5">
      <c r="A861" s="65">
        <v>132701</v>
      </c>
      <c r="B861" s="66" t="s">
        <v>3614</v>
      </c>
      <c r="C861" s="66" t="s">
        <v>4554</v>
      </c>
      <c r="D861" s="65">
        <v>374</v>
      </c>
      <c r="E861" s="65">
        <v>24</v>
      </c>
    </row>
    <row r="862" spans="1:5">
      <c r="A862" s="65">
        <v>132703</v>
      </c>
      <c r="B862" s="66" t="s">
        <v>3593</v>
      </c>
      <c r="C862" s="66" t="s">
        <v>4555</v>
      </c>
      <c r="D862" s="65">
        <v>16</v>
      </c>
      <c r="E862" s="65">
        <v>8</v>
      </c>
    </row>
    <row r="863" spans="1:5">
      <c r="A863" s="65">
        <v>132704</v>
      </c>
      <c r="B863" s="66" t="s">
        <v>3614</v>
      </c>
      <c r="C863" s="66" t="s">
        <v>4556</v>
      </c>
      <c r="D863" s="65">
        <v>135</v>
      </c>
      <c r="E863" s="65">
        <v>9</v>
      </c>
    </row>
    <row r="864" spans="1:5">
      <c r="A864" s="65">
        <v>132705</v>
      </c>
      <c r="B864" s="66" t="s">
        <v>3731</v>
      </c>
      <c r="C864" s="66" t="s">
        <v>4557</v>
      </c>
      <c r="D864" s="65">
        <v>14</v>
      </c>
      <c r="E864" s="65">
        <v>13</v>
      </c>
    </row>
    <row r="865" spans="1:5">
      <c r="A865" s="65">
        <v>132706</v>
      </c>
      <c r="B865" s="66" t="s">
        <v>3649</v>
      </c>
      <c r="C865" s="66" t="s">
        <v>4558</v>
      </c>
      <c r="D865" s="65">
        <v>126</v>
      </c>
      <c r="E865" s="65">
        <v>6</v>
      </c>
    </row>
    <row r="866" spans="1:5">
      <c r="A866" s="65">
        <v>132708</v>
      </c>
      <c r="B866" s="66" t="s">
        <v>3597</v>
      </c>
      <c r="C866" s="66" t="s">
        <v>4559</v>
      </c>
      <c r="D866" s="65">
        <v>3</v>
      </c>
      <c r="E866" s="65">
        <v>3</v>
      </c>
    </row>
    <row r="867" spans="1:5">
      <c r="A867" s="65">
        <v>132709</v>
      </c>
      <c r="B867" s="66" t="s">
        <v>3593</v>
      </c>
      <c r="C867" s="66" t="s">
        <v>4560</v>
      </c>
      <c r="D867" s="65">
        <v>533</v>
      </c>
      <c r="E867" s="65">
        <v>27</v>
      </c>
    </row>
    <row r="868" spans="1:5">
      <c r="A868" s="65">
        <v>132710</v>
      </c>
      <c r="B868" s="66" t="s">
        <v>3597</v>
      </c>
      <c r="C868" s="66" t="s">
        <v>4561</v>
      </c>
      <c r="D868" s="65">
        <v>149</v>
      </c>
      <c r="E868" s="65">
        <v>29</v>
      </c>
    </row>
    <row r="869" spans="1:5">
      <c r="A869" s="65">
        <v>132719</v>
      </c>
      <c r="B869" s="66" t="s">
        <v>3593</v>
      </c>
      <c r="C869" s="66" t="s">
        <v>4562</v>
      </c>
      <c r="D869" s="65">
        <v>30</v>
      </c>
      <c r="E869" s="65">
        <v>24</v>
      </c>
    </row>
    <row r="870" spans="1:5">
      <c r="A870" s="65">
        <v>132720</v>
      </c>
      <c r="B870" s="66" t="s">
        <v>3973</v>
      </c>
      <c r="C870" s="66" t="s">
        <v>4563</v>
      </c>
      <c r="D870" s="65">
        <v>22</v>
      </c>
      <c r="E870" s="65">
        <v>4</v>
      </c>
    </row>
    <row r="871" spans="1:5">
      <c r="A871" s="65">
        <v>132721</v>
      </c>
      <c r="B871" s="66" t="s">
        <v>3593</v>
      </c>
      <c r="C871" s="66" t="s">
        <v>4564</v>
      </c>
      <c r="D871" s="65">
        <v>178</v>
      </c>
      <c r="E871" s="65">
        <v>16</v>
      </c>
    </row>
    <row r="872" spans="1:5">
      <c r="A872" s="65">
        <v>132722</v>
      </c>
      <c r="B872" s="66" t="s">
        <v>3593</v>
      </c>
      <c r="C872" s="66" t="s">
        <v>4565</v>
      </c>
      <c r="D872" s="65">
        <v>7</v>
      </c>
      <c r="E872" s="65">
        <v>6</v>
      </c>
    </row>
    <row r="873" spans="1:5">
      <c r="A873" s="65">
        <v>132744</v>
      </c>
      <c r="B873" s="66" t="s">
        <v>4117</v>
      </c>
      <c r="C873" s="66" t="s">
        <v>4566</v>
      </c>
      <c r="D873" s="65">
        <v>12</v>
      </c>
      <c r="E873" s="65">
        <v>2</v>
      </c>
    </row>
    <row r="874" spans="1:5">
      <c r="A874" s="65">
        <v>132786</v>
      </c>
      <c r="B874" s="66" t="s">
        <v>3731</v>
      </c>
      <c r="C874" s="66" t="s">
        <v>4567</v>
      </c>
      <c r="D874" s="65">
        <v>405</v>
      </c>
      <c r="E874" s="65">
        <v>21</v>
      </c>
    </row>
    <row r="875" spans="1:5">
      <c r="A875" s="65">
        <v>132788</v>
      </c>
      <c r="B875" s="66" t="s">
        <v>3593</v>
      </c>
      <c r="C875" s="66" t="s">
        <v>4568</v>
      </c>
      <c r="D875" s="65">
        <v>312</v>
      </c>
      <c r="E875" s="65">
        <v>14</v>
      </c>
    </row>
    <row r="876" spans="1:5">
      <c r="A876" s="65">
        <v>132789</v>
      </c>
      <c r="B876" s="66" t="s">
        <v>3904</v>
      </c>
      <c r="C876" s="66" t="s">
        <v>4569</v>
      </c>
      <c r="D876" s="65">
        <v>90</v>
      </c>
      <c r="E876" s="65">
        <v>6</v>
      </c>
    </row>
    <row r="877" spans="1:5">
      <c r="A877" s="65">
        <v>132790</v>
      </c>
      <c r="B877" s="66" t="s">
        <v>3649</v>
      </c>
      <c r="C877" s="66" t="s">
        <v>4570</v>
      </c>
      <c r="D877" s="65">
        <v>24</v>
      </c>
      <c r="E877" s="65">
        <v>1</v>
      </c>
    </row>
    <row r="878" spans="1:5">
      <c r="A878" s="65">
        <v>132797</v>
      </c>
      <c r="B878" s="66" t="s">
        <v>3904</v>
      </c>
      <c r="C878" s="66" t="s">
        <v>4571</v>
      </c>
      <c r="D878" s="65">
        <v>28</v>
      </c>
      <c r="E878" s="65">
        <v>6</v>
      </c>
    </row>
    <row r="879" spans="1:5">
      <c r="A879" s="65">
        <v>132798</v>
      </c>
      <c r="B879" s="66" t="s">
        <v>3649</v>
      </c>
      <c r="C879" s="66" t="s">
        <v>4572</v>
      </c>
      <c r="D879" s="65">
        <v>64</v>
      </c>
      <c r="E879" s="65">
        <v>10</v>
      </c>
    </row>
    <row r="880" spans="1:5">
      <c r="A880" s="65">
        <v>132802</v>
      </c>
      <c r="B880" s="66" t="s">
        <v>3904</v>
      </c>
      <c r="C880" s="66" t="s">
        <v>4573</v>
      </c>
      <c r="D880" s="65">
        <v>18</v>
      </c>
      <c r="E880" s="65">
        <v>3</v>
      </c>
    </row>
    <row r="881" spans="1:5">
      <c r="A881" s="65">
        <v>132821</v>
      </c>
      <c r="B881" s="66" t="s">
        <v>3599</v>
      </c>
      <c r="C881" s="66" t="s">
        <v>4574</v>
      </c>
      <c r="D881" s="65">
        <v>318</v>
      </c>
      <c r="E881" s="65">
        <v>57</v>
      </c>
    </row>
    <row r="882" spans="1:5">
      <c r="A882" s="65">
        <v>132822</v>
      </c>
      <c r="B882" s="66" t="s">
        <v>3599</v>
      </c>
      <c r="C882" s="66" t="s">
        <v>4575</v>
      </c>
      <c r="D882" s="65">
        <v>339</v>
      </c>
      <c r="E882" s="65">
        <v>65</v>
      </c>
    </row>
    <row r="883" spans="1:5">
      <c r="A883" s="65">
        <v>132823</v>
      </c>
      <c r="B883" s="66" t="s">
        <v>3620</v>
      </c>
      <c r="C883" s="66" t="s">
        <v>4576</v>
      </c>
      <c r="D883" s="65">
        <v>3</v>
      </c>
      <c r="E883" s="65">
        <v>3</v>
      </c>
    </row>
    <row r="884" spans="1:5">
      <c r="A884" s="65">
        <v>132824</v>
      </c>
      <c r="B884" s="66" t="s">
        <v>3603</v>
      </c>
      <c r="C884" s="66" t="s">
        <v>4577</v>
      </c>
      <c r="D884" s="65">
        <v>1</v>
      </c>
      <c r="E884" s="65">
        <v>1</v>
      </c>
    </row>
    <row r="885" spans="1:5">
      <c r="A885" s="65">
        <v>132825</v>
      </c>
      <c r="B885" s="66" t="s">
        <v>3593</v>
      </c>
      <c r="C885" s="66" t="s">
        <v>4578</v>
      </c>
      <c r="D885" s="65">
        <v>7</v>
      </c>
      <c r="E885" s="65">
        <v>5</v>
      </c>
    </row>
    <row r="886" spans="1:5">
      <c r="A886" s="65">
        <v>132826</v>
      </c>
      <c r="B886" s="66" t="s">
        <v>4140</v>
      </c>
      <c r="C886" s="66" t="s">
        <v>4579</v>
      </c>
      <c r="D886" s="65">
        <v>8</v>
      </c>
      <c r="E886" s="65">
        <v>8</v>
      </c>
    </row>
    <row r="887" spans="1:5">
      <c r="A887" s="65">
        <v>132827</v>
      </c>
      <c r="B887" s="66" t="s">
        <v>4580</v>
      </c>
      <c r="C887" s="66" t="s">
        <v>4581</v>
      </c>
      <c r="D887" s="65">
        <v>3</v>
      </c>
      <c r="E887" s="65">
        <v>3</v>
      </c>
    </row>
    <row r="888" spans="1:5">
      <c r="A888" s="65">
        <v>132828</v>
      </c>
      <c r="B888" s="66" t="s">
        <v>3970</v>
      </c>
      <c r="C888" s="66" t="s">
        <v>4582</v>
      </c>
      <c r="D888" s="65">
        <v>4</v>
      </c>
      <c r="E888" s="65">
        <v>4</v>
      </c>
    </row>
    <row r="889" spans="1:5">
      <c r="A889" s="65">
        <v>132829</v>
      </c>
      <c r="B889" s="66" t="s">
        <v>3593</v>
      </c>
      <c r="C889" s="66" t="s">
        <v>4583</v>
      </c>
      <c r="D889" s="65">
        <v>3</v>
      </c>
      <c r="E889" s="65">
        <v>2</v>
      </c>
    </row>
    <row r="890" spans="1:5">
      <c r="A890" s="65">
        <v>132831</v>
      </c>
      <c r="B890" s="66" t="s">
        <v>3593</v>
      </c>
      <c r="C890" s="66" t="s">
        <v>4584</v>
      </c>
      <c r="D890" s="65">
        <v>4</v>
      </c>
      <c r="E890" s="65">
        <v>2</v>
      </c>
    </row>
    <row r="891" spans="1:5">
      <c r="A891" s="65">
        <v>132832</v>
      </c>
      <c r="B891" s="66" t="s">
        <v>4140</v>
      </c>
      <c r="C891" s="66" t="s">
        <v>4585</v>
      </c>
      <c r="D891" s="65">
        <v>6</v>
      </c>
      <c r="E891" s="65">
        <v>6</v>
      </c>
    </row>
    <row r="892" spans="1:5">
      <c r="A892" s="65">
        <v>132833</v>
      </c>
      <c r="B892" s="66" t="s">
        <v>3620</v>
      </c>
      <c r="C892" s="66" t="s">
        <v>4586</v>
      </c>
      <c r="D892" s="65">
        <v>2</v>
      </c>
      <c r="E892" s="65">
        <v>2</v>
      </c>
    </row>
    <row r="893" spans="1:5">
      <c r="A893" s="65">
        <v>132834</v>
      </c>
      <c r="B893" s="66" t="s">
        <v>3593</v>
      </c>
      <c r="C893" s="66" t="s">
        <v>4587</v>
      </c>
      <c r="D893" s="65">
        <v>7</v>
      </c>
      <c r="E893" s="65">
        <v>6</v>
      </c>
    </row>
    <row r="894" spans="1:5">
      <c r="A894" s="65">
        <v>132867</v>
      </c>
      <c r="B894" s="66" t="s">
        <v>3649</v>
      </c>
      <c r="C894" s="66" t="s">
        <v>4588</v>
      </c>
      <c r="D894" s="65">
        <v>110</v>
      </c>
      <c r="E894" s="65">
        <v>28</v>
      </c>
    </row>
    <row r="895" spans="1:5">
      <c r="A895" s="65">
        <v>132868</v>
      </c>
      <c r="B895" s="66" t="s">
        <v>3625</v>
      </c>
      <c r="C895" s="66" t="s">
        <v>4589</v>
      </c>
      <c r="D895" s="65">
        <v>29</v>
      </c>
      <c r="E895" s="65">
        <v>7</v>
      </c>
    </row>
    <row r="896" spans="1:5">
      <c r="A896" s="65">
        <v>132869</v>
      </c>
      <c r="B896" s="66" t="s">
        <v>3625</v>
      </c>
      <c r="C896" s="66" t="s">
        <v>3923</v>
      </c>
      <c r="D896" s="65">
        <v>5</v>
      </c>
      <c r="E896" s="65">
        <v>2</v>
      </c>
    </row>
    <row r="897" spans="1:5">
      <c r="A897" s="65">
        <v>132999</v>
      </c>
      <c r="B897" s="66" t="s">
        <v>3593</v>
      </c>
      <c r="C897" s="66" t="s">
        <v>4590</v>
      </c>
      <c r="D897" s="65">
        <v>59</v>
      </c>
      <c r="E897" s="65">
        <v>8</v>
      </c>
    </row>
    <row r="898" spans="1:5">
      <c r="A898" s="65">
        <v>133</v>
      </c>
      <c r="B898" s="66" t="s">
        <v>3603</v>
      </c>
      <c r="C898" s="66" t="s">
        <v>4591</v>
      </c>
      <c r="D898" s="65">
        <v>10</v>
      </c>
      <c r="E898" s="65">
        <v>1</v>
      </c>
    </row>
    <row r="899" spans="1:5">
      <c r="A899" s="65">
        <v>133030</v>
      </c>
      <c r="B899" s="66" t="s">
        <v>3629</v>
      </c>
      <c r="C899" s="66" t="s">
        <v>4592</v>
      </c>
      <c r="D899" s="65">
        <v>25</v>
      </c>
      <c r="E899" s="65">
        <v>4</v>
      </c>
    </row>
    <row r="900" spans="1:5">
      <c r="A900" s="65">
        <v>133213</v>
      </c>
      <c r="B900" s="66" t="s">
        <v>3597</v>
      </c>
      <c r="C900" s="66" t="s">
        <v>4593</v>
      </c>
      <c r="D900" s="65">
        <v>26</v>
      </c>
      <c r="E900" s="65">
        <v>2</v>
      </c>
    </row>
    <row r="901" spans="1:5">
      <c r="A901" s="65">
        <v>133214</v>
      </c>
      <c r="B901" s="66" t="s">
        <v>3593</v>
      </c>
      <c r="C901" s="66" t="s">
        <v>4594</v>
      </c>
      <c r="D901" s="65">
        <v>20</v>
      </c>
      <c r="E901" s="65">
        <v>14</v>
      </c>
    </row>
    <row r="902" spans="1:5">
      <c r="A902" s="65">
        <v>133222</v>
      </c>
      <c r="B902" s="66" t="s">
        <v>3593</v>
      </c>
      <c r="C902" s="66" t="s">
        <v>4595</v>
      </c>
      <c r="D902" s="65">
        <v>400</v>
      </c>
      <c r="E902" s="65">
        <v>7</v>
      </c>
    </row>
    <row r="903" spans="1:5">
      <c r="A903" s="65">
        <v>133373</v>
      </c>
      <c r="B903" s="66" t="s">
        <v>3616</v>
      </c>
      <c r="C903" s="66" t="s">
        <v>4596</v>
      </c>
      <c r="D903" s="65">
        <v>90</v>
      </c>
      <c r="E903" s="65">
        <v>47</v>
      </c>
    </row>
    <row r="904" spans="1:5">
      <c r="A904" s="65">
        <v>13348</v>
      </c>
      <c r="B904" s="66" t="s">
        <v>3641</v>
      </c>
      <c r="C904" s="66" t="s">
        <v>4597</v>
      </c>
      <c r="D904" s="65">
        <v>22</v>
      </c>
      <c r="E904" s="65">
        <v>2</v>
      </c>
    </row>
    <row r="905" spans="1:5">
      <c r="A905" s="65">
        <v>133573</v>
      </c>
      <c r="B905" s="66" t="s">
        <v>4326</v>
      </c>
      <c r="C905" s="66" t="s">
        <v>4598</v>
      </c>
      <c r="D905" s="65">
        <v>10</v>
      </c>
      <c r="E905" s="65">
        <v>2</v>
      </c>
    </row>
    <row r="906" spans="1:5">
      <c r="A906" s="65">
        <v>133639</v>
      </c>
      <c r="B906" s="66" t="s">
        <v>3627</v>
      </c>
      <c r="C906" s="66" t="s">
        <v>4599</v>
      </c>
      <c r="D906" s="65">
        <v>20</v>
      </c>
      <c r="E906" s="65">
        <v>1</v>
      </c>
    </row>
    <row r="907" spans="1:5">
      <c r="A907" s="65">
        <v>133696</v>
      </c>
      <c r="B907" s="66" t="s">
        <v>3629</v>
      </c>
      <c r="C907" s="66" t="s">
        <v>4600</v>
      </c>
      <c r="D907" s="65">
        <v>55</v>
      </c>
      <c r="E907" s="65">
        <v>6</v>
      </c>
    </row>
    <row r="908" spans="1:5">
      <c r="A908" s="65">
        <v>133697</v>
      </c>
      <c r="B908" s="66" t="s">
        <v>3677</v>
      </c>
      <c r="C908" s="66" t="s">
        <v>4601</v>
      </c>
      <c r="D908" s="65">
        <v>24</v>
      </c>
      <c r="E908" s="65">
        <v>6</v>
      </c>
    </row>
    <row r="909" spans="1:5">
      <c r="A909" s="65">
        <v>133698</v>
      </c>
      <c r="B909" s="66" t="s">
        <v>3593</v>
      </c>
      <c r="C909" s="66" t="s">
        <v>4602</v>
      </c>
      <c r="D909" s="65">
        <v>232</v>
      </c>
      <c r="E909" s="65">
        <v>12</v>
      </c>
    </row>
    <row r="910" spans="1:5">
      <c r="A910" s="65">
        <v>133699</v>
      </c>
      <c r="B910" s="66" t="s">
        <v>3625</v>
      </c>
      <c r="C910" s="66" t="s">
        <v>4603</v>
      </c>
      <c r="D910" s="65">
        <v>180</v>
      </c>
      <c r="E910" s="65">
        <v>4</v>
      </c>
    </row>
    <row r="911" spans="1:5">
      <c r="A911" s="65">
        <v>133739</v>
      </c>
      <c r="B911" s="66" t="s">
        <v>4604</v>
      </c>
      <c r="C911" s="66" t="s">
        <v>4605</v>
      </c>
      <c r="D911" s="65">
        <v>10</v>
      </c>
      <c r="E911" s="65">
        <v>1</v>
      </c>
    </row>
    <row r="912" spans="1:5">
      <c r="A912" s="65">
        <v>133766</v>
      </c>
      <c r="B912" s="66" t="s">
        <v>3662</v>
      </c>
      <c r="C912" s="66" t="s">
        <v>4606</v>
      </c>
      <c r="D912" s="65">
        <v>4</v>
      </c>
      <c r="E912" s="65">
        <v>2</v>
      </c>
    </row>
    <row r="913" spans="1:5">
      <c r="A913" s="65">
        <v>133777</v>
      </c>
      <c r="B913" s="66" t="s">
        <v>3667</v>
      </c>
      <c r="C913" s="66" t="s">
        <v>4607</v>
      </c>
      <c r="D913" s="65">
        <v>6145</v>
      </c>
      <c r="E913" s="65">
        <v>174</v>
      </c>
    </row>
    <row r="914" spans="1:5">
      <c r="A914" s="65">
        <v>133789</v>
      </c>
      <c r="B914" s="66" t="s">
        <v>3597</v>
      </c>
      <c r="C914" s="66" t="s">
        <v>4608</v>
      </c>
      <c r="D914" s="65">
        <v>14</v>
      </c>
      <c r="E914" s="65">
        <v>4</v>
      </c>
    </row>
    <row r="915" spans="1:5">
      <c r="A915" s="65">
        <v>133833</v>
      </c>
      <c r="B915" s="66" t="s">
        <v>3601</v>
      </c>
      <c r="C915" s="66" t="s">
        <v>4609</v>
      </c>
      <c r="D915" s="65">
        <v>524</v>
      </c>
      <c r="E915" s="65">
        <v>106</v>
      </c>
    </row>
    <row r="916" spans="1:5">
      <c r="A916" s="65">
        <v>133847</v>
      </c>
      <c r="B916" s="66" t="s">
        <v>4610</v>
      </c>
      <c r="C916" s="66" t="s">
        <v>4611</v>
      </c>
      <c r="D916" s="65">
        <v>3</v>
      </c>
      <c r="E916" s="65">
        <v>3</v>
      </c>
    </row>
    <row r="917" spans="1:5">
      <c r="A917" s="65">
        <v>133848</v>
      </c>
      <c r="B917" s="66" t="s">
        <v>3593</v>
      </c>
      <c r="C917" s="66" t="s">
        <v>4612</v>
      </c>
      <c r="D917" s="65">
        <v>177</v>
      </c>
      <c r="E917" s="65">
        <v>71</v>
      </c>
    </row>
    <row r="918" spans="1:5">
      <c r="A918" s="65">
        <v>133849</v>
      </c>
      <c r="B918" s="66" t="s">
        <v>3593</v>
      </c>
      <c r="C918" s="66" t="s">
        <v>4613</v>
      </c>
      <c r="D918" s="65">
        <v>69</v>
      </c>
      <c r="E918" s="65">
        <v>33</v>
      </c>
    </row>
    <row r="919" spans="1:5">
      <c r="A919" s="65">
        <v>133851</v>
      </c>
      <c r="B919" s="66" t="s">
        <v>4140</v>
      </c>
      <c r="C919" s="66" t="s">
        <v>4614</v>
      </c>
      <c r="D919" s="65">
        <v>8</v>
      </c>
      <c r="E919" s="65">
        <v>3</v>
      </c>
    </row>
    <row r="920" spans="1:5">
      <c r="A920" s="65">
        <v>133856</v>
      </c>
      <c r="B920" s="66" t="s">
        <v>3593</v>
      </c>
      <c r="C920" s="66" t="s">
        <v>4615</v>
      </c>
      <c r="D920" s="65">
        <v>28</v>
      </c>
      <c r="E920" s="65">
        <v>14</v>
      </c>
    </row>
    <row r="921" spans="1:5">
      <c r="A921" s="65">
        <v>133859</v>
      </c>
      <c r="B921" s="66" t="s">
        <v>3599</v>
      </c>
      <c r="C921" s="66" t="s">
        <v>4616</v>
      </c>
      <c r="D921" s="65">
        <v>1</v>
      </c>
      <c r="E921" s="65">
        <v>1</v>
      </c>
    </row>
    <row r="922" spans="1:5">
      <c r="A922" s="65">
        <v>133870</v>
      </c>
      <c r="B922" s="66" t="s">
        <v>3593</v>
      </c>
      <c r="C922" s="66" t="s">
        <v>4617</v>
      </c>
      <c r="D922" s="65">
        <v>7</v>
      </c>
      <c r="E922" s="65">
        <v>5</v>
      </c>
    </row>
    <row r="923" spans="1:5">
      <c r="A923" s="65">
        <v>133874</v>
      </c>
      <c r="B923" s="66" t="s">
        <v>3593</v>
      </c>
      <c r="C923" s="66" t="s">
        <v>4618</v>
      </c>
      <c r="D923" s="65">
        <v>1400</v>
      </c>
      <c r="E923" s="65">
        <v>19</v>
      </c>
    </row>
    <row r="924" spans="1:5">
      <c r="A924" s="65">
        <v>133888</v>
      </c>
      <c r="B924" s="66" t="s">
        <v>3973</v>
      </c>
      <c r="C924" s="66" t="s">
        <v>4619</v>
      </c>
      <c r="D924" s="65">
        <v>8</v>
      </c>
      <c r="E924" s="65">
        <v>4</v>
      </c>
    </row>
    <row r="925" spans="1:5">
      <c r="A925" s="65">
        <v>133889</v>
      </c>
      <c r="B925" s="66" t="s">
        <v>3627</v>
      </c>
      <c r="C925" s="66" t="s">
        <v>4620</v>
      </c>
      <c r="D925" s="65">
        <v>45</v>
      </c>
      <c r="E925" s="65">
        <v>7</v>
      </c>
    </row>
    <row r="926" spans="1:5">
      <c r="A926" s="65">
        <v>133945</v>
      </c>
      <c r="B926" s="66" t="s">
        <v>3667</v>
      </c>
      <c r="C926" s="66" t="s">
        <v>4621</v>
      </c>
      <c r="D926" s="65">
        <v>1111</v>
      </c>
      <c r="E926" s="65">
        <v>121</v>
      </c>
    </row>
    <row r="927" spans="1:5">
      <c r="A927" s="65">
        <v>133946</v>
      </c>
      <c r="B927" s="66" t="s">
        <v>3667</v>
      </c>
      <c r="C927" s="66" t="s">
        <v>4622</v>
      </c>
      <c r="D927" s="65">
        <v>4190</v>
      </c>
      <c r="E927" s="65">
        <v>159</v>
      </c>
    </row>
    <row r="928" spans="1:5">
      <c r="A928" s="65">
        <v>133989</v>
      </c>
      <c r="B928" s="66" t="s">
        <v>3616</v>
      </c>
      <c r="C928" s="66" t="s">
        <v>4623</v>
      </c>
      <c r="D928" s="65">
        <v>25</v>
      </c>
      <c r="E928" s="65">
        <v>14</v>
      </c>
    </row>
    <row r="929" spans="1:5">
      <c r="A929" s="65">
        <v>134031</v>
      </c>
      <c r="B929" s="66" t="s">
        <v>3625</v>
      </c>
      <c r="C929" s="66" t="s">
        <v>4624</v>
      </c>
      <c r="D929" s="65">
        <v>120</v>
      </c>
      <c r="E929" s="65">
        <v>7</v>
      </c>
    </row>
    <row r="930" spans="1:5">
      <c r="A930" s="65">
        <v>134047</v>
      </c>
      <c r="B930" s="66" t="s">
        <v>3599</v>
      </c>
      <c r="C930" s="66" t="s">
        <v>4625</v>
      </c>
      <c r="D930" s="65">
        <v>35</v>
      </c>
      <c r="E930" s="65">
        <v>24</v>
      </c>
    </row>
    <row r="931" spans="1:5">
      <c r="A931" s="65">
        <v>134060</v>
      </c>
      <c r="B931" s="66" t="s">
        <v>3973</v>
      </c>
      <c r="C931" s="66" t="s">
        <v>4626</v>
      </c>
      <c r="D931" s="65">
        <v>12</v>
      </c>
      <c r="E931" s="65">
        <v>1</v>
      </c>
    </row>
    <row r="932" spans="1:5">
      <c r="A932" s="65">
        <v>134061</v>
      </c>
      <c r="B932" s="66" t="s">
        <v>3641</v>
      </c>
      <c r="C932" s="66" t="s">
        <v>4627</v>
      </c>
      <c r="D932" s="65">
        <v>78</v>
      </c>
      <c r="E932" s="65">
        <v>9</v>
      </c>
    </row>
    <row r="933" spans="1:5">
      <c r="A933" s="65">
        <v>134069</v>
      </c>
      <c r="B933" s="66" t="s">
        <v>3593</v>
      </c>
      <c r="C933" s="66" t="s">
        <v>4628</v>
      </c>
      <c r="D933" s="65">
        <v>48</v>
      </c>
      <c r="E933" s="65">
        <v>8</v>
      </c>
    </row>
    <row r="934" spans="1:5">
      <c r="A934" s="65">
        <v>134099</v>
      </c>
      <c r="B934" s="66" t="s">
        <v>3593</v>
      </c>
      <c r="C934" s="66" t="s">
        <v>4629</v>
      </c>
      <c r="D934" s="65">
        <v>69</v>
      </c>
      <c r="E934" s="65">
        <v>8</v>
      </c>
    </row>
    <row r="935" spans="1:5">
      <c r="A935" s="65">
        <v>134162</v>
      </c>
      <c r="B935" s="66" t="s">
        <v>4117</v>
      </c>
      <c r="C935" s="66" t="s">
        <v>4630</v>
      </c>
      <c r="D935" s="65">
        <v>2</v>
      </c>
      <c r="E935" s="65">
        <v>1</v>
      </c>
    </row>
    <row r="936" spans="1:5">
      <c r="A936" s="65">
        <v>134163</v>
      </c>
      <c r="B936" s="66" t="s">
        <v>3597</v>
      </c>
      <c r="C936" s="66" t="s">
        <v>4631</v>
      </c>
      <c r="D936" s="65">
        <v>4494</v>
      </c>
      <c r="E936" s="65">
        <v>76</v>
      </c>
    </row>
    <row r="937" spans="1:5">
      <c r="A937" s="65">
        <v>134213</v>
      </c>
      <c r="B937" s="66" t="s">
        <v>4537</v>
      </c>
      <c r="C937" s="66" t="s">
        <v>4632</v>
      </c>
      <c r="D937" s="65">
        <v>85</v>
      </c>
      <c r="E937" s="65">
        <v>8</v>
      </c>
    </row>
    <row r="938" spans="1:5">
      <c r="A938" s="65">
        <v>134214</v>
      </c>
      <c r="B938" s="66" t="s">
        <v>3608</v>
      </c>
      <c r="C938" s="66" t="s">
        <v>4633</v>
      </c>
      <c r="D938" s="65">
        <v>10</v>
      </c>
      <c r="E938" s="65">
        <v>2</v>
      </c>
    </row>
    <row r="939" spans="1:5">
      <c r="A939" s="65">
        <v>134289</v>
      </c>
      <c r="B939" s="66" t="s">
        <v>3593</v>
      </c>
      <c r="C939" s="66" t="s">
        <v>4634</v>
      </c>
      <c r="D939" s="65">
        <v>65</v>
      </c>
      <c r="E939" s="65">
        <v>14</v>
      </c>
    </row>
    <row r="940" spans="1:5">
      <c r="A940" s="65">
        <v>134290</v>
      </c>
      <c r="B940" s="66" t="s">
        <v>3593</v>
      </c>
      <c r="C940" s="66" t="s">
        <v>4635</v>
      </c>
      <c r="D940" s="65">
        <v>44</v>
      </c>
      <c r="E940" s="65">
        <v>9</v>
      </c>
    </row>
    <row r="941" spans="1:5">
      <c r="A941" s="65">
        <v>134299</v>
      </c>
      <c r="B941" s="66" t="s">
        <v>3731</v>
      </c>
      <c r="C941" s="66" t="s">
        <v>4636</v>
      </c>
      <c r="D941" s="65">
        <v>7</v>
      </c>
      <c r="E941" s="65">
        <v>3</v>
      </c>
    </row>
    <row r="942" spans="1:5">
      <c r="A942" s="65">
        <v>134353</v>
      </c>
      <c r="B942" s="66" t="s">
        <v>3606</v>
      </c>
      <c r="C942" s="66" t="s">
        <v>4637</v>
      </c>
      <c r="D942" s="65">
        <v>27</v>
      </c>
      <c r="E942" s="65">
        <v>4</v>
      </c>
    </row>
    <row r="943" spans="1:5">
      <c r="A943" s="65">
        <v>134382</v>
      </c>
      <c r="B943" s="66" t="s">
        <v>3786</v>
      </c>
      <c r="C943" s="66" t="s">
        <v>4638</v>
      </c>
      <c r="D943" s="65">
        <v>20</v>
      </c>
      <c r="E943" s="65">
        <v>2</v>
      </c>
    </row>
    <row r="944" spans="1:5">
      <c r="A944" s="65">
        <v>134385</v>
      </c>
      <c r="B944" s="66" t="s">
        <v>3599</v>
      </c>
      <c r="C944" s="66" t="s">
        <v>4639</v>
      </c>
      <c r="D944" s="65">
        <v>87</v>
      </c>
      <c r="E944" s="65">
        <v>7</v>
      </c>
    </row>
    <row r="945" spans="1:5">
      <c r="A945" s="65">
        <v>134386</v>
      </c>
      <c r="B945" s="66" t="s">
        <v>3599</v>
      </c>
      <c r="C945" s="66" t="s">
        <v>4640</v>
      </c>
      <c r="D945" s="65">
        <v>26</v>
      </c>
      <c r="E945" s="65">
        <v>3</v>
      </c>
    </row>
    <row r="946" spans="1:5">
      <c r="A946" s="65">
        <v>1345</v>
      </c>
      <c r="B946" s="66" t="s">
        <v>3601</v>
      </c>
      <c r="C946" s="66" t="s">
        <v>4641</v>
      </c>
      <c r="D946" s="65">
        <v>40</v>
      </c>
      <c r="E946" s="65">
        <v>8</v>
      </c>
    </row>
    <row r="947" spans="1:5">
      <c r="A947" s="65">
        <v>134569</v>
      </c>
      <c r="B947" s="66" t="s">
        <v>3599</v>
      </c>
      <c r="C947" s="66" t="s">
        <v>4642</v>
      </c>
      <c r="D947" s="65">
        <v>52</v>
      </c>
      <c r="E947" s="65">
        <v>14</v>
      </c>
    </row>
    <row r="948" spans="1:5">
      <c r="A948" s="65">
        <v>134570</v>
      </c>
      <c r="B948" s="66" t="s">
        <v>3599</v>
      </c>
      <c r="C948" s="66" t="s">
        <v>4643</v>
      </c>
      <c r="D948" s="65">
        <v>55</v>
      </c>
      <c r="E948" s="65">
        <v>14</v>
      </c>
    </row>
    <row r="949" spans="1:5">
      <c r="A949" s="65">
        <v>134597</v>
      </c>
      <c r="B949" s="66" t="s">
        <v>3665</v>
      </c>
      <c r="C949" s="66" t="s">
        <v>4644</v>
      </c>
      <c r="D949" s="65">
        <v>8</v>
      </c>
      <c r="E949" s="65">
        <v>8</v>
      </c>
    </row>
    <row r="950" spans="1:5">
      <c r="A950" s="65">
        <v>134739</v>
      </c>
      <c r="B950" s="66" t="s">
        <v>3599</v>
      </c>
      <c r="C950" s="66" t="s">
        <v>4645</v>
      </c>
      <c r="D950" s="65">
        <v>6</v>
      </c>
      <c r="E950" s="65">
        <v>2</v>
      </c>
    </row>
    <row r="951" spans="1:5">
      <c r="A951" s="65">
        <v>134782</v>
      </c>
      <c r="B951" s="66" t="s">
        <v>3731</v>
      </c>
      <c r="C951" s="66" t="s">
        <v>4646</v>
      </c>
      <c r="D951" s="65">
        <v>1</v>
      </c>
      <c r="E951" s="65">
        <v>1</v>
      </c>
    </row>
    <row r="952" spans="1:5">
      <c r="A952" s="65">
        <v>134790</v>
      </c>
      <c r="B952" s="66" t="s">
        <v>3599</v>
      </c>
      <c r="C952" s="66" t="s">
        <v>4647</v>
      </c>
      <c r="D952" s="65">
        <v>300</v>
      </c>
      <c r="E952" s="65">
        <v>3</v>
      </c>
    </row>
    <row r="953" spans="1:5">
      <c r="A953" s="65">
        <v>134825</v>
      </c>
      <c r="B953" s="66" t="s">
        <v>3593</v>
      </c>
      <c r="C953" s="66" t="s">
        <v>4648</v>
      </c>
      <c r="D953" s="65">
        <v>159</v>
      </c>
      <c r="E953" s="65">
        <v>21</v>
      </c>
    </row>
    <row r="954" spans="1:5">
      <c r="A954" s="65">
        <v>134867</v>
      </c>
      <c r="B954" s="66" t="s">
        <v>4191</v>
      </c>
      <c r="C954" s="66" t="s">
        <v>4649</v>
      </c>
      <c r="D954" s="65">
        <v>315</v>
      </c>
      <c r="E954" s="65">
        <v>35</v>
      </c>
    </row>
    <row r="955" spans="1:5">
      <c r="A955" s="65">
        <v>134877</v>
      </c>
      <c r="B955" s="66" t="s">
        <v>3597</v>
      </c>
      <c r="C955" s="66" t="s">
        <v>4650</v>
      </c>
      <c r="D955" s="65">
        <v>16928</v>
      </c>
      <c r="E955" s="65">
        <v>437</v>
      </c>
    </row>
    <row r="956" spans="1:5">
      <c r="A956" s="65">
        <v>134900</v>
      </c>
      <c r="B956" s="66" t="s">
        <v>3649</v>
      </c>
      <c r="C956" s="66" t="s">
        <v>4651</v>
      </c>
      <c r="D956" s="65">
        <v>19</v>
      </c>
      <c r="E956" s="65">
        <v>15</v>
      </c>
    </row>
    <row r="957" spans="1:5">
      <c r="A957" s="65">
        <v>135040</v>
      </c>
      <c r="B957" s="66" t="s">
        <v>3616</v>
      </c>
      <c r="C957" s="66" t="s">
        <v>4652</v>
      </c>
      <c r="D957" s="65">
        <v>980</v>
      </c>
      <c r="E957" s="65">
        <v>67</v>
      </c>
    </row>
    <row r="958" spans="1:5">
      <c r="A958" s="65">
        <v>135154</v>
      </c>
      <c r="B958" s="66" t="s">
        <v>3593</v>
      </c>
      <c r="C958" s="66" t="s">
        <v>4653</v>
      </c>
      <c r="D958" s="65">
        <v>40</v>
      </c>
      <c r="E958" s="65">
        <v>28</v>
      </c>
    </row>
    <row r="959" spans="1:5">
      <c r="A959" s="65">
        <v>135156</v>
      </c>
      <c r="B959" s="66" t="s">
        <v>4117</v>
      </c>
      <c r="C959" s="66" t="s">
        <v>4654</v>
      </c>
      <c r="D959" s="65">
        <v>6</v>
      </c>
      <c r="E959" s="65">
        <v>5</v>
      </c>
    </row>
    <row r="960" spans="1:5">
      <c r="A960" s="65">
        <v>135203</v>
      </c>
      <c r="B960" s="66" t="s">
        <v>3998</v>
      </c>
      <c r="C960" s="66" t="s">
        <v>4655</v>
      </c>
      <c r="D960" s="65">
        <v>19</v>
      </c>
      <c r="E960" s="65">
        <v>3</v>
      </c>
    </row>
    <row r="961" spans="1:5">
      <c r="A961" s="65">
        <v>135227</v>
      </c>
      <c r="B961" s="66" t="s">
        <v>3616</v>
      </c>
      <c r="C961" s="66" t="s">
        <v>4656</v>
      </c>
      <c r="D961" s="65">
        <v>11856</v>
      </c>
      <c r="E961" s="65">
        <v>320</v>
      </c>
    </row>
    <row r="962" spans="1:5">
      <c r="A962" s="65">
        <v>135380</v>
      </c>
      <c r="B962" s="66" t="s">
        <v>3900</v>
      </c>
      <c r="C962" s="66" t="s">
        <v>4657</v>
      </c>
      <c r="D962" s="65">
        <v>2070</v>
      </c>
      <c r="E962" s="65">
        <v>32</v>
      </c>
    </row>
    <row r="963" spans="1:5">
      <c r="A963" s="65">
        <v>135385</v>
      </c>
      <c r="B963" s="66" t="s">
        <v>3667</v>
      </c>
      <c r="C963" s="66" t="s">
        <v>4658</v>
      </c>
      <c r="D963" s="65">
        <v>81</v>
      </c>
      <c r="E963" s="65">
        <v>25</v>
      </c>
    </row>
    <row r="964" spans="1:5">
      <c r="A964" s="65">
        <v>135400</v>
      </c>
      <c r="B964" s="66" t="s">
        <v>3625</v>
      </c>
      <c r="C964" s="66" t="s">
        <v>4659</v>
      </c>
      <c r="D964" s="65">
        <v>12</v>
      </c>
      <c r="E964" s="65">
        <v>8</v>
      </c>
    </row>
    <row r="965" spans="1:5">
      <c r="A965" s="65">
        <v>135404</v>
      </c>
      <c r="B965" s="66" t="s">
        <v>4304</v>
      </c>
      <c r="C965" s="66" t="s">
        <v>4660</v>
      </c>
      <c r="D965" s="65">
        <v>25</v>
      </c>
      <c r="E965" s="65">
        <v>3</v>
      </c>
    </row>
    <row r="966" spans="1:5">
      <c r="A966" s="65">
        <v>13541</v>
      </c>
      <c r="B966" s="66" t="s">
        <v>3608</v>
      </c>
      <c r="C966" s="66" t="s">
        <v>4661</v>
      </c>
      <c r="D966" s="65">
        <v>229</v>
      </c>
      <c r="E966" s="65">
        <v>12</v>
      </c>
    </row>
    <row r="967" spans="1:5">
      <c r="A967" s="65">
        <v>135413</v>
      </c>
      <c r="B967" s="66" t="s">
        <v>3614</v>
      </c>
      <c r="C967" s="66" t="s">
        <v>4662</v>
      </c>
      <c r="D967" s="65">
        <v>21</v>
      </c>
      <c r="E967" s="65">
        <v>10</v>
      </c>
    </row>
    <row r="968" spans="1:5">
      <c r="A968" s="65">
        <v>13542</v>
      </c>
      <c r="B968" s="66" t="s">
        <v>3597</v>
      </c>
      <c r="C968" s="66" t="s">
        <v>4663</v>
      </c>
      <c r="D968" s="65">
        <v>113</v>
      </c>
      <c r="E968" s="65">
        <v>43</v>
      </c>
    </row>
    <row r="969" spans="1:5">
      <c r="A969" s="65">
        <v>1355</v>
      </c>
      <c r="B969" s="66" t="s">
        <v>3649</v>
      </c>
      <c r="C969" s="66" t="s">
        <v>4664</v>
      </c>
      <c r="D969" s="65">
        <v>5</v>
      </c>
      <c r="E969" s="65">
        <v>5</v>
      </c>
    </row>
    <row r="970" spans="1:5">
      <c r="A970" s="65">
        <v>135574</v>
      </c>
      <c r="B970" s="66" t="s">
        <v>3649</v>
      </c>
      <c r="C970" s="66" t="s">
        <v>4665</v>
      </c>
      <c r="D970" s="65">
        <v>2392</v>
      </c>
      <c r="E970" s="65">
        <v>30</v>
      </c>
    </row>
    <row r="971" spans="1:5">
      <c r="A971" s="65">
        <v>13568</v>
      </c>
      <c r="B971" s="66" t="s">
        <v>3608</v>
      </c>
      <c r="C971" s="66" t="s">
        <v>4666</v>
      </c>
      <c r="D971" s="65">
        <v>189</v>
      </c>
      <c r="E971" s="65">
        <v>19</v>
      </c>
    </row>
    <row r="972" spans="1:5">
      <c r="A972" s="65">
        <v>13570</v>
      </c>
      <c r="B972" s="66" t="s">
        <v>3597</v>
      </c>
      <c r="C972" s="66" t="s">
        <v>4667</v>
      </c>
      <c r="D972" s="65">
        <v>133</v>
      </c>
      <c r="E972" s="65">
        <v>9</v>
      </c>
    </row>
    <row r="973" spans="1:5">
      <c r="A973" s="65">
        <v>135743</v>
      </c>
      <c r="B973" s="66" t="s">
        <v>3667</v>
      </c>
      <c r="C973" s="66" t="s">
        <v>4668</v>
      </c>
      <c r="D973" s="65">
        <v>6782</v>
      </c>
      <c r="E973" s="65">
        <v>609</v>
      </c>
    </row>
    <row r="974" spans="1:5">
      <c r="A974" s="65">
        <v>135746</v>
      </c>
      <c r="B974" s="66" t="s">
        <v>3775</v>
      </c>
      <c r="C974" s="66" t="s">
        <v>4669</v>
      </c>
      <c r="D974" s="65">
        <v>2780</v>
      </c>
      <c r="E974" s="65">
        <v>17</v>
      </c>
    </row>
    <row r="975" spans="1:5">
      <c r="A975" s="65">
        <v>135747</v>
      </c>
      <c r="B975" s="66" t="s">
        <v>3593</v>
      </c>
      <c r="C975" s="66" t="s">
        <v>4670</v>
      </c>
      <c r="D975" s="65">
        <v>5400</v>
      </c>
      <c r="E975" s="65">
        <v>6</v>
      </c>
    </row>
    <row r="976" spans="1:5">
      <c r="A976" s="65">
        <v>135748</v>
      </c>
      <c r="B976" s="66" t="s">
        <v>3599</v>
      </c>
      <c r="C976" s="66" t="s">
        <v>4671</v>
      </c>
      <c r="D976" s="65">
        <v>130</v>
      </c>
      <c r="E976" s="65">
        <v>4</v>
      </c>
    </row>
    <row r="977" spans="1:5">
      <c r="A977" s="65">
        <v>135755</v>
      </c>
      <c r="B977" s="66" t="s">
        <v>3625</v>
      </c>
      <c r="C977" s="66" t="s">
        <v>4672</v>
      </c>
      <c r="D977" s="65">
        <v>1</v>
      </c>
      <c r="E977" s="65">
        <v>1</v>
      </c>
    </row>
    <row r="978" spans="1:5">
      <c r="A978" s="65">
        <v>13576</v>
      </c>
      <c r="B978" s="66" t="s">
        <v>3973</v>
      </c>
      <c r="C978" s="66" t="s">
        <v>4673</v>
      </c>
      <c r="D978" s="65">
        <v>55</v>
      </c>
      <c r="E978" s="65">
        <v>6</v>
      </c>
    </row>
    <row r="979" spans="1:5">
      <c r="A979" s="65">
        <v>135899</v>
      </c>
      <c r="B979" s="66" t="s">
        <v>3820</v>
      </c>
      <c r="C979" s="66" t="s">
        <v>4674</v>
      </c>
      <c r="D979" s="65">
        <v>7</v>
      </c>
      <c r="E979" s="65">
        <v>3</v>
      </c>
    </row>
    <row r="980" spans="1:5">
      <c r="A980" s="65">
        <v>1359</v>
      </c>
      <c r="B980" s="66" t="s">
        <v>3593</v>
      </c>
      <c r="C980" s="66" t="s">
        <v>4675</v>
      </c>
      <c r="D980" s="65">
        <v>74</v>
      </c>
      <c r="E980" s="65">
        <v>54</v>
      </c>
    </row>
    <row r="981" spans="1:5">
      <c r="A981" s="65">
        <v>135941</v>
      </c>
      <c r="B981" s="66" t="s">
        <v>3616</v>
      </c>
      <c r="C981" s="66" t="s">
        <v>4676</v>
      </c>
      <c r="D981" s="65">
        <v>1660</v>
      </c>
      <c r="E981" s="65">
        <v>51</v>
      </c>
    </row>
    <row r="982" spans="1:5">
      <c r="A982" s="65">
        <v>135950</v>
      </c>
      <c r="B982" s="66" t="s">
        <v>3643</v>
      </c>
      <c r="C982" s="66" t="s">
        <v>4677</v>
      </c>
      <c r="D982" s="65">
        <v>15</v>
      </c>
      <c r="E982" s="65">
        <v>3</v>
      </c>
    </row>
    <row r="983" spans="1:5">
      <c r="A983" s="65">
        <v>135983</v>
      </c>
      <c r="B983" s="66" t="s">
        <v>3614</v>
      </c>
      <c r="C983" s="66" t="s">
        <v>4678</v>
      </c>
      <c r="D983" s="65">
        <v>45</v>
      </c>
      <c r="E983" s="65">
        <v>2</v>
      </c>
    </row>
    <row r="984" spans="1:5">
      <c r="A984" s="65">
        <v>135997</v>
      </c>
      <c r="B984" s="66" t="s">
        <v>3593</v>
      </c>
      <c r="C984" s="66" t="s">
        <v>4679</v>
      </c>
      <c r="D984" s="65">
        <v>616</v>
      </c>
      <c r="E984" s="65">
        <v>11</v>
      </c>
    </row>
    <row r="985" spans="1:5">
      <c r="A985" s="65">
        <v>1360</v>
      </c>
      <c r="B985" s="66" t="s">
        <v>3616</v>
      </c>
      <c r="C985" s="66" t="s">
        <v>4680</v>
      </c>
      <c r="D985" s="65">
        <v>13</v>
      </c>
      <c r="E985" s="65">
        <v>10</v>
      </c>
    </row>
    <row r="986" spans="1:5">
      <c r="A986" s="65">
        <v>136008</v>
      </c>
      <c r="B986" s="66" t="s">
        <v>3601</v>
      </c>
      <c r="C986" s="66" t="s">
        <v>4681</v>
      </c>
      <c r="D986" s="65">
        <v>157</v>
      </c>
      <c r="E986" s="65">
        <v>20</v>
      </c>
    </row>
    <row r="987" spans="1:5">
      <c r="A987" s="65">
        <v>136011</v>
      </c>
      <c r="B987" s="66" t="s">
        <v>3616</v>
      </c>
      <c r="C987" s="66" t="s">
        <v>4682</v>
      </c>
      <c r="D987" s="65">
        <v>8</v>
      </c>
      <c r="E987" s="65">
        <v>5</v>
      </c>
    </row>
    <row r="988" spans="1:5">
      <c r="A988" s="65">
        <v>136237</v>
      </c>
      <c r="B988" s="66" t="s">
        <v>3597</v>
      </c>
      <c r="C988" s="66" t="s">
        <v>4683</v>
      </c>
      <c r="D988" s="65">
        <v>2</v>
      </c>
      <c r="E988" s="65">
        <v>2</v>
      </c>
    </row>
    <row r="989" spans="1:5">
      <c r="A989" s="65">
        <v>136238</v>
      </c>
      <c r="B989" s="66" t="s">
        <v>3597</v>
      </c>
      <c r="C989" s="66" t="s">
        <v>4684</v>
      </c>
      <c r="D989" s="65">
        <v>4</v>
      </c>
      <c r="E989" s="65">
        <v>4</v>
      </c>
    </row>
    <row r="990" spans="1:5">
      <c r="A990" s="65">
        <v>136239</v>
      </c>
      <c r="B990" s="66" t="s">
        <v>3597</v>
      </c>
      <c r="C990" s="66" t="s">
        <v>4685</v>
      </c>
      <c r="D990" s="65">
        <v>8</v>
      </c>
      <c r="E990" s="65">
        <v>7</v>
      </c>
    </row>
    <row r="991" spans="1:5">
      <c r="A991" s="65">
        <v>136240</v>
      </c>
      <c r="B991" s="66" t="s">
        <v>3597</v>
      </c>
      <c r="C991" s="66" t="s">
        <v>4686</v>
      </c>
      <c r="D991" s="65">
        <v>55</v>
      </c>
      <c r="E991" s="65">
        <v>33</v>
      </c>
    </row>
    <row r="992" spans="1:5">
      <c r="A992" s="65">
        <v>136241</v>
      </c>
      <c r="B992" s="66" t="s">
        <v>3597</v>
      </c>
      <c r="C992" s="66" t="s">
        <v>4687</v>
      </c>
      <c r="D992" s="65">
        <v>19</v>
      </c>
      <c r="E992" s="65">
        <v>17</v>
      </c>
    </row>
    <row r="993" spans="1:5">
      <c r="A993" s="65">
        <v>136330</v>
      </c>
      <c r="B993" s="66" t="s">
        <v>3593</v>
      </c>
      <c r="C993" s="66" t="s">
        <v>4688</v>
      </c>
      <c r="D993" s="65">
        <v>51</v>
      </c>
      <c r="E993" s="65">
        <v>10</v>
      </c>
    </row>
    <row r="994" spans="1:5">
      <c r="A994" s="65">
        <v>136384</v>
      </c>
      <c r="B994" s="66" t="s">
        <v>3775</v>
      </c>
      <c r="C994" s="66" t="s">
        <v>4689</v>
      </c>
      <c r="D994" s="65">
        <v>19100</v>
      </c>
      <c r="E994" s="65">
        <v>90</v>
      </c>
    </row>
    <row r="995" spans="1:5">
      <c r="A995" s="65">
        <v>136385</v>
      </c>
      <c r="B995" s="66" t="s">
        <v>3593</v>
      </c>
      <c r="C995" s="66" t="s">
        <v>4690</v>
      </c>
      <c r="D995" s="65">
        <v>519</v>
      </c>
      <c r="E995" s="65">
        <v>118</v>
      </c>
    </row>
    <row r="996" spans="1:5">
      <c r="A996" s="65">
        <v>136386</v>
      </c>
      <c r="B996" s="66" t="s">
        <v>3593</v>
      </c>
      <c r="C996" s="66" t="s">
        <v>4691</v>
      </c>
      <c r="D996" s="65">
        <v>86</v>
      </c>
      <c r="E996" s="65">
        <v>29</v>
      </c>
    </row>
    <row r="997" spans="1:5">
      <c r="A997" s="65">
        <v>136451</v>
      </c>
      <c r="B997" s="66" t="s">
        <v>3783</v>
      </c>
      <c r="C997" s="66" t="s">
        <v>4692</v>
      </c>
      <c r="D997" s="65">
        <v>841</v>
      </c>
      <c r="E997" s="65">
        <v>33</v>
      </c>
    </row>
    <row r="998" spans="1:5">
      <c r="A998" s="65">
        <v>136452</v>
      </c>
      <c r="B998" s="66" t="s">
        <v>3597</v>
      </c>
      <c r="C998" s="66" t="s">
        <v>4693</v>
      </c>
      <c r="D998" s="65">
        <v>810</v>
      </c>
      <c r="E998" s="65">
        <v>18</v>
      </c>
    </row>
    <row r="999" spans="1:5">
      <c r="A999" s="65">
        <v>136453</v>
      </c>
      <c r="B999" s="66" t="s">
        <v>3731</v>
      </c>
      <c r="C999" s="66" t="s">
        <v>4694</v>
      </c>
      <c r="D999" s="65">
        <v>1033</v>
      </c>
      <c r="E999" s="65">
        <v>13</v>
      </c>
    </row>
    <row r="1000" spans="1:5">
      <c r="A1000" s="65">
        <v>136454</v>
      </c>
      <c r="B1000" s="66" t="s">
        <v>3597</v>
      </c>
      <c r="C1000" s="66" t="s">
        <v>4695</v>
      </c>
      <c r="D1000" s="65">
        <v>60</v>
      </c>
      <c r="E1000" s="65">
        <v>10</v>
      </c>
    </row>
    <row r="1001" spans="1:5">
      <c r="A1001" s="65">
        <v>136457</v>
      </c>
      <c r="B1001" s="66" t="s">
        <v>3593</v>
      </c>
      <c r="C1001" s="66" t="s">
        <v>4696</v>
      </c>
      <c r="D1001" s="65">
        <v>1105</v>
      </c>
      <c r="E1001" s="65">
        <v>42</v>
      </c>
    </row>
    <row r="1002" spans="1:5">
      <c r="A1002" s="65">
        <v>136467</v>
      </c>
      <c r="B1002" s="66" t="s">
        <v>3599</v>
      </c>
      <c r="C1002" s="66" t="s">
        <v>4697</v>
      </c>
      <c r="D1002" s="65">
        <v>22</v>
      </c>
      <c r="E1002" s="65">
        <v>8</v>
      </c>
    </row>
    <row r="1003" spans="1:5">
      <c r="A1003" s="65">
        <v>136468</v>
      </c>
      <c r="B1003" s="66" t="s">
        <v>4698</v>
      </c>
      <c r="C1003" s="66" t="s">
        <v>4699</v>
      </c>
      <c r="D1003" s="65">
        <v>17</v>
      </c>
      <c r="E1003" s="65">
        <v>4</v>
      </c>
    </row>
    <row r="1004" spans="1:5">
      <c r="A1004" s="65">
        <v>136580</v>
      </c>
      <c r="B1004" s="66" t="s">
        <v>3597</v>
      </c>
      <c r="C1004" s="66" t="s">
        <v>4700</v>
      </c>
      <c r="D1004" s="65">
        <v>75</v>
      </c>
      <c r="E1004" s="65">
        <v>38</v>
      </c>
    </row>
    <row r="1005" spans="1:5">
      <c r="A1005" s="65">
        <v>136683</v>
      </c>
      <c r="B1005" s="66" t="s">
        <v>3616</v>
      </c>
      <c r="C1005" s="66" t="s">
        <v>4701</v>
      </c>
      <c r="D1005" s="65">
        <v>17128</v>
      </c>
      <c r="E1005" s="65">
        <v>530</v>
      </c>
    </row>
    <row r="1006" spans="1:5">
      <c r="A1006" s="65">
        <v>136730</v>
      </c>
      <c r="B1006" s="66" t="s">
        <v>3625</v>
      </c>
      <c r="C1006" s="66" t="s">
        <v>4702</v>
      </c>
      <c r="D1006" s="65">
        <v>42</v>
      </c>
      <c r="E1006" s="65">
        <v>3</v>
      </c>
    </row>
    <row r="1007" spans="1:5">
      <c r="A1007" s="65">
        <v>136740</v>
      </c>
      <c r="B1007" s="66" t="s">
        <v>3601</v>
      </c>
      <c r="C1007" s="66" t="s">
        <v>4703</v>
      </c>
      <c r="D1007" s="65">
        <v>10000</v>
      </c>
      <c r="E1007" s="65">
        <v>4</v>
      </c>
    </row>
    <row r="1008" spans="1:5">
      <c r="A1008" s="65">
        <v>136869</v>
      </c>
      <c r="B1008" s="66" t="s">
        <v>3631</v>
      </c>
      <c r="C1008" s="66" t="s">
        <v>4704</v>
      </c>
      <c r="D1008" s="65">
        <v>1000</v>
      </c>
      <c r="E1008" s="65">
        <v>2</v>
      </c>
    </row>
    <row r="1009" spans="1:5">
      <c r="A1009" s="65">
        <v>136870</v>
      </c>
      <c r="B1009" s="66" t="s">
        <v>4705</v>
      </c>
      <c r="C1009" s="66" t="s">
        <v>4706</v>
      </c>
      <c r="D1009" s="65">
        <v>40</v>
      </c>
      <c r="E1009" s="65">
        <v>6</v>
      </c>
    </row>
    <row r="1010" spans="1:5">
      <c r="A1010" s="65">
        <v>136871</v>
      </c>
      <c r="B1010" s="66" t="s">
        <v>4707</v>
      </c>
      <c r="C1010" s="66" t="s">
        <v>4708</v>
      </c>
      <c r="D1010" s="65">
        <v>1550</v>
      </c>
      <c r="E1010" s="65">
        <v>6</v>
      </c>
    </row>
    <row r="1011" spans="1:5">
      <c r="A1011" s="65">
        <v>137003</v>
      </c>
      <c r="B1011" s="66" t="s">
        <v>3593</v>
      </c>
      <c r="C1011" s="66" t="s">
        <v>4709</v>
      </c>
      <c r="D1011" s="65">
        <v>46</v>
      </c>
      <c r="E1011" s="65">
        <v>26</v>
      </c>
    </row>
    <row r="1012" spans="1:5">
      <c r="A1012" s="65">
        <v>137006</v>
      </c>
      <c r="B1012" s="66" t="s">
        <v>3599</v>
      </c>
      <c r="C1012" s="66" t="s">
        <v>4710</v>
      </c>
      <c r="D1012" s="65">
        <v>13</v>
      </c>
      <c r="E1012" s="65">
        <v>12</v>
      </c>
    </row>
    <row r="1013" spans="1:5">
      <c r="A1013" s="65">
        <v>137009</v>
      </c>
      <c r="B1013" s="66" t="s">
        <v>3597</v>
      </c>
      <c r="C1013" s="66" t="s">
        <v>4711</v>
      </c>
      <c r="D1013" s="65">
        <v>5350</v>
      </c>
      <c r="E1013" s="65">
        <v>117</v>
      </c>
    </row>
    <row r="1014" spans="1:5">
      <c r="A1014" s="65">
        <v>137029</v>
      </c>
      <c r="B1014" s="66" t="s">
        <v>4712</v>
      </c>
      <c r="C1014" s="66" t="s">
        <v>4713</v>
      </c>
      <c r="D1014" s="65">
        <v>26</v>
      </c>
      <c r="E1014" s="65">
        <v>8</v>
      </c>
    </row>
    <row r="1015" spans="1:5">
      <c r="A1015" s="65">
        <v>1371</v>
      </c>
      <c r="B1015" s="66" t="s">
        <v>4175</v>
      </c>
      <c r="C1015" s="66" t="s">
        <v>4714</v>
      </c>
      <c r="D1015" s="65">
        <v>37</v>
      </c>
      <c r="E1015" s="65">
        <v>3</v>
      </c>
    </row>
    <row r="1016" spans="1:5">
      <c r="A1016" s="65">
        <v>1372</v>
      </c>
      <c r="B1016" s="66" t="s">
        <v>3597</v>
      </c>
      <c r="C1016" s="66" t="s">
        <v>4715</v>
      </c>
      <c r="D1016" s="65">
        <v>494</v>
      </c>
      <c r="E1016" s="65">
        <v>33</v>
      </c>
    </row>
    <row r="1017" spans="1:5">
      <c r="A1017" s="65">
        <v>137236</v>
      </c>
      <c r="B1017" s="66" t="s">
        <v>4580</v>
      </c>
      <c r="C1017" s="66" t="s">
        <v>4716</v>
      </c>
      <c r="D1017" s="65">
        <v>1112</v>
      </c>
      <c r="E1017" s="65">
        <v>37</v>
      </c>
    </row>
    <row r="1018" spans="1:5">
      <c r="A1018" s="65">
        <v>137257</v>
      </c>
      <c r="B1018" s="66" t="s">
        <v>3597</v>
      </c>
      <c r="C1018" s="66" t="s">
        <v>4717</v>
      </c>
      <c r="D1018" s="65">
        <v>307</v>
      </c>
      <c r="E1018" s="65">
        <v>54</v>
      </c>
    </row>
    <row r="1019" spans="1:5">
      <c r="A1019" s="65">
        <v>137303</v>
      </c>
      <c r="B1019" s="66" t="s">
        <v>3786</v>
      </c>
      <c r="C1019" s="66" t="s">
        <v>4718</v>
      </c>
      <c r="D1019" s="65">
        <v>192</v>
      </c>
      <c r="E1019" s="65">
        <v>69</v>
      </c>
    </row>
    <row r="1020" spans="1:5">
      <c r="A1020" s="65">
        <v>137308</v>
      </c>
      <c r="B1020" s="66" t="s">
        <v>3593</v>
      </c>
      <c r="C1020" s="66" t="s">
        <v>4719</v>
      </c>
      <c r="D1020" s="65">
        <v>390</v>
      </c>
      <c r="E1020" s="65">
        <v>15</v>
      </c>
    </row>
    <row r="1021" spans="1:5">
      <c r="A1021" s="65">
        <v>137402</v>
      </c>
      <c r="B1021" s="66" t="s">
        <v>3599</v>
      </c>
      <c r="C1021" s="66" t="s">
        <v>4720</v>
      </c>
      <c r="D1021" s="65">
        <v>13</v>
      </c>
      <c r="E1021" s="65">
        <v>6</v>
      </c>
    </row>
    <row r="1022" spans="1:5">
      <c r="A1022" s="65">
        <v>137403</v>
      </c>
      <c r="B1022" s="66" t="s">
        <v>3649</v>
      </c>
      <c r="C1022" s="66" t="s">
        <v>4721</v>
      </c>
      <c r="D1022" s="65">
        <v>147</v>
      </c>
      <c r="E1022" s="65">
        <v>66</v>
      </c>
    </row>
    <row r="1023" spans="1:5">
      <c r="A1023" s="65">
        <v>137425</v>
      </c>
      <c r="B1023" s="66" t="s">
        <v>3593</v>
      </c>
      <c r="C1023" s="66" t="s">
        <v>4722</v>
      </c>
      <c r="D1023" s="65">
        <v>100</v>
      </c>
      <c r="E1023" s="65">
        <v>1</v>
      </c>
    </row>
    <row r="1024" spans="1:5">
      <c r="A1024" s="65">
        <v>137443</v>
      </c>
      <c r="B1024" s="66" t="s">
        <v>3639</v>
      </c>
      <c r="C1024" s="66" t="s">
        <v>4723</v>
      </c>
      <c r="D1024" s="65">
        <v>200</v>
      </c>
      <c r="E1024" s="65">
        <v>1</v>
      </c>
    </row>
    <row r="1025" spans="1:5">
      <c r="A1025" s="65">
        <v>137475</v>
      </c>
      <c r="B1025" s="66" t="s">
        <v>3643</v>
      </c>
      <c r="C1025" s="66" t="s">
        <v>4724</v>
      </c>
      <c r="D1025" s="65">
        <v>40</v>
      </c>
      <c r="E1025" s="65">
        <v>1</v>
      </c>
    </row>
    <row r="1026" spans="1:5">
      <c r="A1026" s="65">
        <v>137485</v>
      </c>
      <c r="B1026" s="66" t="s">
        <v>4059</v>
      </c>
      <c r="C1026" s="66" t="s">
        <v>4725</v>
      </c>
      <c r="D1026" s="65">
        <v>74</v>
      </c>
      <c r="E1026" s="65">
        <v>8</v>
      </c>
    </row>
    <row r="1027" spans="1:5">
      <c r="A1027" s="65">
        <v>137505</v>
      </c>
      <c r="B1027" s="66" t="s">
        <v>3646</v>
      </c>
      <c r="C1027" s="66" t="s">
        <v>4726</v>
      </c>
      <c r="D1027" s="65">
        <v>30</v>
      </c>
      <c r="E1027" s="65">
        <v>2</v>
      </c>
    </row>
    <row r="1028" spans="1:5">
      <c r="A1028" s="65">
        <v>137506</v>
      </c>
      <c r="B1028" s="66" t="s">
        <v>3608</v>
      </c>
      <c r="C1028" s="66" t="s">
        <v>4727</v>
      </c>
      <c r="D1028" s="65">
        <v>28</v>
      </c>
      <c r="E1028" s="65">
        <v>16</v>
      </c>
    </row>
    <row r="1029" spans="1:5">
      <c r="A1029" s="65">
        <v>137553</v>
      </c>
      <c r="B1029" s="66" t="s">
        <v>3804</v>
      </c>
      <c r="C1029" s="66" t="s">
        <v>4728</v>
      </c>
      <c r="D1029" s="65">
        <v>50</v>
      </c>
      <c r="E1029" s="65">
        <v>5</v>
      </c>
    </row>
    <row r="1030" spans="1:5">
      <c r="A1030" s="65">
        <v>137556</v>
      </c>
      <c r="B1030" s="66" t="s">
        <v>3593</v>
      </c>
      <c r="C1030" s="66" t="s">
        <v>4729</v>
      </c>
      <c r="D1030" s="65">
        <v>72</v>
      </c>
      <c r="E1030" s="65">
        <v>1</v>
      </c>
    </row>
    <row r="1031" spans="1:5">
      <c r="A1031" s="65">
        <v>137585</v>
      </c>
      <c r="B1031" s="66" t="s">
        <v>3616</v>
      </c>
      <c r="C1031" s="66" t="s">
        <v>4730</v>
      </c>
      <c r="D1031" s="65">
        <v>653</v>
      </c>
      <c r="E1031" s="65">
        <v>75</v>
      </c>
    </row>
    <row r="1032" spans="1:5">
      <c r="A1032" s="65">
        <v>137591</v>
      </c>
      <c r="B1032" s="66" t="s">
        <v>3616</v>
      </c>
      <c r="C1032" s="66" t="s">
        <v>4731</v>
      </c>
      <c r="D1032" s="65">
        <v>2894</v>
      </c>
      <c r="E1032" s="65">
        <v>353</v>
      </c>
    </row>
    <row r="1033" spans="1:5">
      <c r="A1033" s="65">
        <v>137592</v>
      </c>
      <c r="B1033" s="66" t="s">
        <v>4117</v>
      </c>
      <c r="C1033" s="66" t="s">
        <v>4732</v>
      </c>
      <c r="D1033" s="65">
        <v>6</v>
      </c>
      <c r="E1033" s="65">
        <v>1</v>
      </c>
    </row>
    <row r="1034" spans="1:5">
      <c r="A1034" s="65">
        <v>137611</v>
      </c>
      <c r="B1034" s="66" t="s">
        <v>3786</v>
      </c>
      <c r="C1034" s="66" t="s">
        <v>4733</v>
      </c>
      <c r="D1034" s="65">
        <v>66</v>
      </c>
      <c r="E1034" s="65">
        <v>5</v>
      </c>
    </row>
    <row r="1035" spans="1:5">
      <c r="A1035" s="65">
        <v>137612</v>
      </c>
      <c r="B1035" s="66" t="s">
        <v>3786</v>
      </c>
      <c r="C1035" s="66" t="s">
        <v>4734</v>
      </c>
      <c r="D1035" s="65">
        <v>125</v>
      </c>
      <c r="E1035" s="65">
        <v>7</v>
      </c>
    </row>
    <row r="1036" spans="1:5">
      <c r="A1036" s="65">
        <v>137613</v>
      </c>
      <c r="B1036" s="66" t="s">
        <v>3786</v>
      </c>
      <c r="C1036" s="66" t="s">
        <v>4735</v>
      </c>
      <c r="D1036" s="65">
        <v>80</v>
      </c>
      <c r="E1036" s="65">
        <v>7</v>
      </c>
    </row>
    <row r="1037" spans="1:5">
      <c r="A1037" s="65">
        <v>137616</v>
      </c>
      <c r="B1037" s="66" t="s">
        <v>4140</v>
      </c>
      <c r="C1037" s="66" t="s">
        <v>4736</v>
      </c>
      <c r="D1037" s="65">
        <v>400</v>
      </c>
      <c r="E1037" s="65">
        <v>12</v>
      </c>
    </row>
    <row r="1038" spans="1:5">
      <c r="A1038" s="65">
        <v>137618</v>
      </c>
      <c r="B1038" s="66" t="s">
        <v>3612</v>
      </c>
      <c r="C1038" s="66" t="s">
        <v>4737</v>
      </c>
      <c r="D1038" s="65">
        <v>34</v>
      </c>
      <c r="E1038" s="65">
        <v>6</v>
      </c>
    </row>
    <row r="1039" spans="1:5">
      <c r="A1039" s="65">
        <v>137636</v>
      </c>
      <c r="B1039" s="66" t="s">
        <v>3614</v>
      </c>
      <c r="C1039" s="66" t="s">
        <v>4738</v>
      </c>
      <c r="D1039" s="65">
        <v>14</v>
      </c>
      <c r="E1039" s="65">
        <v>14</v>
      </c>
    </row>
    <row r="1040" spans="1:5">
      <c r="A1040" s="65">
        <v>137661</v>
      </c>
      <c r="B1040" s="66" t="s">
        <v>4253</v>
      </c>
      <c r="C1040" s="66" t="s">
        <v>4739</v>
      </c>
      <c r="D1040" s="65">
        <v>8</v>
      </c>
      <c r="E1040" s="65">
        <v>3</v>
      </c>
    </row>
    <row r="1041" spans="1:5">
      <c r="A1041" s="65">
        <v>137662</v>
      </c>
      <c r="B1041" s="66" t="s">
        <v>3597</v>
      </c>
      <c r="C1041" s="66" t="s">
        <v>4740</v>
      </c>
      <c r="D1041" s="65">
        <v>30</v>
      </c>
      <c r="E1041" s="65">
        <v>2</v>
      </c>
    </row>
    <row r="1042" spans="1:5">
      <c r="A1042" s="65">
        <v>13769</v>
      </c>
      <c r="B1042" s="66" t="s">
        <v>3643</v>
      </c>
      <c r="C1042" s="66" t="s">
        <v>4741</v>
      </c>
      <c r="D1042" s="65">
        <v>28</v>
      </c>
      <c r="E1042" s="65">
        <v>2</v>
      </c>
    </row>
    <row r="1043" spans="1:5">
      <c r="A1043" s="65">
        <v>137712</v>
      </c>
      <c r="B1043" s="66" t="s">
        <v>3593</v>
      </c>
      <c r="C1043" s="66" t="s">
        <v>4742</v>
      </c>
      <c r="D1043" s="65">
        <v>754</v>
      </c>
      <c r="E1043" s="65">
        <v>8</v>
      </c>
    </row>
    <row r="1044" spans="1:5">
      <c r="A1044" s="65">
        <v>137719</v>
      </c>
      <c r="B1044" s="66" t="s">
        <v>3649</v>
      </c>
      <c r="C1044" s="66" t="s">
        <v>4743</v>
      </c>
      <c r="D1044" s="65">
        <v>1508</v>
      </c>
      <c r="E1044" s="65">
        <v>97</v>
      </c>
    </row>
    <row r="1045" spans="1:5">
      <c r="A1045" s="65">
        <v>137724</v>
      </c>
      <c r="B1045" s="66" t="s">
        <v>3646</v>
      </c>
      <c r="C1045" s="66" t="s">
        <v>4744</v>
      </c>
      <c r="D1045" s="65">
        <v>3</v>
      </c>
      <c r="E1045" s="65">
        <v>1</v>
      </c>
    </row>
    <row r="1046" spans="1:5">
      <c r="A1046" s="65">
        <v>137858</v>
      </c>
      <c r="B1046" s="66" t="s">
        <v>3646</v>
      </c>
      <c r="C1046" s="66" t="s">
        <v>4745</v>
      </c>
      <c r="D1046" s="65">
        <v>90</v>
      </c>
      <c r="E1046" s="65">
        <v>4</v>
      </c>
    </row>
    <row r="1047" spans="1:5">
      <c r="A1047" s="65">
        <v>137869</v>
      </c>
      <c r="B1047" s="66" t="s">
        <v>4197</v>
      </c>
      <c r="C1047" s="66" t="s">
        <v>4746</v>
      </c>
      <c r="D1047" s="65">
        <v>144</v>
      </c>
      <c r="E1047" s="65">
        <v>13</v>
      </c>
    </row>
    <row r="1048" spans="1:5">
      <c r="A1048" s="65">
        <v>137870</v>
      </c>
      <c r="B1048" s="66" t="s">
        <v>4197</v>
      </c>
      <c r="C1048" s="66" t="s">
        <v>4747</v>
      </c>
      <c r="D1048" s="65">
        <v>94</v>
      </c>
      <c r="E1048" s="65">
        <v>19</v>
      </c>
    </row>
    <row r="1049" spans="1:5">
      <c r="A1049" s="65">
        <v>137883</v>
      </c>
      <c r="B1049" s="66" t="s">
        <v>3643</v>
      </c>
      <c r="C1049" s="66" t="s">
        <v>4748</v>
      </c>
      <c r="D1049" s="65">
        <v>4</v>
      </c>
      <c r="E1049" s="65">
        <v>4</v>
      </c>
    </row>
    <row r="1050" spans="1:5">
      <c r="A1050" s="65">
        <v>137889</v>
      </c>
      <c r="B1050" s="66" t="s">
        <v>3627</v>
      </c>
      <c r="C1050" s="66" t="s">
        <v>4749</v>
      </c>
      <c r="D1050" s="65">
        <v>1425</v>
      </c>
      <c r="E1050" s="65">
        <v>14</v>
      </c>
    </row>
    <row r="1051" spans="1:5">
      <c r="A1051" s="65">
        <v>137908</v>
      </c>
      <c r="B1051" s="66" t="s">
        <v>4304</v>
      </c>
      <c r="C1051" s="66" t="s">
        <v>4750</v>
      </c>
      <c r="D1051" s="65">
        <v>1</v>
      </c>
      <c r="E1051" s="65">
        <v>1</v>
      </c>
    </row>
    <row r="1052" spans="1:5">
      <c r="A1052" s="65">
        <v>137969</v>
      </c>
      <c r="B1052" s="66" t="s">
        <v>3649</v>
      </c>
      <c r="C1052" s="66" t="s">
        <v>4751</v>
      </c>
      <c r="D1052" s="65">
        <v>29</v>
      </c>
      <c r="E1052" s="65">
        <v>12</v>
      </c>
    </row>
    <row r="1053" spans="1:5">
      <c r="A1053" s="65">
        <v>137970</v>
      </c>
      <c r="B1053" s="66" t="s">
        <v>3593</v>
      </c>
      <c r="C1053" s="66" t="s">
        <v>4752</v>
      </c>
      <c r="D1053" s="65">
        <v>1464</v>
      </c>
      <c r="E1053" s="65">
        <v>254</v>
      </c>
    </row>
    <row r="1054" spans="1:5">
      <c r="A1054" s="65">
        <v>13801</v>
      </c>
      <c r="B1054" s="66" t="s">
        <v>3627</v>
      </c>
      <c r="C1054" s="66" t="s">
        <v>4753</v>
      </c>
      <c r="D1054" s="65">
        <v>29</v>
      </c>
      <c r="E1054" s="65">
        <v>7</v>
      </c>
    </row>
    <row r="1055" spans="1:5">
      <c r="A1055" s="65">
        <v>1381</v>
      </c>
      <c r="B1055" s="66" t="s">
        <v>3783</v>
      </c>
      <c r="C1055" s="66" t="s">
        <v>4754</v>
      </c>
      <c r="D1055" s="65">
        <v>70</v>
      </c>
      <c r="E1055" s="65">
        <v>29</v>
      </c>
    </row>
    <row r="1056" spans="1:5">
      <c r="A1056" s="65">
        <v>13828</v>
      </c>
      <c r="B1056" s="66" t="s">
        <v>3606</v>
      </c>
      <c r="C1056" s="66" t="s">
        <v>4755</v>
      </c>
      <c r="D1056" s="65">
        <v>145</v>
      </c>
      <c r="E1056" s="65">
        <v>7</v>
      </c>
    </row>
    <row r="1057" spans="1:5">
      <c r="A1057" s="65">
        <v>138285</v>
      </c>
      <c r="B1057" s="66" t="s">
        <v>3599</v>
      </c>
      <c r="C1057" s="66" t="s">
        <v>4756</v>
      </c>
      <c r="D1057" s="65">
        <v>34</v>
      </c>
      <c r="E1057" s="65">
        <v>16</v>
      </c>
    </row>
    <row r="1058" spans="1:5">
      <c r="A1058" s="65">
        <v>138289</v>
      </c>
      <c r="B1058" s="66" t="s">
        <v>3894</v>
      </c>
      <c r="C1058" s="66" t="s">
        <v>4757</v>
      </c>
      <c r="D1058" s="65">
        <v>42</v>
      </c>
      <c r="E1058" s="65">
        <v>4</v>
      </c>
    </row>
    <row r="1059" spans="1:5">
      <c r="A1059" s="65">
        <v>138353</v>
      </c>
      <c r="B1059" s="66" t="s">
        <v>4502</v>
      </c>
      <c r="C1059" s="66" t="s">
        <v>4758</v>
      </c>
      <c r="D1059" s="65">
        <v>10</v>
      </c>
      <c r="E1059" s="65">
        <v>1</v>
      </c>
    </row>
    <row r="1060" spans="1:5">
      <c r="A1060" s="65">
        <v>138364</v>
      </c>
      <c r="B1060" s="66" t="s">
        <v>3597</v>
      </c>
      <c r="C1060" s="66" t="s">
        <v>4759</v>
      </c>
      <c r="D1060" s="65">
        <v>435</v>
      </c>
      <c r="E1060" s="65">
        <v>8</v>
      </c>
    </row>
    <row r="1061" spans="1:5">
      <c r="A1061" s="65">
        <v>138368</v>
      </c>
      <c r="B1061" s="66" t="s">
        <v>3649</v>
      </c>
      <c r="C1061" s="66" t="s">
        <v>4760</v>
      </c>
      <c r="D1061" s="65">
        <v>153</v>
      </c>
      <c r="E1061" s="65">
        <v>32</v>
      </c>
    </row>
    <row r="1062" spans="1:5">
      <c r="A1062" s="65">
        <v>138403</v>
      </c>
      <c r="B1062" s="66" t="s">
        <v>3597</v>
      </c>
      <c r="C1062" s="66" t="s">
        <v>3849</v>
      </c>
      <c r="D1062" s="65">
        <v>190</v>
      </c>
      <c r="E1062" s="65">
        <v>86</v>
      </c>
    </row>
    <row r="1063" spans="1:5">
      <c r="A1063" s="65">
        <v>138404</v>
      </c>
      <c r="B1063" s="66" t="s">
        <v>3709</v>
      </c>
      <c r="C1063" s="66" t="s">
        <v>4761</v>
      </c>
      <c r="D1063" s="65">
        <v>5</v>
      </c>
      <c r="E1063" s="65">
        <v>2</v>
      </c>
    </row>
    <row r="1064" spans="1:5">
      <c r="A1064" s="65">
        <v>138405</v>
      </c>
      <c r="B1064" s="66" t="s">
        <v>3616</v>
      </c>
      <c r="C1064" s="66" t="s">
        <v>4762</v>
      </c>
      <c r="D1064" s="65">
        <v>3053</v>
      </c>
      <c r="E1064" s="65">
        <v>294</v>
      </c>
    </row>
    <row r="1065" spans="1:5">
      <c r="A1065" s="65">
        <v>138407</v>
      </c>
      <c r="B1065" s="66" t="s">
        <v>3599</v>
      </c>
      <c r="C1065" s="66" t="s">
        <v>4763</v>
      </c>
      <c r="D1065" s="65">
        <v>87</v>
      </c>
      <c r="E1065" s="65">
        <v>8</v>
      </c>
    </row>
    <row r="1066" spans="1:5">
      <c r="A1066" s="65">
        <v>138410</v>
      </c>
      <c r="B1066" s="66" t="s">
        <v>3779</v>
      </c>
      <c r="C1066" s="66" t="s">
        <v>4764</v>
      </c>
      <c r="D1066" s="65">
        <v>3</v>
      </c>
      <c r="E1066" s="65">
        <v>1</v>
      </c>
    </row>
    <row r="1067" spans="1:5">
      <c r="A1067" s="65">
        <v>138450</v>
      </c>
      <c r="B1067" s="66" t="s">
        <v>3646</v>
      </c>
      <c r="C1067" s="66" t="s">
        <v>4765</v>
      </c>
      <c r="D1067" s="65">
        <v>100</v>
      </c>
      <c r="E1067" s="65">
        <v>1</v>
      </c>
    </row>
    <row r="1068" spans="1:5">
      <c r="A1068" s="65">
        <v>138471</v>
      </c>
      <c r="B1068" s="66" t="s">
        <v>3597</v>
      </c>
      <c r="C1068" s="66" t="s">
        <v>4766</v>
      </c>
      <c r="D1068" s="65">
        <v>479</v>
      </c>
      <c r="E1068" s="65">
        <v>93</v>
      </c>
    </row>
    <row r="1069" spans="1:5">
      <c r="A1069" s="65">
        <v>138501</v>
      </c>
      <c r="B1069" s="66" t="s">
        <v>3593</v>
      </c>
      <c r="C1069" s="66" t="s">
        <v>4154</v>
      </c>
      <c r="D1069" s="65">
        <v>30</v>
      </c>
      <c r="E1069" s="65">
        <v>1</v>
      </c>
    </row>
    <row r="1070" spans="1:5">
      <c r="A1070" s="65">
        <v>138516</v>
      </c>
      <c r="B1070" s="66" t="s">
        <v>4237</v>
      </c>
      <c r="C1070" s="66" t="s">
        <v>4767</v>
      </c>
      <c r="D1070" s="65">
        <v>8412</v>
      </c>
      <c r="E1070" s="65">
        <v>8</v>
      </c>
    </row>
    <row r="1071" spans="1:5">
      <c r="A1071" s="65">
        <v>138517</v>
      </c>
      <c r="B1071" s="66" t="s">
        <v>4768</v>
      </c>
      <c r="C1071" s="66" t="s">
        <v>4769</v>
      </c>
      <c r="D1071" s="65">
        <v>122</v>
      </c>
      <c r="E1071" s="65">
        <v>25</v>
      </c>
    </row>
    <row r="1072" spans="1:5">
      <c r="A1072" s="65">
        <v>138519</v>
      </c>
      <c r="B1072" s="66" t="s">
        <v>3599</v>
      </c>
      <c r="C1072" s="66" t="s">
        <v>4770</v>
      </c>
      <c r="D1072" s="65">
        <v>33</v>
      </c>
      <c r="E1072" s="65">
        <v>18</v>
      </c>
    </row>
    <row r="1073" spans="1:5">
      <c r="A1073" s="65">
        <v>138525</v>
      </c>
      <c r="B1073" s="66" t="s">
        <v>3625</v>
      </c>
      <c r="C1073" s="66" t="s">
        <v>4771</v>
      </c>
      <c r="D1073" s="65">
        <v>3</v>
      </c>
      <c r="E1073" s="65">
        <v>2</v>
      </c>
    </row>
    <row r="1074" spans="1:5">
      <c r="A1074" s="65">
        <v>138532</v>
      </c>
      <c r="B1074" s="66" t="s">
        <v>3641</v>
      </c>
      <c r="C1074" s="66" t="s">
        <v>4772</v>
      </c>
      <c r="D1074" s="65">
        <v>10</v>
      </c>
      <c r="E1074" s="65">
        <v>7</v>
      </c>
    </row>
    <row r="1075" spans="1:5">
      <c r="A1075" s="65">
        <v>138533</v>
      </c>
      <c r="B1075" s="66" t="s">
        <v>3973</v>
      </c>
      <c r="C1075" s="66" t="s">
        <v>4773</v>
      </c>
      <c r="D1075" s="65">
        <v>5</v>
      </c>
      <c r="E1075" s="65">
        <v>3</v>
      </c>
    </row>
    <row r="1076" spans="1:5">
      <c r="A1076" s="65">
        <v>138537</v>
      </c>
      <c r="B1076" s="66" t="s">
        <v>4064</v>
      </c>
      <c r="C1076" s="66" t="s">
        <v>4774</v>
      </c>
      <c r="D1076" s="65">
        <v>8</v>
      </c>
      <c r="E1076" s="65">
        <v>1</v>
      </c>
    </row>
    <row r="1077" spans="1:5">
      <c r="A1077" s="65">
        <v>138553</v>
      </c>
      <c r="B1077" s="66" t="s">
        <v>3597</v>
      </c>
      <c r="C1077" s="66" t="s">
        <v>4775</v>
      </c>
      <c r="D1077" s="65">
        <v>128800</v>
      </c>
      <c r="E1077" s="65">
        <v>233</v>
      </c>
    </row>
    <row r="1078" spans="1:5">
      <c r="A1078" s="65">
        <v>138554</v>
      </c>
      <c r="B1078" s="66" t="s">
        <v>3614</v>
      </c>
      <c r="C1078" s="66" t="s">
        <v>4776</v>
      </c>
      <c r="D1078" s="65">
        <v>126</v>
      </c>
      <c r="E1078" s="65">
        <v>41</v>
      </c>
    </row>
    <row r="1079" spans="1:5">
      <c r="A1079" s="65">
        <v>138555</v>
      </c>
      <c r="B1079" s="66" t="s">
        <v>3786</v>
      </c>
      <c r="C1079" s="66" t="s">
        <v>4777</v>
      </c>
      <c r="D1079" s="65">
        <v>122</v>
      </c>
      <c r="E1079" s="65">
        <v>62</v>
      </c>
    </row>
    <row r="1080" spans="1:5">
      <c r="A1080" s="65">
        <v>138556</v>
      </c>
      <c r="B1080" s="66" t="s">
        <v>3593</v>
      </c>
      <c r="C1080" s="66" t="s">
        <v>4778</v>
      </c>
      <c r="D1080" s="65">
        <v>675</v>
      </c>
      <c r="E1080" s="65">
        <v>73</v>
      </c>
    </row>
    <row r="1081" spans="1:5">
      <c r="A1081" s="65">
        <v>138557</v>
      </c>
      <c r="B1081" s="66" t="s">
        <v>3677</v>
      </c>
      <c r="C1081" s="66" t="s">
        <v>4779</v>
      </c>
      <c r="D1081" s="65">
        <v>48</v>
      </c>
      <c r="E1081" s="65">
        <v>8</v>
      </c>
    </row>
    <row r="1082" spans="1:5">
      <c r="A1082" s="65">
        <v>138566</v>
      </c>
      <c r="B1082" s="66" t="s">
        <v>3649</v>
      </c>
      <c r="C1082" s="66" t="s">
        <v>4780</v>
      </c>
      <c r="D1082" s="65">
        <v>116</v>
      </c>
      <c r="E1082" s="65">
        <v>14</v>
      </c>
    </row>
    <row r="1083" spans="1:5">
      <c r="A1083" s="65">
        <v>138594</v>
      </c>
      <c r="B1083" s="66" t="s">
        <v>3639</v>
      </c>
      <c r="C1083" s="66" t="s">
        <v>4781</v>
      </c>
      <c r="D1083" s="65">
        <v>6</v>
      </c>
      <c r="E1083" s="65">
        <v>4</v>
      </c>
    </row>
    <row r="1084" spans="1:5">
      <c r="A1084" s="65">
        <v>13860</v>
      </c>
      <c r="B1084" s="66" t="s">
        <v>3599</v>
      </c>
      <c r="C1084" s="66" t="s">
        <v>4782</v>
      </c>
      <c r="D1084" s="65">
        <v>90</v>
      </c>
      <c r="E1084" s="65">
        <v>4</v>
      </c>
    </row>
    <row r="1085" spans="1:5">
      <c r="A1085" s="65">
        <v>138617</v>
      </c>
      <c r="B1085" s="66" t="s">
        <v>3794</v>
      </c>
      <c r="C1085" s="66" t="s">
        <v>4783</v>
      </c>
      <c r="D1085" s="65">
        <v>192</v>
      </c>
      <c r="E1085" s="65">
        <v>6</v>
      </c>
    </row>
    <row r="1086" spans="1:5">
      <c r="A1086" s="65">
        <v>138619</v>
      </c>
      <c r="B1086" s="66" t="s">
        <v>3689</v>
      </c>
      <c r="C1086" s="66" t="s">
        <v>4784</v>
      </c>
      <c r="D1086" s="65">
        <v>8</v>
      </c>
      <c r="E1086" s="65">
        <v>1</v>
      </c>
    </row>
    <row r="1087" spans="1:5">
      <c r="A1087" s="65">
        <v>138661</v>
      </c>
      <c r="B1087" s="66" t="s">
        <v>3593</v>
      </c>
      <c r="C1087" s="66" t="s">
        <v>4785</v>
      </c>
      <c r="D1087" s="65">
        <v>400</v>
      </c>
      <c r="E1087" s="65">
        <v>8</v>
      </c>
    </row>
    <row r="1088" spans="1:5">
      <c r="A1088" s="65">
        <v>138662</v>
      </c>
      <c r="B1088" s="66" t="s">
        <v>3894</v>
      </c>
      <c r="C1088" s="66" t="s">
        <v>4786</v>
      </c>
      <c r="D1088" s="65">
        <v>1</v>
      </c>
      <c r="E1088" s="65">
        <v>1</v>
      </c>
    </row>
    <row r="1089" spans="1:5">
      <c r="A1089" s="65">
        <v>138667</v>
      </c>
      <c r="B1089" s="66" t="s">
        <v>4191</v>
      </c>
      <c r="C1089" s="66" t="s">
        <v>4787</v>
      </c>
      <c r="D1089" s="65">
        <v>3800</v>
      </c>
      <c r="E1089" s="65">
        <v>12</v>
      </c>
    </row>
    <row r="1090" spans="1:5">
      <c r="A1090" s="65">
        <v>138668</v>
      </c>
      <c r="B1090" s="66" t="s">
        <v>3601</v>
      </c>
      <c r="C1090" s="66" t="s">
        <v>4788</v>
      </c>
      <c r="D1090" s="65">
        <v>30</v>
      </c>
      <c r="E1090" s="65">
        <v>14</v>
      </c>
    </row>
    <row r="1091" spans="1:5">
      <c r="A1091" s="65">
        <v>13871</v>
      </c>
      <c r="B1091" s="66" t="s">
        <v>3649</v>
      </c>
      <c r="C1091" s="66" t="s">
        <v>4789</v>
      </c>
      <c r="D1091" s="65">
        <v>2</v>
      </c>
      <c r="E1091" s="65">
        <v>2</v>
      </c>
    </row>
    <row r="1092" spans="1:5">
      <c r="A1092" s="65">
        <v>138744</v>
      </c>
      <c r="B1092" s="66" t="s">
        <v>3612</v>
      </c>
      <c r="C1092" s="66" t="s">
        <v>4790</v>
      </c>
      <c r="D1092" s="65">
        <v>120</v>
      </c>
      <c r="E1092" s="65">
        <v>3</v>
      </c>
    </row>
    <row r="1093" spans="1:5">
      <c r="A1093" s="65">
        <v>138757</v>
      </c>
      <c r="B1093" s="66" t="s">
        <v>4791</v>
      </c>
      <c r="C1093" s="66" t="s">
        <v>4792</v>
      </c>
      <c r="D1093" s="65">
        <v>4</v>
      </c>
      <c r="E1093" s="65">
        <v>1</v>
      </c>
    </row>
    <row r="1094" spans="1:5">
      <c r="A1094" s="65">
        <v>138759</v>
      </c>
      <c r="B1094" s="66" t="s">
        <v>3593</v>
      </c>
      <c r="C1094" s="66" t="s">
        <v>4793</v>
      </c>
      <c r="D1094" s="65">
        <v>56</v>
      </c>
      <c r="E1094" s="65">
        <v>38</v>
      </c>
    </row>
    <row r="1095" spans="1:5">
      <c r="A1095" s="65">
        <v>13877</v>
      </c>
      <c r="B1095" s="66" t="s">
        <v>3599</v>
      </c>
      <c r="C1095" s="66" t="s">
        <v>4794</v>
      </c>
      <c r="D1095" s="65">
        <v>20</v>
      </c>
      <c r="E1095" s="65">
        <v>2</v>
      </c>
    </row>
    <row r="1096" spans="1:5">
      <c r="A1096" s="65">
        <v>138800</v>
      </c>
      <c r="B1096" s="66" t="s">
        <v>3894</v>
      </c>
      <c r="C1096" s="66" t="s">
        <v>4795</v>
      </c>
      <c r="D1096" s="65">
        <v>1</v>
      </c>
      <c r="E1096" s="65">
        <v>1</v>
      </c>
    </row>
    <row r="1097" spans="1:5">
      <c r="A1097" s="65">
        <v>138804</v>
      </c>
      <c r="B1097" s="66" t="s">
        <v>3593</v>
      </c>
      <c r="C1097" s="66" t="s">
        <v>4796</v>
      </c>
      <c r="D1097" s="65">
        <v>150</v>
      </c>
      <c r="E1097" s="65">
        <v>3</v>
      </c>
    </row>
    <row r="1098" spans="1:5">
      <c r="A1098" s="65">
        <v>138808</v>
      </c>
      <c r="B1098" s="66" t="s">
        <v>3894</v>
      </c>
      <c r="C1098" s="66" t="s">
        <v>4797</v>
      </c>
      <c r="D1098" s="65">
        <v>1</v>
      </c>
      <c r="E1098" s="65">
        <v>1</v>
      </c>
    </row>
    <row r="1099" spans="1:5">
      <c r="A1099" s="65">
        <v>138809</v>
      </c>
      <c r="B1099" s="66" t="s">
        <v>4580</v>
      </c>
      <c r="C1099" s="66" t="s">
        <v>4798</v>
      </c>
      <c r="D1099" s="65">
        <v>291</v>
      </c>
      <c r="E1099" s="65">
        <v>8</v>
      </c>
    </row>
    <row r="1100" spans="1:5">
      <c r="A1100" s="65">
        <v>138810</v>
      </c>
      <c r="B1100" s="66" t="s">
        <v>3742</v>
      </c>
      <c r="C1100" s="66" t="s">
        <v>4799</v>
      </c>
      <c r="D1100" s="65">
        <v>296</v>
      </c>
      <c r="E1100" s="65">
        <v>8</v>
      </c>
    </row>
    <row r="1101" spans="1:5">
      <c r="A1101" s="65">
        <v>138811</v>
      </c>
      <c r="B1101" s="66" t="s">
        <v>4580</v>
      </c>
      <c r="C1101" s="66" t="s">
        <v>4800</v>
      </c>
      <c r="D1101" s="65">
        <v>50</v>
      </c>
      <c r="E1101" s="65">
        <v>1</v>
      </c>
    </row>
    <row r="1102" spans="1:5">
      <c r="A1102" s="65">
        <v>138812</v>
      </c>
      <c r="B1102" s="66" t="s">
        <v>4580</v>
      </c>
      <c r="C1102" s="66" t="s">
        <v>4801</v>
      </c>
      <c r="D1102" s="65">
        <v>51</v>
      </c>
      <c r="E1102" s="65">
        <v>2</v>
      </c>
    </row>
    <row r="1103" spans="1:5">
      <c r="A1103" s="65">
        <v>138814</v>
      </c>
      <c r="B1103" s="66" t="s">
        <v>4580</v>
      </c>
      <c r="C1103" s="66" t="s">
        <v>4802</v>
      </c>
      <c r="D1103" s="65">
        <v>51</v>
      </c>
      <c r="E1103" s="65">
        <v>2</v>
      </c>
    </row>
    <row r="1104" spans="1:5">
      <c r="A1104" s="65">
        <v>138815</v>
      </c>
      <c r="B1104" s="66" t="s">
        <v>4580</v>
      </c>
      <c r="C1104" s="66" t="s">
        <v>4803</v>
      </c>
      <c r="D1104" s="65">
        <v>51</v>
      </c>
      <c r="E1104" s="65">
        <v>2</v>
      </c>
    </row>
    <row r="1105" spans="1:5">
      <c r="A1105" s="65">
        <v>138817</v>
      </c>
      <c r="B1105" s="66" t="s">
        <v>3894</v>
      </c>
      <c r="C1105" s="66" t="s">
        <v>4804</v>
      </c>
      <c r="D1105" s="65">
        <v>1</v>
      </c>
      <c r="E1105" s="65">
        <v>1</v>
      </c>
    </row>
    <row r="1106" spans="1:5">
      <c r="A1106" s="65">
        <v>138819</v>
      </c>
      <c r="B1106" s="66" t="s">
        <v>3593</v>
      </c>
      <c r="C1106" s="66" t="s">
        <v>4805</v>
      </c>
      <c r="D1106" s="65">
        <v>5</v>
      </c>
      <c r="E1106" s="65">
        <v>1</v>
      </c>
    </row>
    <row r="1107" spans="1:5">
      <c r="A1107" s="65">
        <v>138843</v>
      </c>
      <c r="B1107" s="66" t="s">
        <v>3646</v>
      </c>
      <c r="C1107" s="66" t="s">
        <v>4806</v>
      </c>
      <c r="D1107" s="65">
        <v>16</v>
      </c>
      <c r="E1107" s="65">
        <v>3</v>
      </c>
    </row>
    <row r="1108" spans="1:5">
      <c r="A1108" s="65">
        <v>138844</v>
      </c>
      <c r="B1108" s="66" t="s">
        <v>3593</v>
      </c>
      <c r="C1108" s="66" t="s">
        <v>4807</v>
      </c>
      <c r="D1108" s="65">
        <v>49</v>
      </c>
      <c r="E1108" s="65">
        <v>8</v>
      </c>
    </row>
    <row r="1109" spans="1:5">
      <c r="A1109" s="65">
        <v>138845</v>
      </c>
      <c r="B1109" s="66" t="s">
        <v>3593</v>
      </c>
      <c r="C1109" s="66" t="s">
        <v>4808</v>
      </c>
      <c r="D1109" s="65">
        <v>60</v>
      </c>
      <c r="E1109" s="65">
        <v>9</v>
      </c>
    </row>
    <row r="1110" spans="1:5">
      <c r="A1110" s="65">
        <v>138846</v>
      </c>
      <c r="B1110" s="66" t="s">
        <v>4117</v>
      </c>
      <c r="C1110" s="66" t="s">
        <v>4809</v>
      </c>
      <c r="D1110" s="65">
        <v>22</v>
      </c>
      <c r="E1110" s="65">
        <v>3</v>
      </c>
    </row>
    <row r="1111" spans="1:5">
      <c r="A1111" s="65">
        <v>138847</v>
      </c>
      <c r="B1111" s="66" t="s">
        <v>3593</v>
      </c>
      <c r="C1111" s="66" t="s">
        <v>4810</v>
      </c>
      <c r="D1111" s="65">
        <v>10</v>
      </c>
      <c r="E1111" s="65">
        <v>1</v>
      </c>
    </row>
    <row r="1112" spans="1:5">
      <c r="A1112" s="65">
        <v>138853</v>
      </c>
      <c r="B1112" s="66" t="s">
        <v>4811</v>
      </c>
      <c r="C1112" s="66" t="s">
        <v>4812</v>
      </c>
      <c r="D1112" s="65">
        <v>5</v>
      </c>
      <c r="E1112" s="65">
        <v>1</v>
      </c>
    </row>
    <row r="1113" spans="1:5">
      <c r="A1113" s="65">
        <v>138854</v>
      </c>
      <c r="B1113" s="66" t="s">
        <v>4455</v>
      </c>
      <c r="C1113" s="66" t="s">
        <v>4813</v>
      </c>
      <c r="D1113" s="65">
        <v>5</v>
      </c>
      <c r="E1113" s="65">
        <v>1</v>
      </c>
    </row>
    <row r="1114" spans="1:5">
      <c r="A1114" s="65">
        <v>13889</v>
      </c>
      <c r="B1114" s="66" t="s">
        <v>3593</v>
      </c>
      <c r="C1114" s="66" t="s">
        <v>4814</v>
      </c>
      <c r="D1114" s="65">
        <v>30</v>
      </c>
      <c r="E1114" s="65">
        <v>4</v>
      </c>
    </row>
    <row r="1115" spans="1:5">
      <c r="A1115" s="65">
        <v>138919</v>
      </c>
      <c r="B1115" s="66" t="s">
        <v>3601</v>
      </c>
      <c r="C1115" s="66" t="s">
        <v>4815</v>
      </c>
      <c r="D1115" s="65">
        <v>419</v>
      </c>
      <c r="E1115" s="65">
        <v>34</v>
      </c>
    </row>
    <row r="1116" spans="1:5">
      <c r="A1116" s="65">
        <v>13892</v>
      </c>
      <c r="B1116" s="66" t="s">
        <v>3599</v>
      </c>
      <c r="C1116" s="66" t="s">
        <v>4816</v>
      </c>
      <c r="D1116" s="65">
        <v>28</v>
      </c>
      <c r="E1116" s="65">
        <v>10</v>
      </c>
    </row>
    <row r="1117" spans="1:5">
      <c r="A1117" s="65">
        <v>138921</v>
      </c>
      <c r="B1117" s="66" t="s">
        <v>4175</v>
      </c>
      <c r="C1117" s="66" t="s">
        <v>4817</v>
      </c>
      <c r="D1117" s="65">
        <v>240</v>
      </c>
      <c r="E1117" s="65">
        <v>5</v>
      </c>
    </row>
    <row r="1118" spans="1:5">
      <c r="A1118" s="65">
        <v>138922</v>
      </c>
      <c r="B1118" s="66" t="s">
        <v>3616</v>
      </c>
      <c r="C1118" s="66" t="s">
        <v>4818</v>
      </c>
      <c r="D1118" s="65">
        <v>13452</v>
      </c>
      <c r="E1118" s="65">
        <v>569</v>
      </c>
    </row>
    <row r="1119" spans="1:5">
      <c r="A1119" s="65">
        <v>138930</v>
      </c>
      <c r="B1119" s="66" t="s">
        <v>4819</v>
      </c>
      <c r="C1119" s="66" t="s">
        <v>4820</v>
      </c>
      <c r="D1119" s="65">
        <v>13</v>
      </c>
      <c r="E1119" s="65">
        <v>4</v>
      </c>
    </row>
    <row r="1120" spans="1:5">
      <c r="A1120" s="65">
        <v>138934</v>
      </c>
      <c r="B1120" s="66" t="s">
        <v>3731</v>
      </c>
      <c r="C1120" s="66" t="s">
        <v>4821</v>
      </c>
      <c r="D1120" s="65">
        <v>176</v>
      </c>
      <c r="E1120" s="65">
        <v>14</v>
      </c>
    </row>
    <row r="1121" spans="1:5">
      <c r="A1121" s="65">
        <v>138937</v>
      </c>
      <c r="B1121" s="66" t="s">
        <v>4822</v>
      </c>
      <c r="C1121" s="66" t="s">
        <v>4823</v>
      </c>
      <c r="D1121" s="65">
        <v>200</v>
      </c>
      <c r="E1121" s="65">
        <v>2</v>
      </c>
    </row>
    <row r="1122" spans="1:5">
      <c r="A1122" s="65">
        <v>138945</v>
      </c>
      <c r="B1122" s="66" t="s">
        <v>3660</v>
      </c>
      <c r="C1122" s="66" t="s">
        <v>4824</v>
      </c>
      <c r="D1122" s="65">
        <v>173</v>
      </c>
      <c r="E1122" s="65">
        <v>28</v>
      </c>
    </row>
    <row r="1123" spans="1:5">
      <c r="A1123" s="65">
        <v>138946</v>
      </c>
      <c r="B1123" s="66" t="s">
        <v>3616</v>
      </c>
      <c r="C1123" s="66" t="s">
        <v>4825</v>
      </c>
      <c r="D1123" s="65">
        <v>2</v>
      </c>
      <c r="E1123" s="65">
        <v>1</v>
      </c>
    </row>
    <row r="1124" spans="1:5">
      <c r="A1124" s="65">
        <v>138950</v>
      </c>
      <c r="B1124" s="66" t="s">
        <v>3597</v>
      </c>
      <c r="C1124" s="66" t="s">
        <v>4826</v>
      </c>
      <c r="D1124" s="65">
        <v>53</v>
      </c>
      <c r="E1124" s="65">
        <v>5</v>
      </c>
    </row>
    <row r="1125" spans="1:5">
      <c r="A1125" s="65">
        <v>138951</v>
      </c>
      <c r="B1125" s="66" t="s">
        <v>3593</v>
      </c>
      <c r="C1125" s="66" t="s">
        <v>4827</v>
      </c>
      <c r="D1125" s="65">
        <v>12</v>
      </c>
      <c r="E1125" s="65">
        <v>1</v>
      </c>
    </row>
    <row r="1126" spans="1:5">
      <c r="A1126" s="65">
        <v>138952</v>
      </c>
      <c r="B1126" s="66" t="s">
        <v>3597</v>
      </c>
      <c r="C1126" s="66" t="s">
        <v>4828</v>
      </c>
      <c r="D1126" s="65">
        <v>16</v>
      </c>
      <c r="E1126" s="65">
        <v>2</v>
      </c>
    </row>
    <row r="1127" spans="1:5">
      <c r="A1127" s="65">
        <v>138954</v>
      </c>
      <c r="B1127" s="66" t="s">
        <v>3597</v>
      </c>
      <c r="C1127" s="66" t="s">
        <v>4829</v>
      </c>
      <c r="D1127" s="65">
        <v>17</v>
      </c>
      <c r="E1127" s="65">
        <v>5</v>
      </c>
    </row>
    <row r="1128" spans="1:5">
      <c r="A1128" s="65">
        <v>138956</v>
      </c>
      <c r="B1128" s="66" t="s">
        <v>3843</v>
      </c>
      <c r="C1128" s="66" t="s">
        <v>4830</v>
      </c>
      <c r="D1128" s="65">
        <v>3</v>
      </c>
      <c r="E1128" s="65">
        <v>1</v>
      </c>
    </row>
    <row r="1129" spans="1:5">
      <c r="A1129" s="65">
        <v>138957</v>
      </c>
      <c r="B1129" s="66" t="s">
        <v>3599</v>
      </c>
      <c r="C1129" s="66" t="s">
        <v>4831</v>
      </c>
      <c r="D1129" s="65">
        <v>9</v>
      </c>
      <c r="E1129" s="65">
        <v>8</v>
      </c>
    </row>
    <row r="1130" spans="1:5">
      <c r="A1130" s="65">
        <v>138958</v>
      </c>
      <c r="B1130" s="66" t="s">
        <v>3614</v>
      </c>
      <c r="C1130" s="66" t="s">
        <v>4832</v>
      </c>
      <c r="D1130" s="65">
        <v>10</v>
      </c>
      <c r="E1130" s="65">
        <v>5</v>
      </c>
    </row>
    <row r="1131" spans="1:5">
      <c r="A1131" s="65">
        <v>138959</v>
      </c>
      <c r="B1131" s="66" t="s">
        <v>3599</v>
      </c>
      <c r="C1131" s="66" t="s">
        <v>4015</v>
      </c>
      <c r="D1131" s="65">
        <v>3</v>
      </c>
      <c r="E1131" s="65">
        <v>3</v>
      </c>
    </row>
    <row r="1132" spans="1:5">
      <c r="A1132" s="65">
        <v>13898</v>
      </c>
      <c r="B1132" s="66" t="s">
        <v>3593</v>
      </c>
      <c r="C1132" s="66" t="s">
        <v>4833</v>
      </c>
      <c r="D1132" s="65">
        <v>94</v>
      </c>
      <c r="E1132" s="65">
        <v>9</v>
      </c>
    </row>
    <row r="1133" spans="1:5">
      <c r="A1133" s="65">
        <v>139029</v>
      </c>
      <c r="B1133" s="66" t="s">
        <v>3804</v>
      </c>
      <c r="C1133" s="66" t="s">
        <v>4834</v>
      </c>
      <c r="D1133" s="65">
        <v>60</v>
      </c>
      <c r="E1133" s="65">
        <v>3</v>
      </c>
    </row>
    <row r="1134" spans="1:5">
      <c r="A1134" s="65">
        <v>139049</v>
      </c>
      <c r="B1134" s="66" t="s">
        <v>3731</v>
      </c>
      <c r="C1134" s="66" t="s">
        <v>4835</v>
      </c>
      <c r="D1134" s="65">
        <v>15</v>
      </c>
      <c r="E1134" s="65">
        <v>5</v>
      </c>
    </row>
    <row r="1135" spans="1:5">
      <c r="A1135" s="65">
        <v>139050</v>
      </c>
      <c r="B1135" s="66" t="s">
        <v>3731</v>
      </c>
      <c r="C1135" s="66" t="s">
        <v>4836</v>
      </c>
      <c r="D1135" s="65">
        <v>126</v>
      </c>
      <c r="E1135" s="65">
        <v>7</v>
      </c>
    </row>
    <row r="1136" spans="1:5">
      <c r="A1136" s="65">
        <v>139073</v>
      </c>
      <c r="B1136" s="66" t="s">
        <v>3599</v>
      </c>
      <c r="C1136" s="66" t="s">
        <v>4837</v>
      </c>
      <c r="D1136" s="65">
        <v>1059</v>
      </c>
      <c r="E1136" s="65">
        <v>26</v>
      </c>
    </row>
    <row r="1137" spans="1:5">
      <c r="A1137" s="65">
        <v>139074</v>
      </c>
      <c r="B1137" s="66" t="s">
        <v>3599</v>
      </c>
      <c r="C1137" s="66" t="s">
        <v>4838</v>
      </c>
      <c r="D1137" s="65">
        <v>732</v>
      </c>
      <c r="E1137" s="65">
        <v>19</v>
      </c>
    </row>
    <row r="1138" spans="1:5">
      <c r="A1138" s="65">
        <v>139098</v>
      </c>
      <c r="B1138" s="66" t="s">
        <v>3593</v>
      </c>
      <c r="C1138" s="66" t="s">
        <v>4839</v>
      </c>
      <c r="D1138" s="65">
        <v>8</v>
      </c>
      <c r="E1138" s="65">
        <v>6</v>
      </c>
    </row>
    <row r="1139" spans="1:5">
      <c r="A1139" s="65">
        <v>13912</v>
      </c>
      <c r="B1139" s="66" t="s">
        <v>3639</v>
      </c>
      <c r="C1139" s="66" t="s">
        <v>4840</v>
      </c>
      <c r="D1139" s="65">
        <v>34</v>
      </c>
      <c r="E1139" s="65">
        <v>7</v>
      </c>
    </row>
    <row r="1140" spans="1:5">
      <c r="A1140" s="65">
        <v>139158</v>
      </c>
      <c r="B1140" s="66" t="s">
        <v>3597</v>
      </c>
      <c r="C1140" s="66" t="s">
        <v>4841</v>
      </c>
      <c r="D1140" s="65">
        <v>5</v>
      </c>
      <c r="E1140" s="65">
        <v>3</v>
      </c>
    </row>
    <row r="1141" spans="1:5">
      <c r="A1141" s="65">
        <v>139159</v>
      </c>
      <c r="B1141" s="66" t="s">
        <v>3597</v>
      </c>
      <c r="C1141" s="66" t="s">
        <v>4842</v>
      </c>
      <c r="D1141" s="65">
        <v>86</v>
      </c>
      <c r="E1141" s="65">
        <v>18</v>
      </c>
    </row>
    <row r="1142" spans="1:5">
      <c r="A1142" s="65">
        <v>13916</v>
      </c>
      <c r="B1142" s="66" t="s">
        <v>3627</v>
      </c>
      <c r="C1142" s="66" t="s">
        <v>4843</v>
      </c>
      <c r="D1142" s="65">
        <v>192</v>
      </c>
      <c r="E1142" s="65">
        <v>28</v>
      </c>
    </row>
    <row r="1143" spans="1:5">
      <c r="A1143" s="65">
        <v>13919</v>
      </c>
      <c r="B1143" s="66" t="s">
        <v>3597</v>
      </c>
      <c r="C1143" s="66" t="s">
        <v>4844</v>
      </c>
      <c r="D1143" s="65">
        <v>1755</v>
      </c>
      <c r="E1143" s="65">
        <v>89</v>
      </c>
    </row>
    <row r="1144" spans="1:5">
      <c r="A1144" s="65">
        <v>139198</v>
      </c>
      <c r="B1144" s="66" t="s">
        <v>3646</v>
      </c>
      <c r="C1144" s="66" t="s">
        <v>4845</v>
      </c>
      <c r="D1144" s="65">
        <v>100</v>
      </c>
      <c r="E1144" s="65">
        <v>1</v>
      </c>
    </row>
    <row r="1145" spans="1:5">
      <c r="A1145" s="65">
        <v>139259</v>
      </c>
      <c r="B1145" s="66" t="s">
        <v>3593</v>
      </c>
      <c r="C1145" s="66" t="s">
        <v>4846</v>
      </c>
      <c r="D1145" s="65">
        <v>1879</v>
      </c>
      <c r="E1145" s="65">
        <v>328</v>
      </c>
    </row>
    <row r="1146" spans="1:5">
      <c r="A1146" s="65">
        <v>1394</v>
      </c>
      <c r="B1146" s="66" t="s">
        <v>3616</v>
      </c>
      <c r="C1146" s="66" t="s">
        <v>4847</v>
      </c>
      <c r="D1146" s="65">
        <v>1593</v>
      </c>
      <c r="E1146" s="65">
        <v>189</v>
      </c>
    </row>
    <row r="1147" spans="1:5">
      <c r="A1147" s="65">
        <v>139408</v>
      </c>
      <c r="B1147" s="66" t="s">
        <v>3625</v>
      </c>
      <c r="C1147" s="66" t="s">
        <v>4848</v>
      </c>
      <c r="D1147" s="65">
        <v>17</v>
      </c>
      <c r="E1147" s="65">
        <v>1</v>
      </c>
    </row>
    <row r="1148" spans="1:5">
      <c r="A1148" s="65">
        <v>139411</v>
      </c>
      <c r="B1148" s="66" t="s">
        <v>3597</v>
      </c>
      <c r="C1148" s="66" t="s">
        <v>4849</v>
      </c>
      <c r="D1148" s="65">
        <v>720</v>
      </c>
      <c r="E1148" s="65">
        <v>3</v>
      </c>
    </row>
    <row r="1149" spans="1:5">
      <c r="A1149" s="65">
        <v>1395</v>
      </c>
      <c r="B1149" s="66" t="s">
        <v>3777</v>
      </c>
      <c r="C1149" s="66" t="s">
        <v>4850</v>
      </c>
      <c r="D1149" s="65">
        <v>3</v>
      </c>
      <c r="E1149" s="65">
        <v>3</v>
      </c>
    </row>
    <row r="1150" spans="1:5">
      <c r="A1150" s="65">
        <v>139557</v>
      </c>
      <c r="B1150" s="66" t="s">
        <v>3635</v>
      </c>
      <c r="C1150" s="66" t="s">
        <v>4851</v>
      </c>
      <c r="D1150" s="65">
        <v>5</v>
      </c>
      <c r="E1150" s="65">
        <v>5</v>
      </c>
    </row>
    <row r="1151" spans="1:5">
      <c r="A1151" s="65">
        <v>139578</v>
      </c>
      <c r="B1151" s="66" t="s">
        <v>3597</v>
      </c>
      <c r="C1151" s="66" t="s">
        <v>4852</v>
      </c>
      <c r="D1151" s="65">
        <v>495</v>
      </c>
      <c r="E1151" s="65">
        <v>169</v>
      </c>
    </row>
    <row r="1152" spans="1:5">
      <c r="A1152" s="65">
        <v>139612</v>
      </c>
      <c r="B1152" s="66" t="s">
        <v>3597</v>
      </c>
      <c r="C1152" s="66" t="s">
        <v>4853</v>
      </c>
      <c r="D1152" s="65">
        <v>25</v>
      </c>
      <c r="E1152" s="65">
        <v>10</v>
      </c>
    </row>
    <row r="1153" spans="1:5">
      <c r="A1153" s="65">
        <v>139613</v>
      </c>
      <c r="B1153" s="66" t="s">
        <v>3639</v>
      </c>
      <c r="C1153" s="66" t="s">
        <v>4854</v>
      </c>
      <c r="D1153" s="65">
        <v>364</v>
      </c>
      <c r="E1153" s="65">
        <v>25</v>
      </c>
    </row>
    <row r="1154" spans="1:5">
      <c r="A1154" s="65">
        <v>139649</v>
      </c>
      <c r="B1154" s="66" t="s">
        <v>3804</v>
      </c>
      <c r="C1154" s="66" t="s">
        <v>4855</v>
      </c>
      <c r="D1154" s="65">
        <v>12</v>
      </c>
      <c r="E1154" s="65">
        <v>5</v>
      </c>
    </row>
    <row r="1155" spans="1:5">
      <c r="A1155" s="65">
        <v>139657</v>
      </c>
      <c r="B1155" s="66" t="s">
        <v>3593</v>
      </c>
      <c r="C1155" s="66" t="s">
        <v>4856</v>
      </c>
      <c r="D1155" s="65">
        <v>24</v>
      </c>
      <c r="E1155" s="65">
        <v>12</v>
      </c>
    </row>
    <row r="1156" spans="1:5">
      <c r="A1156" s="65">
        <v>1397</v>
      </c>
      <c r="B1156" s="66" t="s">
        <v>3593</v>
      </c>
      <c r="C1156" s="66" t="s">
        <v>4857</v>
      </c>
      <c r="D1156" s="65">
        <v>2616</v>
      </c>
      <c r="E1156" s="65">
        <v>126</v>
      </c>
    </row>
    <row r="1157" spans="1:5">
      <c r="A1157" s="65">
        <v>139710</v>
      </c>
      <c r="B1157" s="66" t="s">
        <v>3593</v>
      </c>
      <c r="C1157" s="66" t="s">
        <v>4858</v>
      </c>
      <c r="D1157" s="65">
        <v>50</v>
      </c>
      <c r="E1157" s="65">
        <v>13</v>
      </c>
    </row>
    <row r="1158" spans="1:5">
      <c r="A1158" s="65">
        <v>139717</v>
      </c>
      <c r="B1158" s="66" t="s">
        <v>3595</v>
      </c>
      <c r="C1158" s="66" t="s">
        <v>4859</v>
      </c>
      <c r="D1158" s="65">
        <v>213</v>
      </c>
      <c r="E1158" s="65">
        <v>22</v>
      </c>
    </row>
    <row r="1159" spans="1:5">
      <c r="A1159" s="65">
        <v>139736</v>
      </c>
      <c r="B1159" s="66" t="s">
        <v>3677</v>
      </c>
      <c r="C1159" s="66" t="s">
        <v>4860</v>
      </c>
      <c r="D1159" s="65">
        <v>42</v>
      </c>
      <c r="E1159" s="65">
        <v>5</v>
      </c>
    </row>
    <row r="1160" spans="1:5">
      <c r="A1160" s="65">
        <v>139772</v>
      </c>
      <c r="B1160" s="66" t="s">
        <v>3606</v>
      </c>
      <c r="C1160" s="66" t="s">
        <v>4861</v>
      </c>
      <c r="D1160" s="65">
        <v>5</v>
      </c>
      <c r="E1160" s="65">
        <v>2</v>
      </c>
    </row>
    <row r="1161" spans="1:5">
      <c r="A1161" s="65">
        <v>139776</v>
      </c>
      <c r="B1161" s="66" t="s">
        <v>3786</v>
      </c>
      <c r="C1161" s="66" t="s">
        <v>4862</v>
      </c>
      <c r="D1161" s="65">
        <v>800</v>
      </c>
      <c r="E1161" s="65">
        <v>8</v>
      </c>
    </row>
    <row r="1162" spans="1:5">
      <c r="A1162" s="65">
        <v>139781</v>
      </c>
      <c r="B1162" s="66" t="s">
        <v>3662</v>
      </c>
      <c r="C1162" s="66" t="s">
        <v>4863</v>
      </c>
      <c r="D1162" s="65">
        <v>2</v>
      </c>
      <c r="E1162" s="65">
        <v>1</v>
      </c>
    </row>
    <row r="1163" spans="1:5">
      <c r="A1163" s="65">
        <v>1398</v>
      </c>
      <c r="B1163" s="66" t="s">
        <v>3601</v>
      </c>
      <c r="C1163" s="66" t="s">
        <v>4864</v>
      </c>
      <c r="D1163" s="65">
        <v>8544</v>
      </c>
      <c r="E1163" s="65">
        <v>93</v>
      </c>
    </row>
    <row r="1164" spans="1:5">
      <c r="A1164" s="65">
        <v>139895</v>
      </c>
      <c r="B1164" s="66" t="s">
        <v>3828</v>
      </c>
      <c r="C1164" s="66" t="s">
        <v>4865</v>
      </c>
      <c r="D1164" s="65">
        <v>3</v>
      </c>
      <c r="E1164" s="65">
        <v>1</v>
      </c>
    </row>
    <row r="1165" spans="1:5">
      <c r="A1165" s="65">
        <v>139896</v>
      </c>
      <c r="B1165" s="66" t="s">
        <v>4020</v>
      </c>
      <c r="C1165" s="66" t="s">
        <v>4866</v>
      </c>
      <c r="D1165" s="65">
        <v>120</v>
      </c>
      <c r="E1165" s="65">
        <v>3</v>
      </c>
    </row>
    <row r="1166" spans="1:5">
      <c r="A1166" s="65">
        <v>140189</v>
      </c>
      <c r="B1166" s="66" t="s">
        <v>4537</v>
      </c>
      <c r="C1166" s="66" t="s">
        <v>4867</v>
      </c>
      <c r="D1166" s="65">
        <v>238</v>
      </c>
      <c r="E1166" s="65">
        <v>16</v>
      </c>
    </row>
    <row r="1167" spans="1:5">
      <c r="A1167" s="65">
        <v>140217</v>
      </c>
      <c r="B1167" s="66" t="s">
        <v>3593</v>
      </c>
      <c r="C1167" s="66" t="s">
        <v>4868</v>
      </c>
      <c r="D1167" s="65">
        <v>20</v>
      </c>
      <c r="E1167" s="65">
        <v>1</v>
      </c>
    </row>
    <row r="1168" spans="1:5">
      <c r="A1168" s="65">
        <v>140226</v>
      </c>
      <c r="B1168" s="66" t="s">
        <v>3689</v>
      </c>
      <c r="C1168" s="66" t="s">
        <v>4869</v>
      </c>
      <c r="D1168" s="65">
        <v>6</v>
      </c>
      <c r="E1168" s="65">
        <v>4</v>
      </c>
    </row>
    <row r="1169" spans="1:5">
      <c r="A1169" s="65">
        <v>140227</v>
      </c>
      <c r="B1169" s="66" t="s">
        <v>4870</v>
      </c>
      <c r="C1169" s="66" t="s">
        <v>4871</v>
      </c>
      <c r="D1169" s="65">
        <v>2</v>
      </c>
      <c r="E1169" s="65">
        <v>1</v>
      </c>
    </row>
    <row r="1170" spans="1:5">
      <c r="A1170" s="65">
        <v>140228</v>
      </c>
      <c r="B1170" s="66" t="s">
        <v>3606</v>
      </c>
      <c r="C1170" s="66" t="s">
        <v>4872</v>
      </c>
      <c r="D1170" s="65">
        <v>29</v>
      </c>
      <c r="E1170" s="65">
        <v>17</v>
      </c>
    </row>
    <row r="1171" spans="1:5">
      <c r="A1171" s="65">
        <v>140229</v>
      </c>
      <c r="B1171" s="66" t="s">
        <v>3597</v>
      </c>
      <c r="C1171" s="66" t="s">
        <v>4873</v>
      </c>
      <c r="D1171" s="65">
        <v>1477</v>
      </c>
      <c r="E1171" s="65">
        <v>463</v>
      </c>
    </row>
    <row r="1172" spans="1:5">
      <c r="A1172" s="65">
        <v>140277</v>
      </c>
      <c r="B1172" s="66" t="s">
        <v>3646</v>
      </c>
      <c r="C1172" s="66" t="s">
        <v>4874</v>
      </c>
      <c r="D1172" s="65">
        <v>3</v>
      </c>
      <c r="E1172" s="65">
        <v>1</v>
      </c>
    </row>
    <row r="1173" spans="1:5">
      <c r="A1173" s="65">
        <v>140286</v>
      </c>
      <c r="B1173" s="66" t="s">
        <v>3593</v>
      </c>
      <c r="C1173" s="66" t="s">
        <v>4875</v>
      </c>
      <c r="D1173" s="65">
        <v>95</v>
      </c>
      <c r="E1173" s="65">
        <v>8</v>
      </c>
    </row>
    <row r="1174" spans="1:5">
      <c r="A1174" s="65">
        <v>14034</v>
      </c>
      <c r="B1174" s="66" t="s">
        <v>3614</v>
      </c>
      <c r="C1174" s="66" t="s">
        <v>4876</v>
      </c>
      <c r="D1174" s="65">
        <v>36</v>
      </c>
      <c r="E1174" s="65">
        <v>5</v>
      </c>
    </row>
    <row r="1175" spans="1:5">
      <c r="A1175" s="65">
        <v>14049</v>
      </c>
      <c r="B1175" s="66" t="s">
        <v>4191</v>
      </c>
      <c r="C1175" s="66" t="s">
        <v>4877</v>
      </c>
      <c r="D1175" s="65">
        <v>45</v>
      </c>
      <c r="E1175" s="65">
        <v>2</v>
      </c>
    </row>
    <row r="1176" spans="1:5">
      <c r="A1176" s="65">
        <v>140577</v>
      </c>
      <c r="B1176" s="66" t="s">
        <v>3689</v>
      </c>
      <c r="C1176" s="66" t="s">
        <v>4878</v>
      </c>
      <c r="D1176" s="65">
        <v>3</v>
      </c>
      <c r="E1176" s="65">
        <v>3</v>
      </c>
    </row>
    <row r="1177" spans="1:5">
      <c r="A1177" s="65">
        <v>1406</v>
      </c>
      <c r="B1177" s="66" t="s">
        <v>3635</v>
      </c>
      <c r="C1177" s="66" t="s">
        <v>4879</v>
      </c>
      <c r="D1177" s="65">
        <v>22</v>
      </c>
      <c r="E1177" s="65">
        <v>20</v>
      </c>
    </row>
    <row r="1178" spans="1:5">
      <c r="A1178" s="65">
        <v>140666</v>
      </c>
      <c r="B1178" s="66" t="s">
        <v>4237</v>
      </c>
      <c r="C1178" s="66" t="s">
        <v>4880</v>
      </c>
      <c r="D1178" s="65">
        <v>15</v>
      </c>
      <c r="E1178" s="65">
        <v>4</v>
      </c>
    </row>
    <row r="1179" spans="1:5">
      <c r="A1179" s="65">
        <v>140670</v>
      </c>
      <c r="B1179" s="66" t="s">
        <v>4117</v>
      </c>
      <c r="C1179" s="66" t="s">
        <v>4881</v>
      </c>
      <c r="D1179" s="65">
        <v>5</v>
      </c>
      <c r="E1179" s="65">
        <v>2</v>
      </c>
    </row>
    <row r="1180" spans="1:5">
      <c r="A1180" s="65">
        <v>140671</v>
      </c>
      <c r="B1180" s="66" t="s">
        <v>3627</v>
      </c>
      <c r="C1180" s="66" t="s">
        <v>4882</v>
      </c>
      <c r="D1180" s="65">
        <v>2</v>
      </c>
      <c r="E1180" s="65">
        <v>1</v>
      </c>
    </row>
    <row r="1181" spans="1:5">
      <c r="A1181" s="65">
        <v>140672</v>
      </c>
      <c r="B1181" s="66" t="s">
        <v>3643</v>
      </c>
      <c r="C1181" s="66" t="s">
        <v>4883</v>
      </c>
      <c r="D1181" s="65">
        <v>10</v>
      </c>
      <c r="E1181" s="65">
        <v>5</v>
      </c>
    </row>
    <row r="1182" spans="1:5">
      <c r="A1182" s="65">
        <v>140674</v>
      </c>
      <c r="B1182" s="66" t="s">
        <v>3627</v>
      </c>
      <c r="C1182" s="66" t="s">
        <v>4884</v>
      </c>
      <c r="D1182" s="65">
        <v>7</v>
      </c>
      <c r="E1182" s="65">
        <v>2</v>
      </c>
    </row>
    <row r="1183" spans="1:5">
      <c r="A1183" s="65">
        <v>140722</v>
      </c>
      <c r="B1183" s="66" t="s">
        <v>3820</v>
      </c>
      <c r="C1183" s="66" t="s">
        <v>4885</v>
      </c>
      <c r="D1183" s="65">
        <v>4</v>
      </c>
      <c r="E1183" s="65">
        <v>2</v>
      </c>
    </row>
    <row r="1184" spans="1:5">
      <c r="A1184" s="65">
        <v>140788</v>
      </c>
      <c r="B1184" s="66" t="s">
        <v>3649</v>
      </c>
      <c r="C1184" s="66" t="s">
        <v>4886</v>
      </c>
      <c r="D1184" s="65">
        <v>3</v>
      </c>
      <c r="E1184" s="65">
        <v>3</v>
      </c>
    </row>
    <row r="1185" spans="1:5">
      <c r="A1185" s="65">
        <v>140798</v>
      </c>
      <c r="B1185" s="66" t="s">
        <v>4117</v>
      </c>
      <c r="C1185" s="66" t="s">
        <v>4887</v>
      </c>
      <c r="D1185" s="65">
        <v>4</v>
      </c>
      <c r="E1185" s="65">
        <v>3</v>
      </c>
    </row>
    <row r="1186" spans="1:5">
      <c r="A1186" s="65">
        <v>140811</v>
      </c>
      <c r="B1186" s="66" t="s">
        <v>3665</v>
      </c>
      <c r="C1186" s="66" t="s">
        <v>4888</v>
      </c>
      <c r="D1186" s="65">
        <v>5</v>
      </c>
      <c r="E1186" s="65">
        <v>2</v>
      </c>
    </row>
    <row r="1187" spans="1:5">
      <c r="A1187" s="65">
        <v>140907</v>
      </c>
      <c r="B1187" s="66" t="s">
        <v>3731</v>
      </c>
      <c r="C1187" s="66" t="s">
        <v>4889</v>
      </c>
      <c r="D1187" s="65">
        <v>3</v>
      </c>
      <c r="E1187" s="65">
        <v>2</v>
      </c>
    </row>
    <row r="1188" spans="1:5">
      <c r="A1188" s="65">
        <v>140910</v>
      </c>
      <c r="B1188" s="66" t="s">
        <v>3731</v>
      </c>
      <c r="C1188" s="66" t="s">
        <v>4890</v>
      </c>
      <c r="D1188" s="65">
        <v>8</v>
      </c>
      <c r="E1188" s="65">
        <v>4</v>
      </c>
    </row>
    <row r="1189" spans="1:5">
      <c r="A1189" s="65">
        <v>140911</v>
      </c>
      <c r="B1189" s="66" t="s">
        <v>4610</v>
      </c>
      <c r="C1189" s="66" t="s">
        <v>4891</v>
      </c>
      <c r="D1189" s="65">
        <v>4</v>
      </c>
      <c r="E1189" s="65">
        <v>2</v>
      </c>
    </row>
    <row r="1190" spans="1:5">
      <c r="A1190" s="65">
        <v>140912</v>
      </c>
      <c r="B1190" s="66" t="s">
        <v>3643</v>
      </c>
      <c r="C1190" s="66" t="s">
        <v>4892</v>
      </c>
      <c r="D1190" s="65">
        <v>2</v>
      </c>
      <c r="E1190" s="65">
        <v>1</v>
      </c>
    </row>
    <row r="1191" spans="1:5">
      <c r="A1191" s="65">
        <v>140913</v>
      </c>
      <c r="B1191" s="66" t="s">
        <v>3820</v>
      </c>
      <c r="C1191" s="66" t="s">
        <v>4893</v>
      </c>
      <c r="D1191" s="65">
        <v>5</v>
      </c>
      <c r="E1191" s="65">
        <v>4</v>
      </c>
    </row>
    <row r="1192" spans="1:5">
      <c r="A1192" s="65">
        <v>140915</v>
      </c>
      <c r="B1192" s="66" t="s">
        <v>3731</v>
      </c>
      <c r="C1192" s="66" t="s">
        <v>4894</v>
      </c>
      <c r="D1192" s="65">
        <v>1</v>
      </c>
      <c r="E1192" s="65">
        <v>1</v>
      </c>
    </row>
    <row r="1193" spans="1:5">
      <c r="A1193" s="65">
        <v>140917</v>
      </c>
      <c r="B1193" s="66" t="s">
        <v>3643</v>
      </c>
      <c r="C1193" s="66" t="s">
        <v>4895</v>
      </c>
      <c r="D1193" s="65">
        <v>1</v>
      </c>
      <c r="E1193" s="65">
        <v>1</v>
      </c>
    </row>
    <row r="1194" spans="1:5">
      <c r="A1194" s="65">
        <v>140922</v>
      </c>
      <c r="B1194" s="66" t="s">
        <v>3731</v>
      </c>
      <c r="C1194" s="66" t="s">
        <v>4896</v>
      </c>
      <c r="D1194" s="65">
        <v>8</v>
      </c>
      <c r="E1194" s="65">
        <v>6</v>
      </c>
    </row>
    <row r="1195" spans="1:5">
      <c r="A1195" s="65">
        <v>140924</v>
      </c>
      <c r="B1195" s="66" t="s">
        <v>3643</v>
      </c>
      <c r="C1195" s="66" t="s">
        <v>4897</v>
      </c>
      <c r="D1195" s="65">
        <v>4</v>
      </c>
      <c r="E1195" s="65">
        <v>3</v>
      </c>
    </row>
    <row r="1196" spans="1:5">
      <c r="A1196" s="65">
        <v>140925</v>
      </c>
      <c r="B1196" s="66" t="s">
        <v>3820</v>
      </c>
      <c r="C1196" s="66" t="s">
        <v>4898</v>
      </c>
      <c r="D1196" s="65">
        <v>2</v>
      </c>
      <c r="E1196" s="65">
        <v>1</v>
      </c>
    </row>
    <row r="1197" spans="1:5">
      <c r="A1197" s="65">
        <v>140929</v>
      </c>
      <c r="B1197" s="66" t="s">
        <v>3667</v>
      </c>
      <c r="C1197" s="66" t="s">
        <v>4899</v>
      </c>
      <c r="D1197" s="65">
        <v>4</v>
      </c>
      <c r="E1197" s="65">
        <v>4</v>
      </c>
    </row>
    <row r="1198" spans="1:5">
      <c r="A1198" s="65">
        <v>140938</v>
      </c>
      <c r="B1198" s="66" t="s">
        <v>3593</v>
      </c>
      <c r="C1198" s="66" t="s">
        <v>4900</v>
      </c>
      <c r="D1198" s="65">
        <v>5</v>
      </c>
      <c r="E1198" s="65">
        <v>5</v>
      </c>
    </row>
    <row r="1199" spans="1:5">
      <c r="A1199" s="65">
        <v>140958</v>
      </c>
      <c r="B1199" s="66" t="s">
        <v>3731</v>
      </c>
      <c r="C1199" s="66" t="s">
        <v>4901</v>
      </c>
      <c r="D1199" s="65">
        <v>9</v>
      </c>
      <c r="E1199" s="65">
        <v>4</v>
      </c>
    </row>
    <row r="1200" spans="1:5">
      <c r="A1200" s="65">
        <v>140962</v>
      </c>
      <c r="B1200" s="66" t="s">
        <v>4117</v>
      </c>
      <c r="C1200" s="66" t="s">
        <v>4902</v>
      </c>
      <c r="D1200" s="65">
        <v>6</v>
      </c>
      <c r="E1200" s="65">
        <v>5</v>
      </c>
    </row>
    <row r="1201" spans="1:5">
      <c r="A1201" s="65">
        <v>140964</v>
      </c>
      <c r="B1201" s="66" t="s">
        <v>3667</v>
      </c>
      <c r="C1201" s="66" t="s">
        <v>4903</v>
      </c>
      <c r="D1201" s="65">
        <v>9</v>
      </c>
      <c r="E1201" s="65">
        <v>7</v>
      </c>
    </row>
    <row r="1202" spans="1:5">
      <c r="A1202" s="65">
        <v>140965</v>
      </c>
      <c r="B1202" s="66" t="s">
        <v>3667</v>
      </c>
      <c r="C1202" s="66" t="s">
        <v>4904</v>
      </c>
      <c r="D1202" s="65">
        <v>1</v>
      </c>
      <c r="E1202" s="65">
        <v>1</v>
      </c>
    </row>
    <row r="1203" spans="1:5">
      <c r="A1203" s="65">
        <v>140966</v>
      </c>
      <c r="B1203" s="66" t="s">
        <v>3608</v>
      </c>
      <c r="C1203" s="66" t="s">
        <v>4905</v>
      </c>
      <c r="D1203" s="65">
        <v>5</v>
      </c>
      <c r="E1203" s="65">
        <v>4</v>
      </c>
    </row>
    <row r="1204" spans="1:5">
      <c r="A1204" s="65">
        <v>140972</v>
      </c>
      <c r="B1204" s="66" t="s">
        <v>3667</v>
      </c>
      <c r="C1204" s="66" t="s">
        <v>4906</v>
      </c>
      <c r="D1204" s="65">
        <v>2</v>
      </c>
      <c r="E1204" s="65">
        <v>2</v>
      </c>
    </row>
    <row r="1205" spans="1:5">
      <c r="A1205" s="65">
        <v>140974</v>
      </c>
      <c r="B1205" s="66" t="s">
        <v>3820</v>
      </c>
      <c r="C1205" s="66" t="s">
        <v>4907</v>
      </c>
      <c r="D1205" s="65">
        <v>3</v>
      </c>
      <c r="E1205" s="65">
        <v>1</v>
      </c>
    </row>
    <row r="1206" spans="1:5">
      <c r="A1206" s="65">
        <v>140980</v>
      </c>
      <c r="B1206" s="66" t="s">
        <v>3820</v>
      </c>
      <c r="C1206" s="66" t="s">
        <v>4908</v>
      </c>
      <c r="D1206" s="65">
        <v>5</v>
      </c>
      <c r="E1206" s="65">
        <v>3</v>
      </c>
    </row>
    <row r="1207" spans="1:5">
      <c r="A1207" s="65">
        <v>140981</v>
      </c>
      <c r="B1207" s="66" t="s">
        <v>3649</v>
      </c>
      <c r="C1207" s="66" t="s">
        <v>4909</v>
      </c>
      <c r="D1207" s="65">
        <v>4</v>
      </c>
      <c r="E1207" s="65">
        <v>4</v>
      </c>
    </row>
    <row r="1208" spans="1:5">
      <c r="A1208" s="65">
        <v>140985</v>
      </c>
      <c r="B1208" s="66" t="s">
        <v>4910</v>
      </c>
      <c r="C1208" s="66" t="s">
        <v>4911</v>
      </c>
      <c r="D1208" s="65">
        <v>1</v>
      </c>
      <c r="E1208" s="65">
        <v>1</v>
      </c>
    </row>
    <row r="1209" spans="1:5">
      <c r="A1209" s="65">
        <v>140987</v>
      </c>
      <c r="B1209" s="66" t="s">
        <v>3667</v>
      </c>
      <c r="C1209" s="66" t="s">
        <v>4912</v>
      </c>
      <c r="D1209" s="65">
        <v>3</v>
      </c>
      <c r="E1209" s="65">
        <v>3</v>
      </c>
    </row>
    <row r="1210" spans="1:5">
      <c r="A1210" s="65">
        <v>140994</v>
      </c>
      <c r="B1210" s="66" t="s">
        <v>3667</v>
      </c>
      <c r="C1210" s="66" t="s">
        <v>4913</v>
      </c>
      <c r="D1210" s="65">
        <v>2</v>
      </c>
      <c r="E1210" s="65">
        <v>1</v>
      </c>
    </row>
    <row r="1211" spans="1:5">
      <c r="A1211" s="65">
        <v>140996</v>
      </c>
      <c r="B1211" s="66" t="s">
        <v>3643</v>
      </c>
      <c r="C1211" s="66" t="s">
        <v>4914</v>
      </c>
      <c r="D1211" s="65">
        <v>3</v>
      </c>
      <c r="E1211" s="65">
        <v>3</v>
      </c>
    </row>
    <row r="1212" spans="1:5">
      <c r="A1212" s="65">
        <v>140997</v>
      </c>
      <c r="B1212" s="66" t="s">
        <v>3593</v>
      </c>
      <c r="C1212" s="66" t="s">
        <v>4915</v>
      </c>
      <c r="D1212" s="65">
        <v>19</v>
      </c>
      <c r="E1212" s="65">
        <v>14</v>
      </c>
    </row>
    <row r="1213" spans="1:5">
      <c r="A1213" s="65">
        <v>140999</v>
      </c>
      <c r="B1213" s="66" t="s">
        <v>3641</v>
      </c>
      <c r="C1213" s="66" t="s">
        <v>4916</v>
      </c>
      <c r="D1213" s="65">
        <v>7</v>
      </c>
      <c r="E1213" s="65">
        <v>4</v>
      </c>
    </row>
    <row r="1214" spans="1:5">
      <c r="A1214" s="65">
        <v>141005</v>
      </c>
      <c r="B1214" s="66" t="s">
        <v>3641</v>
      </c>
      <c r="C1214" s="66" t="s">
        <v>4917</v>
      </c>
      <c r="D1214" s="65">
        <v>1</v>
      </c>
      <c r="E1214" s="65">
        <v>1</v>
      </c>
    </row>
    <row r="1215" spans="1:5">
      <c r="A1215" s="65">
        <v>141008</v>
      </c>
      <c r="B1215" s="66" t="s">
        <v>3820</v>
      </c>
      <c r="C1215" s="66" t="s">
        <v>4918</v>
      </c>
      <c r="D1215" s="65">
        <v>11</v>
      </c>
      <c r="E1215" s="65">
        <v>4</v>
      </c>
    </row>
    <row r="1216" spans="1:5">
      <c r="A1216" s="65">
        <v>141009</v>
      </c>
      <c r="B1216" s="66" t="s">
        <v>3643</v>
      </c>
      <c r="C1216" s="66" t="s">
        <v>4919</v>
      </c>
      <c r="D1216" s="65">
        <v>4</v>
      </c>
      <c r="E1216" s="65">
        <v>3</v>
      </c>
    </row>
    <row r="1217" spans="1:5">
      <c r="A1217" s="65">
        <v>141012</v>
      </c>
      <c r="B1217" s="66" t="s">
        <v>3625</v>
      </c>
      <c r="C1217" s="66" t="s">
        <v>4920</v>
      </c>
      <c r="D1217" s="65">
        <v>12</v>
      </c>
      <c r="E1217" s="65">
        <v>2</v>
      </c>
    </row>
    <row r="1218" spans="1:5">
      <c r="A1218" s="65">
        <v>141013</v>
      </c>
      <c r="B1218" s="66" t="s">
        <v>4191</v>
      </c>
      <c r="C1218" s="66" t="s">
        <v>4921</v>
      </c>
      <c r="D1218" s="65">
        <v>7</v>
      </c>
      <c r="E1218" s="65">
        <v>5</v>
      </c>
    </row>
    <row r="1219" spans="1:5">
      <c r="A1219" s="65">
        <v>141016</v>
      </c>
      <c r="B1219" s="66" t="s">
        <v>3641</v>
      </c>
      <c r="C1219" s="66" t="s">
        <v>4922</v>
      </c>
      <c r="D1219" s="65">
        <v>19</v>
      </c>
      <c r="E1219" s="65">
        <v>15</v>
      </c>
    </row>
    <row r="1220" spans="1:5">
      <c r="A1220" s="65">
        <v>141021</v>
      </c>
      <c r="B1220" s="66" t="s">
        <v>3593</v>
      </c>
      <c r="C1220" s="66" t="s">
        <v>4923</v>
      </c>
      <c r="D1220" s="65">
        <v>2</v>
      </c>
      <c r="E1220" s="65">
        <v>1</v>
      </c>
    </row>
    <row r="1221" spans="1:5">
      <c r="A1221" s="65">
        <v>141022</v>
      </c>
      <c r="B1221" s="66" t="s">
        <v>3649</v>
      </c>
      <c r="C1221" s="66" t="s">
        <v>4924</v>
      </c>
      <c r="D1221" s="65">
        <v>4</v>
      </c>
      <c r="E1221" s="65">
        <v>3</v>
      </c>
    </row>
    <row r="1222" spans="1:5">
      <c r="A1222" s="65">
        <v>14103</v>
      </c>
      <c r="B1222" s="66" t="s">
        <v>3597</v>
      </c>
      <c r="C1222" s="66" t="s">
        <v>4925</v>
      </c>
      <c r="D1222" s="65">
        <v>889</v>
      </c>
      <c r="E1222" s="65">
        <v>158</v>
      </c>
    </row>
    <row r="1223" spans="1:5">
      <c r="A1223" s="65">
        <v>141030</v>
      </c>
      <c r="B1223" s="66" t="s">
        <v>3641</v>
      </c>
      <c r="C1223" s="66" t="s">
        <v>4926</v>
      </c>
      <c r="D1223" s="65">
        <v>10</v>
      </c>
      <c r="E1223" s="65">
        <v>3</v>
      </c>
    </row>
    <row r="1224" spans="1:5">
      <c r="A1224" s="65">
        <v>141031</v>
      </c>
      <c r="B1224" s="66" t="s">
        <v>3641</v>
      </c>
      <c r="C1224" s="66" t="s">
        <v>4927</v>
      </c>
      <c r="D1224" s="65">
        <v>16</v>
      </c>
      <c r="E1224" s="65">
        <v>7</v>
      </c>
    </row>
    <row r="1225" spans="1:5">
      <c r="A1225" s="65">
        <v>141032</v>
      </c>
      <c r="B1225" s="66" t="s">
        <v>3667</v>
      </c>
      <c r="C1225" s="66" t="s">
        <v>4928</v>
      </c>
      <c r="D1225" s="65">
        <v>1</v>
      </c>
      <c r="E1225" s="65">
        <v>1</v>
      </c>
    </row>
    <row r="1226" spans="1:5">
      <c r="A1226" s="65">
        <v>141034</v>
      </c>
      <c r="B1226" s="66" t="s">
        <v>3643</v>
      </c>
      <c r="C1226" s="66" t="s">
        <v>4929</v>
      </c>
      <c r="D1226" s="65">
        <v>7</v>
      </c>
      <c r="E1226" s="65">
        <v>4</v>
      </c>
    </row>
    <row r="1227" spans="1:5">
      <c r="A1227" s="65">
        <v>141037</v>
      </c>
      <c r="B1227" s="66" t="s">
        <v>3649</v>
      </c>
      <c r="C1227" s="66" t="s">
        <v>4930</v>
      </c>
      <c r="D1227" s="65">
        <v>41</v>
      </c>
      <c r="E1227" s="65">
        <v>21</v>
      </c>
    </row>
    <row r="1228" spans="1:5">
      <c r="A1228" s="65">
        <v>141044</v>
      </c>
      <c r="B1228" s="66" t="s">
        <v>4610</v>
      </c>
      <c r="C1228" s="66" t="s">
        <v>4931</v>
      </c>
      <c r="D1228" s="65">
        <v>8</v>
      </c>
      <c r="E1228" s="65">
        <v>2</v>
      </c>
    </row>
    <row r="1229" spans="1:5">
      <c r="A1229" s="65">
        <v>141045</v>
      </c>
      <c r="B1229" s="66" t="s">
        <v>3667</v>
      </c>
      <c r="C1229" s="66" t="s">
        <v>4932</v>
      </c>
      <c r="D1229" s="65">
        <v>5</v>
      </c>
      <c r="E1229" s="65">
        <v>4</v>
      </c>
    </row>
    <row r="1230" spans="1:5">
      <c r="A1230" s="65">
        <v>141046</v>
      </c>
      <c r="B1230" s="66" t="s">
        <v>3625</v>
      </c>
      <c r="C1230" s="66" t="s">
        <v>4933</v>
      </c>
      <c r="D1230" s="65">
        <v>2</v>
      </c>
      <c r="E1230" s="65">
        <v>2</v>
      </c>
    </row>
    <row r="1231" spans="1:5">
      <c r="A1231" s="65">
        <v>141047</v>
      </c>
      <c r="B1231" s="66" t="s">
        <v>3904</v>
      </c>
      <c r="C1231" s="66" t="s">
        <v>4934</v>
      </c>
      <c r="D1231" s="65">
        <v>2</v>
      </c>
      <c r="E1231" s="65">
        <v>2</v>
      </c>
    </row>
    <row r="1232" spans="1:5">
      <c r="A1232" s="65">
        <v>141049</v>
      </c>
      <c r="B1232" s="66" t="s">
        <v>3904</v>
      </c>
      <c r="C1232" s="66" t="s">
        <v>4935</v>
      </c>
      <c r="D1232" s="65">
        <v>1</v>
      </c>
      <c r="E1232" s="65">
        <v>1</v>
      </c>
    </row>
    <row r="1233" spans="1:5">
      <c r="A1233" s="65">
        <v>141054</v>
      </c>
      <c r="B1233" s="66" t="s">
        <v>3876</v>
      </c>
      <c r="C1233" s="66" t="s">
        <v>4936</v>
      </c>
      <c r="D1233" s="65">
        <v>2</v>
      </c>
      <c r="E1233" s="65">
        <v>1</v>
      </c>
    </row>
    <row r="1234" spans="1:5">
      <c r="A1234" s="65">
        <v>141055</v>
      </c>
      <c r="B1234" s="66" t="s">
        <v>3593</v>
      </c>
      <c r="C1234" s="66" t="s">
        <v>4937</v>
      </c>
      <c r="D1234" s="65">
        <v>7</v>
      </c>
      <c r="E1234" s="65">
        <v>5</v>
      </c>
    </row>
    <row r="1235" spans="1:5">
      <c r="A1235" s="65">
        <v>141056</v>
      </c>
      <c r="B1235" s="66" t="s">
        <v>3820</v>
      </c>
      <c r="C1235" s="66" t="s">
        <v>4938</v>
      </c>
      <c r="D1235" s="65">
        <v>2</v>
      </c>
      <c r="E1235" s="65">
        <v>1</v>
      </c>
    </row>
    <row r="1236" spans="1:5">
      <c r="A1236" s="65">
        <v>141063</v>
      </c>
      <c r="B1236" s="66" t="s">
        <v>3625</v>
      </c>
      <c r="C1236" s="66" t="s">
        <v>4939</v>
      </c>
      <c r="D1236" s="65">
        <v>8</v>
      </c>
      <c r="E1236" s="65">
        <v>1</v>
      </c>
    </row>
    <row r="1237" spans="1:5">
      <c r="A1237" s="65">
        <v>141069</v>
      </c>
      <c r="B1237" s="66" t="s">
        <v>3667</v>
      </c>
      <c r="C1237" s="66" t="s">
        <v>4940</v>
      </c>
      <c r="D1237" s="65">
        <v>10</v>
      </c>
      <c r="E1237" s="65">
        <v>7</v>
      </c>
    </row>
    <row r="1238" spans="1:5">
      <c r="A1238" s="65">
        <v>141070</v>
      </c>
      <c r="B1238" s="66" t="s">
        <v>3608</v>
      </c>
      <c r="C1238" s="66" t="s">
        <v>4941</v>
      </c>
      <c r="D1238" s="65">
        <v>7</v>
      </c>
      <c r="E1238" s="65">
        <v>7</v>
      </c>
    </row>
    <row r="1239" spans="1:5">
      <c r="A1239" s="65">
        <v>141071</v>
      </c>
      <c r="B1239" s="66" t="s">
        <v>3667</v>
      </c>
      <c r="C1239" s="66" t="s">
        <v>4942</v>
      </c>
      <c r="D1239" s="65">
        <v>6</v>
      </c>
      <c r="E1239" s="65">
        <v>4</v>
      </c>
    </row>
    <row r="1240" spans="1:5">
      <c r="A1240" s="65">
        <v>141076</v>
      </c>
      <c r="B1240" s="66" t="s">
        <v>3643</v>
      </c>
      <c r="C1240" s="66" t="s">
        <v>4943</v>
      </c>
      <c r="D1240" s="65">
        <v>1</v>
      </c>
      <c r="E1240" s="65">
        <v>1</v>
      </c>
    </row>
    <row r="1241" spans="1:5">
      <c r="A1241" s="65">
        <v>141077</v>
      </c>
      <c r="B1241" s="66" t="s">
        <v>3641</v>
      </c>
      <c r="C1241" s="66" t="s">
        <v>4944</v>
      </c>
      <c r="D1241" s="65">
        <v>7</v>
      </c>
      <c r="E1241" s="65">
        <v>6</v>
      </c>
    </row>
    <row r="1242" spans="1:5">
      <c r="A1242" s="65">
        <v>141078</v>
      </c>
      <c r="B1242" s="66" t="s">
        <v>3820</v>
      </c>
      <c r="C1242" s="66" t="s">
        <v>4945</v>
      </c>
      <c r="D1242" s="65">
        <v>1</v>
      </c>
      <c r="E1242" s="65">
        <v>1</v>
      </c>
    </row>
    <row r="1243" spans="1:5">
      <c r="A1243" s="65">
        <v>141079</v>
      </c>
      <c r="B1243" s="66" t="s">
        <v>3667</v>
      </c>
      <c r="C1243" s="66" t="s">
        <v>4946</v>
      </c>
      <c r="D1243" s="65">
        <v>4</v>
      </c>
      <c r="E1243" s="65">
        <v>4</v>
      </c>
    </row>
    <row r="1244" spans="1:5">
      <c r="A1244" s="65">
        <v>141080</v>
      </c>
      <c r="B1244" s="66" t="s">
        <v>3608</v>
      </c>
      <c r="C1244" s="66" t="s">
        <v>4947</v>
      </c>
      <c r="D1244" s="65">
        <v>1</v>
      </c>
      <c r="E1244" s="65">
        <v>1</v>
      </c>
    </row>
    <row r="1245" spans="1:5">
      <c r="A1245" s="65">
        <v>141081</v>
      </c>
      <c r="B1245" s="66" t="s">
        <v>3649</v>
      </c>
      <c r="C1245" s="66" t="s">
        <v>4948</v>
      </c>
      <c r="D1245" s="65">
        <v>3</v>
      </c>
      <c r="E1245" s="65">
        <v>2</v>
      </c>
    </row>
    <row r="1246" spans="1:5">
      <c r="A1246" s="65">
        <v>141083</v>
      </c>
      <c r="B1246" s="66" t="s">
        <v>3649</v>
      </c>
      <c r="C1246" s="66" t="s">
        <v>4949</v>
      </c>
      <c r="D1246" s="65">
        <v>3</v>
      </c>
      <c r="E1246" s="65">
        <v>2</v>
      </c>
    </row>
    <row r="1247" spans="1:5">
      <c r="A1247" s="65">
        <v>141089</v>
      </c>
      <c r="B1247" s="66" t="s">
        <v>3820</v>
      </c>
      <c r="C1247" s="66" t="s">
        <v>4950</v>
      </c>
      <c r="D1247" s="65">
        <v>5</v>
      </c>
      <c r="E1247" s="65">
        <v>4</v>
      </c>
    </row>
    <row r="1248" spans="1:5">
      <c r="A1248" s="65">
        <v>141090</v>
      </c>
      <c r="B1248" s="66" t="s">
        <v>3608</v>
      </c>
      <c r="C1248" s="66" t="s">
        <v>4951</v>
      </c>
      <c r="D1248" s="65">
        <v>4</v>
      </c>
      <c r="E1248" s="65">
        <v>3</v>
      </c>
    </row>
    <row r="1249" spans="1:5">
      <c r="A1249" s="65">
        <v>141091</v>
      </c>
      <c r="B1249" s="66" t="s">
        <v>4610</v>
      </c>
      <c r="C1249" s="66" t="s">
        <v>4952</v>
      </c>
      <c r="D1249" s="65">
        <v>1</v>
      </c>
      <c r="E1249" s="65">
        <v>1</v>
      </c>
    </row>
    <row r="1250" spans="1:5">
      <c r="A1250" s="65">
        <v>141092</v>
      </c>
      <c r="B1250" s="66" t="s">
        <v>3820</v>
      </c>
      <c r="C1250" s="66" t="s">
        <v>4953</v>
      </c>
      <c r="D1250" s="65">
        <v>5</v>
      </c>
      <c r="E1250" s="65">
        <v>3</v>
      </c>
    </row>
    <row r="1251" spans="1:5">
      <c r="A1251" s="65">
        <v>141093</v>
      </c>
      <c r="B1251" s="66" t="s">
        <v>3608</v>
      </c>
      <c r="C1251" s="66" t="s">
        <v>4954</v>
      </c>
      <c r="D1251" s="65">
        <v>2</v>
      </c>
      <c r="E1251" s="65">
        <v>2</v>
      </c>
    </row>
    <row r="1252" spans="1:5">
      <c r="A1252" s="65">
        <v>141094</v>
      </c>
      <c r="B1252" s="66" t="s">
        <v>3820</v>
      </c>
      <c r="C1252" s="66" t="s">
        <v>4955</v>
      </c>
      <c r="D1252" s="65">
        <v>3</v>
      </c>
      <c r="E1252" s="65">
        <v>2</v>
      </c>
    </row>
    <row r="1253" spans="1:5">
      <c r="A1253" s="65">
        <v>141095</v>
      </c>
      <c r="B1253" s="66" t="s">
        <v>3820</v>
      </c>
      <c r="C1253" s="66" t="s">
        <v>4956</v>
      </c>
      <c r="D1253" s="65">
        <v>5</v>
      </c>
      <c r="E1253" s="65">
        <v>3</v>
      </c>
    </row>
    <row r="1254" spans="1:5">
      <c r="A1254" s="65">
        <v>141096</v>
      </c>
      <c r="B1254" s="66" t="s">
        <v>3643</v>
      </c>
      <c r="C1254" s="66" t="s">
        <v>4957</v>
      </c>
      <c r="D1254" s="65">
        <v>6</v>
      </c>
      <c r="E1254" s="65">
        <v>3</v>
      </c>
    </row>
    <row r="1255" spans="1:5">
      <c r="A1255" s="65">
        <v>141097</v>
      </c>
      <c r="B1255" s="66" t="s">
        <v>3649</v>
      </c>
      <c r="C1255" s="66" t="s">
        <v>4958</v>
      </c>
      <c r="D1255" s="65">
        <v>1</v>
      </c>
      <c r="E1255" s="65">
        <v>1</v>
      </c>
    </row>
    <row r="1256" spans="1:5">
      <c r="A1256" s="65">
        <v>141100</v>
      </c>
      <c r="B1256" s="66" t="s">
        <v>3608</v>
      </c>
      <c r="C1256" s="66" t="s">
        <v>4959</v>
      </c>
      <c r="D1256" s="65">
        <v>3</v>
      </c>
      <c r="E1256" s="65">
        <v>2</v>
      </c>
    </row>
    <row r="1257" spans="1:5">
      <c r="A1257" s="65">
        <v>141101</v>
      </c>
      <c r="B1257" s="66" t="s">
        <v>3731</v>
      </c>
      <c r="C1257" s="66" t="s">
        <v>4960</v>
      </c>
      <c r="D1257" s="65">
        <v>4</v>
      </c>
      <c r="E1257" s="65">
        <v>2</v>
      </c>
    </row>
    <row r="1258" spans="1:5">
      <c r="A1258" s="65">
        <v>141102</v>
      </c>
      <c r="B1258" s="66" t="s">
        <v>3820</v>
      </c>
      <c r="C1258" s="66" t="s">
        <v>4961</v>
      </c>
      <c r="D1258" s="65">
        <v>7</v>
      </c>
      <c r="E1258" s="65">
        <v>2</v>
      </c>
    </row>
    <row r="1259" spans="1:5">
      <c r="A1259" s="65">
        <v>141109</v>
      </c>
      <c r="B1259" s="66" t="s">
        <v>3820</v>
      </c>
      <c r="C1259" s="66" t="s">
        <v>4962</v>
      </c>
      <c r="D1259" s="65">
        <v>3</v>
      </c>
      <c r="E1259" s="65">
        <v>2</v>
      </c>
    </row>
    <row r="1260" spans="1:5">
      <c r="A1260" s="65">
        <v>14111</v>
      </c>
      <c r="B1260" s="66" t="s">
        <v>3597</v>
      </c>
      <c r="C1260" s="66" t="s">
        <v>4963</v>
      </c>
      <c r="D1260" s="65">
        <v>10560</v>
      </c>
      <c r="E1260" s="65">
        <v>186</v>
      </c>
    </row>
    <row r="1261" spans="1:5">
      <c r="A1261" s="65">
        <v>141110</v>
      </c>
      <c r="B1261" s="66" t="s">
        <v>3667</v>
      </c>
      <c r="C1261" s="66" t="s">
        <v>4964</v>
      </c>
      <c r="D1261" s="65">
        <v>14</v>
      </c>
      <c r="E1261" s="65">
        <v>8</v>
      </c>
    </row>
    <row r="1262" spans="1:5">
      <c r="A1262" s="65">
        <v>141113</v>
      </c>
      <c r="B1262" s="66" t="s">
        <v>3608</v>
      </c>
      <c r="C1262" s="66" t="s">
        <v>4965</v>
      </c>
      <c r="D1262" s="65">
        <v>20</v>
      </c>
      <c r="E1262" s="65">
        <v>8</v>
      </c>
    </row>
    <row r="1263" spans="1:5">
      <c r="A1263" s="65">
        <v>141119</v>
      </c>
      <c r="B1263" s="66" t="s">
        <v>3593</v>
      </c>
      <c r="C1263" s="66" t="s">
        <v>4966</v>
      </c>
      <c r="D1263" s="65">
        <v>17</v>
      </c>
      <c r="E1263" s="65">
        <v>10</v>
      </c>
    </row>
    <row r="1264" spans="1:5">
      <c r="A1264" s="65">
        <v>141121</v>
      </c>
      <c r="B1264" s="66" t="s">
        <v>3608</v>
      </c>
      <c r="C1264" s="66" t="s">
        <v>4967</v>
      </c>
      <c r="D1264" s="65">
        <v>5</v>
      </c>
      <c r="E1264" s="65">
        <v>4</v>
      </c>
    </row>
    <row r="1265" spans="1:5">
      <c r="A1265" s="65">
        <v>141154</v>
      </c>
      <c r="B1265" s="66" t="s">
        <v>3597</v>
      </c>
      <c r="C1265" s="66" t="s">
        <v>4968</v>
      </c>
      <c r="D1265" s="65">
        <v>5</v>
      </c>
      <c r="E1265" s="65">
        <v>5</v>
      </c>
    </row>
    <row r="1266" spans="1:5">
      <c r="A1266" s="65">
        <v>141155</v>
      </c>
      <c r="B1266" s="66" t="s">
        <v>3597</v>
      </c>
      <c r="C1266" s="66" t="s">
        <v>4969</v>
      </c>
      <c r="D1266" s="65">
        <v>59</v>
      </c>
      <c r="E1266" s="65">
        <v>35</v>
      </c>
    </row>
    <row r="1267" spans="1:5">
      <c r="A1267" s="65">
        <v>141156</v>
      </c>
      <c r="B1267" s="66" t="s">
        <v>3597</v>
      </c>
      <c r="C1267" s="66" t="s">
        <v>4970</v>
      </c>
      <c r="D1267" s="65">
        <v>25</v>
      </c>
      <c r="E1267" s="65">
        <v>15</v>
      </c>
    </row>
    <row r="1268" spans="1:5">
      <c r="A1268" s="65">
        <v>141166</v>
      </c>
      <c r="B1268" s="66" t="s">
        <v>3606</v>
      </c>
      <c r="C1268" s="66" t="s">
        <v>4971</v>
      </c>
      <c r="D1268" s="65">
        <v>6</v>
      </c>
      <c r="E1268" s="65">
        <v>6</v>
      </c>
    </row>
    <row r="1269" spans="1:5">
      <c r="A1269" s="65">
        <v>141170</v>
      </c>
      <c r="B1269" s="66" t="s">
        <v>4972</v>
      </c>
      <c r="C1269" s="66" t="s">
        <v>4973</v>
      </c>
      <c r="D1269" s="65">
        <v>20</v>
      </c>
      <c r="E1269" s="65">
        <v>1</v>
      </c>
    </row>
    <row r="1270" spans="1:5">
      <c r="A1270" s="65">
        <v>141171</v>
      </c>
      <c r="B1270" s="66" t="s">
        <v>4502</v>
      </c>
      <c r="C1270" s="66" t="s">
        <v>4974</v>
      </c>
      <c r="D1270" s="65">
        <v>30</v>
      </c>
      <c r="E1270" s="65">
        <v>2</v>
      </c>
    </row>
    <row r="1271" spans="1:5">
      <c r="A1271" s="65">
        <v>141176</v>
      </c>
      <c r="B1271" s="66" t="s">
        <v>3593</v>
      </c>
      <c r="C1271" s="66" t="s">
        <v>4975</v>
      </c>
      <c r="D1271" s="65">
        <v>152</v>
      </c>
      <c r="E1271" s="65">
        <v>64</v>
      </c>
    </row>
    <row r="1272" spans="1:5">
      <c r="A1272" s="65">
        <v>141177</v>
      </c>
      <c r="B1272" s="66" t="s">
        <v>4117</v>
      </c>
      <c r="C1272" s="66" t="s">
        <v>4976</v>
      </c>
      <c r="D1272" s="65">
        <v>3200</v>
      </c>
      <c r="E1272" s="65">
        <v>3</v>
      </c>
    </row>
    <row r="1273" spans="1:5">
      <c r="A1273" s="65">
        <v>141230</v>
      </c>
      <c r="B1273" s="66" t="s">
        <v>3606</v>
      </c>
      <c r="C1273" s="66" t="s">
        <v>4977</v>
      </c>
      <c r="D1273" s="65">
        <v>14</v>
      </c>
      <c r="E1273" s="65">
        <v>5</v>
      </c>
    </row>
    <row r="1274" spans="1:5">
      <c r="A1274" s="65">
        <v>1413</v>
      </c>
      <c r="B1274" s="66" t="s">
        <v>3616</v>
      </c>
      <c r="C1274" s="66" t="s">
        <v>4978</v>
      </c>
      <c r="D1274" s="65">
        <v>762</v>
      </c>
      <c r="E1274" s="65">
        <v>103</v>
      </c>
    </row>
    <row r="1275" spans="1:5">
      <c r="A1275" s="65">
        <v>141322</v>
      </c>
      <c r="B1275" s="66" t="s">
        <v>4979</v>
      </c>
      <c r="C1275" s="66" t="s">
        <v>4980</v>
      </c>
      <c r="D1275" s="65">
        <v>19</v>
      </c>
      <c r="E1275" s="65">
        <v>6</v>
      </c>
    </row>
    <row r="1276" spans="1:5">
      <c r="A1276" s="65">
        <v>141324</v>
      </c>
      <c r="B1276" s="66" t="s">
        <v>3876</v>
      </c>
      <c r="C1276" s="66" t="s">
        <v>4981</v>
      </c>
      <c r="D1276" s="65">
        <v>5</v>
      </c>
      <c r="E1276" s="65">
        <v>2</v>
      </c>
    </row>
    <row r="1277" spans="1:5">
      <c r="A1277" s="65">
        <v>141345</v>
      </c>
      <c r="B1277" s="66" t="s">
        <v>3599</v>
      </c>
      <c r="C1277" s="66" t="s">
        <v>4982</v>
      </c>
      <c r="D1277" s="65">
        <v>4</v>
      </c>
      <c r="E1277" s="65">
        <v>2</v>
      </c>
    </row>
    <row r="1278" spans="1:5">
      <c r="A1278" s="65">
        <v>141346</v>
      </c>
      <c r="B1278" s="66" t="s">
        <v>3606</v>
      </c>
      <c r="C1278" s="66" t="s">
        <v>4983</v>
      </c>
      <c r="D1278" s="65">
        <v>49</v>
      </c>
      <c r="E1278" s="65">
        <v>18</v>
      </c>
    </row>
    <row r="1279" spans="1:5">
      <c r="A1279" s="65">
        <v>1414</v>
      </c>
      <c r="B1279" s="66" t="s">
        <v>4175</v>
      </c>
      <c r="C1279" s="66" t="s">
        <v>4984</v>
      </c>
      <c r="D1279" s="65">
        <v>387</v>
      </c>
      <c r="E1279" s="65">
        <v>43</v>
      </c>
    </row>
    <row r="1280" spans="1:5">
      <c r="A1280" s="65">
        <v>14147</v>
      </c>
      <c r="B1280" s="66" t="s">
        <v>3599</v>
      </c>
      <c r="C1280" s="66" t="s">
        <v>4985</v>
      </c>
      <c r="D1280" s="65">
        <v>6</v>
      </c>
      <c r="E1280" s="65">
        <v>2</v>
      </c>
    </row>
    <row r="1281" spans="1:5">
      <c r="A1281" s="65">
        <v>14148</v>
      </c>
      <c r="B1281" s="66" t="s">
        <v>4537</v>
      </c>
      <c r="C1281" s="66" t="s">
        <v>4986</v>
      </c>
      <c r="D1281" s="65">
        <v>18</v>
      </c>
      <c r="E1281" s="65">
        <v>3</v>
      </c>
    </row>
    <row r="1282" spans="1:5">
      <c r="A1282" s="65">
        <v>14150</v>
      </c>
      <c r="B1282" s="66" t="s">
        <v>4020</v>
      </c>
      <c r="C1282" s="66" t="s">
        <v>4987</v>
      </c>
      <c r="D1282" s="65">
        <v>30</v>
      </c>
      <c r="E1282" s="65">
        <v>2</v>
      </c>
    </row>
    <row r="1283" spans="1:5">
      <c r="A1283" s="65">
        <v>14204</v>
      </c>
      <c r="B1283" s="66" t="s">
        <v>3593</v>
      </c>
      <c r="C1283" s="66" t="s">
        <v>4988</v>
      </c>
      <c r="D1283" s="65">
        <v>1305</v>
      </c>
      <c r="E1283" s="65">
        <v>21</v>
      </c>
    </row>
    <row r="1284" spans="1:5">
      <c r="A1284" s="65">
        <v>1421</v>
      </c>
      <c r="B1284" s="66" t="s">
        <v>4138</v>
      </c>
      <c r="C1284" s="66" t="s">
        <v>4989</v>
      </c>
      <c r="D1284" s="65">
        <v>30</v>
      </c>
      <c r="E1284" s="65">
        <v>1</v>
      </c>
    </row>
    <row r="1285" spans="1:5">
      <c r="A1285" s="65">
        <v>142255</v>
      </c>
      <c r="B1285" s="66" t="s">
        <v>3625</v>
      </c>
      <c r="C1285" s="66" t="s">
        <v>4990</v>
      </c>
      <c r="D1285" s="65">
        <v>18</v>
      </c>
      <c r="E1285" s="65">
        <v>5</v>
      </c>
    </row>
    <row r="1286" spans="1:5">
      <c r="A1286" s="65">
        <v>142311</v>
      </c>
      <c r="B1286" s="66" t="s">
        <v>3597</v>
      </c>
      <c r="C1286" s="66" t="s">
        <v>4991</v>
      </c>
      <c r="D1286" s="65">
        <v>350</v>
      </c>
      <c r="E1286" s="65">
        <v>33</v>
      </c>
    </row>
    <row r="1287" spans="1:5">
      <c r="A1287" s="65">
        <v>142314</v>
      </c>
      <c r="B1287" s="66" t="s">
        <v>4253</v>
      </c>
      <c r="C1287" s="66" t="s">
        <v>4992</v>
      </c>
      <c r="D1287" s="65">
        <v>1</v>
      </c>
      <c r="E1287" s="65">
        <v>1</v>
      </c>
    </row>
    <row r="1288" spans="1:5">
      <c r="A1288" s="65">
        <v>142329</v>
      </c>
      <c r="B1288" s="66" t="s">
        <v>3973</v>
      </c>
      <c r="C1288" s="66" t="s">
        <v>4993</v>
      </c>
      <c r="D1288" s="65">
        <v>5</v>
      </c>
      <c r="E1288" s="65">
        <v>1</v>
      </c>
    </row>
    <row r="1289" spans="1:5">
      <c r="A1289" s="65">
        <v>142331</v>
      </c>
      <c r="B1289" s="66" t="s">
        <v>4175</v>
      </c>
      <c r="C1289" s="66" t="s">
        <v>4994</v>
      </c>
      <c r="D1289" s="65">
        <v>1</v>
      </c>
      <c r="E1289" s="65">
        <v>1</v>
      </c>
    </row>
    <row r="1290" spans="1:5">
      <c r="A1290" s="65">
        <v>142406</v>
      </c>
      <c r="B1290" s="66" t="s">
        <v>3593</v>
      </c>
      <c r="C1290" s="66" t="s">
        <v>4995</v>
      </c>
      <c r="D1290" s="65">
        <v>20</v>
      </c>
      <c r="E1290" s="65">
        <v>1</v>
      </c>
    </row>
    <row r="1291" spans="1:5">
      <c r="A1291" s="65">
        <v>142421</v>
      </c>
      <c r="B1291" s="66" t="s">
        <v>3804</v>
      </c>
      <c r="C1291" s="66" t="s">
        <v>4996</v>
      </c>
      <c r="D1291" s="65">
        <v>215</v>
      </c>
      <c r="E1291" s="65">
        <v>11</v>
      </c>
    </row>
    <row r="1292" spans="1:5">
      <c r="A1292" s="65">
        <v>142426</v>
      </c>
      <c r="B1292" s="66" t="s">
        <v>3597</v>
      </c>
      <c r="C1292" s="66" t="s">
        <v>4997</v>
      </c>
      <c r="D1292" s="65">
        <v>206000</v>
      </c>
      <c r="E1292" s="65">
        <v>125</v>
      </c>
    </row>
    <row r="1293" spans="1:5">
      <c r="A1293" s="65">
        <v>142566</v>
      </c>
      <c r="B1293" s="66" t="s">
        <v>4705</v>
      </c>
      <c r="C1293" s="66" t="s">
        <v>4998</v>
      </c>
      <c r="D1293" s="65">
        <v>46</v>
      </c>
      <c r="E1293" s="65">
        <v>10</v>
      </c>
    </row>
    <row r="1294" spans="1:5">
      <c r="A1294" s="65">
        <v>142570</v>
      </c>
      <c r="B1294" s="66" t="s">
        <v>3606</v>
      </c>
      <c r="C1294" s="66" t="s">
        <v>4999</v>
      </c>
      <c r="D1294" s="65">
        <v>55</v>
      </c>
      <c r="E1294" s="65">
        <v>18</v>
      </c>
    </row>
    <row r="1295" spans="1:5">
      <c r="A1295" s="65">
        <v>142583</v>
      </c>
      <c r="B1295" s="66" t="s">
        <v>3747</v>
      </c>
      <c r="C1295" s="66" t="s">
        <v>5000</v>
      </c>
      <c r="D1295" s="65">
        <v>1</v>
      </c>
      <c r="E1295" s="65">
        <v>1</v>
      </c>
    </row>
    <row r="1296" spans="1:5">
      <c r="A1296" s="65">
        <v>142584</v>
      </c>
      <c r="B1296" s="66" t="s">
        <v>5001</v>
      </c>
      <c r="C1296" s="66" t="s">
        <v>5002</v>
      </c>
      <c r="D1296" s="65">
        <v>14</v>
      </c>
      <c r="E1296" s="65">
        <v>7</v>
      </c>
    </row>
    <row r="1297" spans="1:5">
      <c r="A1297" s="65">
        <v>142585</v>
      </c>
      <c r="B1297" s="66" t="s">
        <v>3601</v>
      </c>
      <c r="C1297" s="66" t="s">
        <v>5003</v>
      </c>
      <c r="D1297" s="65">
        <v>11</v>
      </c>
      <c r="E1297" s="65">
        <v>6</v>
      </c>
    </row>
    <row r="1298" spans="1:5">
      <c r="A1298" s="65">
        <v>142586</v>
      </c>
      <c r="B1298" s="66" t="s">
        <v>3597</v>
      </c>
      <c r="C1298" s="66" t="s">
        <v>5004</v>
      </c>
      <c r="D1298" s="65">
        <v>600</v>
      </c>
      <c r="E1298" s="65">
        <v>65</v>
      </c>
    </row>
    <row r="1299" spans="1:5">
      <c r="A1299" s="65">
        <v>142587</v>
      </c>
      <c r="B1299" s="66" t="s">
        <v>3597</v>
      </c>
      <c r="C1299" s="66" t="s">
        <v>5005</v>
      </c>
      <c r="D1299" s="65">
        <v>20</v>
      </c>
      <c r="E1299" s="65">
        <v>13</v>
      </c>
    </row>
    <row r="1300" spans="1:5">
      <c r="A1300" s="65">
        <v>142590</v>
      </c>
      <c r="B1300" s="66" t="s">
        <v>3593</v>
      </c>
      <c r="C1300" s="66" t="s">
        <v>5006</v>
      </c>
      <c r="D1300" s="65">
        <v>117</v>
      </c>
      <c r="E1300" s="65">
        <v>22</v>
      </c>
    </row>
    <row r="1301" spans="1:5">
      <c r="A1301" s="65">
        <v>142595</v>
      </c>
      <c r="B1301" s="66" t="s">
        <v>4416</v>
      </c>
      <c r="C1301" s="66" t="s">
        <v>5007</v>
      </c>
      <c r="D1301" s="65">
        <v>4</v>
      </c>
      <c r="E1301" s="65">
        <v>4</v>
      </c>
    </row>
    <row r="1302" spans="1:5">
      <c r="A1302" s="65">
        <v>142631</v>
      </c>
      <c r="B1302" s="66" t="s">
        <v>3639</v>
      </c>
      <c r="C1302" s="66" t="s">
        <v>5008</v>
      </c>
      <c r="D1302" s="65">
        <v>3</v>
      </c>
      <c r="E1302" s="65">
        <v>3</v>
      </c>
    </row>
    <row r="1303" spans="1:5">
      <c r="A1303" s="65">
        <v>142637</v>
      </c>
      <c r="B1303" s="66" t="s">
        <v>3792</v>
      </c>
      <c r="C1303" s="66" t="s">
        <v>5009</v>
      </c>
      <c r="D1303" s="65">
        <v>12</v>
      </c>
      <c r="E1303" s="65">
        <v>2</v>
      </c>
    </row>
    <row r="1304" spans="1:5">
      <c r="A1304" s="65">
        <v>142639</v>
      </c>
      <c r="B1304" s="66" t="s">
        <v>3597</v>
      </c>
      <c r="C1304" s="66" t="s">
        <v>5010</v>
      </c>
      <c r="D1304" s="65">
        <v>55</v>
      </c>
      <c r="E1304" s="65">
        <v>12</v>
      </c>
    </row>
    <row r="1305" spans="1:5">
      <c r="A1305" s="65">
        <v>142654</v>
      </c>
      <c r="B1305" s="66" t="s">
        <v>3593</v>
      </c>
      <c r="C1305" s="66" t="s">
        <v>5011</v>
      </c>
      <c r="D1305" s="65">
        <v>36</v>
      </c>
      <c r="E1305" s="65">
        <v>28</v>
      </c>
    </row>
    <row r="1306" spans="1:5">
      <c r="A1306" s="65">
        <v>142655</v>
      </c>
      <c r="B1306" s="66" t="s">
        <v>3616</v>
      </c>
      <c r="C1306" s="66" t="s">
        <v>5012</v>
      </c>
      <c r="D1306" s="65">
        <v>1146</v>
      </c>
      <c r="E1306" s="65">
        <v>134</v>
      </c>
    </row>
    <row r="1307" spans="1:5">
      <c r="A1307" s="65">
        <v>142656</v>
      </c>
      <c r="B1307" s="66" t="s">
        <v>3616</v>
      </c>
      <c r="C1307" s="66" t="s">
        <v>5013</v>
      </c>
      <c r="D1307" s="65">
        <v>29</v>
      </c>
      <c r="E1307" s="65">
        <v>26</v>
      </c>
    </row>
    <row r="1308" spans="1:5">
      <c r="A1308" s="65">
        <v>142657</v>
      </c>
      <c r="B1308" s="66" t="s">
        <v>3593</v>
      </c>
      <c r="C1308" s="66" t="s">
        <v>5014</v>
      </c>
      <c r="D1308" s="65">
        <v>6</v>
      </c>
      <c r="E1308" s="65">
        <v>6</v>
      </c>
    </row>
    <row r="1309" spans="1:5">
      <c r="A1309" s="65">
        <v>142658</v>
      </c>
      <c r="B1309" s="66" t="s">
        <v>3786</v>
      </c>
      <c r="C1309" s="66" t="s">
        <v>5015</v>
      </c>
      <c r="D1309" s="65">
        <v>188</v>
      </c>
      <c r="E1309" s="65">
        <v>10</v>
      </c>
    </row>
    <row r="1310" spans="1:5">
      <c r="A1310" s="65">
        <v>142701</v>
      </c>
      <c r="B1310" s="66" t="s">
        <v>3662</v>
      </c>
      <c r="C1310" s="66" t="s">
        <v>5016</v>
      </c>
      <c r="D1310" s="65">
        <v>2</v>
      </c>
      <c r="E1310" s="65">
        <v>2</v>
      </c>
    </row>
    <row r="1311" spans="1:5">
      <c r="A1311" s="65">
        <v>1428</v>
      </c>
      <c r="B1311" s="66" t="s">
        <v>3677</v>
      </c>
      <c r="C1311" s="66" t="s">
        <v>5017</v>
      </c>
      <c r="D1311" s="65">
        <v>49</v>
      </c>
      <c r="E1311" s="65">
        <v>12</v>
      </c>
    </row>
    <row r="1312" spans="1:5">
      <c r="A1312" s="65">
        <v>142809</v>
      </c>
      <c r="B1312" s="66" t="s">
        <v>3597</v>
      </c>
      <c r="C1312" s="66" t="s">
        <v>5018</v>
      </c>
      <c r="D1312" s="65">
        <v>1</v>
      </c>
      <c r="E1312" s="65">
        <v>1</v>
      </c>
    </row>
    <row r="1313" spans="1:5">
      <c r="A1313" s="65">
        <v>142820</v>
      </c>
      <c r="B1313" s="66" t="s">
        <v>3597</v>
      </c>
      <c r="C1313" s="66" t="s">
        <v>5019</v>
      </c>
      <c r="D1313" s="65">
        <v>1073</v>
      </c>
      <c r="E1313" s="65">
        <v>44</v>
      </c>
    </row>
    <row r="1314" spans="1:5">
      <c r="A1314" s="65">
        <v>142821</v>
      </c>
      <c r="B1314" s="66" t="s">
        <v>4138</v>
      </c>
      <c r="C1314" s="66" t="s">
        <v>5020</v>
      </c>
      <c r="D1314" s="65">
        <v>45</v>
      </c>
      <c r="E1314" s="65">
        <v>2</v>
      </c>
    </row>
    <row r="1315" spans="1:5">
      <c r="A1315" s="65">
        <v>142829</v>
      </c>
      <c r="B1315" s="66" t="s">
        <v>4191</v>
      </c>
      <c r="C1315" s="66" t="s">
        <v>5021</v>
      </c>
      <c r="D1315" s="65">
        <v>197</v>
      </c>
      <c r="E1315" s="65">
        <v>135</v>
      </c>
    </row>
    <row r="1316" spans="1:5">
      <c r="A1316" s="65">
        <v>142830</v>
      </c>
      <c r="B1316" s="66" t="s">
        <v>3639</v>
      </c>
      <c r="C1316" s="66" t="s">
        <v>5022</v>
      </c>
      <c r="D1316" s="65">
        <v>4</v>
      </c>
      <c r="E1316" s="65">
        <v>3</v>
      </c>
    </row>
    <row r="1317" spans="1:5">
      <c r="A1317" s="65">
        <v>142832</v>
      </c>
      <c r="B1317" s="66" t="s">
        <v>3649</v>
      </c>
      <c r="C1317" s="66" t="s">
        <v>5023</v>
      </c>
      <c r="D1317" s="65">
        <v>163</v>
      </c>
      <c r="E1317" s="65">
        <v>27</v>
      </c>
    </row>
    <row r="1318" spans="1:5">
      <c r="A1318" s="65">
        <v>143134</v>
      </c>
      <c r="B1318" s="66" t="s">
        <v>3601</v>
      </c>
      <c r="C1318" s="66" t="s">
        <v>5024</v>
      </c>
      <c r="D1318" s="65">
        <v>583</v>
      </c>
      <c r="E1318" s="65">
        <v>70</v>
      </c>
    </row>
    <row r="1319" spans="1:5">
      <c r="A1319" s="65">
        <v>143140</v>
      </c>
      <c r="B1319" s="66" t="s">
        <v>3593</v>
      </c>
      <c r="C1319" s="66" t="s">
        <v>5025</v>
      </c>
      <c r="D1319" s="65">
        <v>1</v>
      </c>
      <c r="E1319" s="65">
        <v>1</v>
      </c>
    </row>
    <row r="1320" spans="1:5">
      <c r="A1320" s="65">
        <v>143143</v>
      </c>
      <c r="B1320" s="66" t="s">
        <v>3593</v>
      </c>
      <c r="C1320" s="66" t="s">
        <v>5026</v>
      </c>
      <c r="D1320" s="65">
        <v>312</v>
      </c>
      <c r="E1320" s="65">
        <v>5</v>
      </c>
    </row>
    <row r="1321" spans="1:5">
      <c r="A1321" s="65">
        <v>143150</v>
      </c>
      <c r="B1321" s="66" t="s">
        <v>3677</v>
      </c>
      <c r="C1321" s="66" t="s">
        <v>5027</v>
      </c>
      <c r="D1321" s="65">
        <v>3</v>
      </c>
      <c r="E1321" s="65">
        <v>3</v>
      </c>
    </row>
    <row r="1322" spans="1:5">
      <c r="A1322" s="65">
        <v>1435</v>
      </c>
      <c r="B1322" s="66" t="s">
        <v>3599</v>
      </c>
      <c r="C1322" s="66" t="s">
        <v>5028</v>
      </c>
      <c r="D1322" s="65">
        <v>82</v>
      </c>
      <c r="E1322" s="65">
        <v>18</v>
      </c>
    </row>
    <row r="1323" spans="1:5">
      <c r="A1323" s="65">
        <v>143535</v>
      </c>
      <c r="B1323" s="66" t="s">
        <v>3772</v>
      </c>
      <c r="C1323" s="66" t="s">
        <v>5029</v>
      </c>
      <c r="D1323" s="65">
        <v>4</v>
      </c>
      <c r="E1323" s="65">
        <v>4</v>
      </c>
    </row>
    <row r="1324" spans="1:5">
      <c r="A1324" s="65">
        <v>143536</v>
      </c>
      <c r="B1324" s="66" t="s">
        <v>3612</v>
      </c>
      <c r="C1324" s="66" t="s">
        <v>5030</v>
      </c>
      <c r="D1324" s="65">
        <v>1</v>
      </c>
      <c r="E1324" s="65">
        <v>1</v>
      </c>
    </row>
    <row r="1325" spans="1:5">
      <c r="A1325" s="65">
        <v>143545</v>
      </c>
      <c r="B1325" s="66" t="s">
        <v>3876</v>
      </c>
      <c r="C1325" s="66" t="s">
        <v>5031</v>
      </c>
      <c r="D1325" s="65">
        <v>18</v>
      </c>
      <c r="E1325" s="65">
        <v>11</v>
      </c>
    </row>
    <row r="1326" spans="1:5">
      <c r="A1326" s="65">
        <v>143546</v>
      </c>
      <c r="B1326" s="66" t="s">
        <v>3731</v>
      </c>
      <c r="C1326" s="66" t="s">
        <v>5032</v>
      </c>
      <c r="D1326" s="65">
        <v>7</v>
      </c>
      <c r="E1326" s="65">
        <v>4</v>
      </c>
    </row>
    <row r="1327" spans="1:5">
      <c r="A1327" s="65">
        <v>143557</v>
      </c>
      <c r="B1327" s="66" t="s">
        <v>4253</v>
      </c>
      <c r="C1327" s="66" t="s">
        <v>5033</v>
      </c>
      <c r="D1327" s="65">
        <v>16</v>
      </c>
      <c r="E1327" s="65">
        <v>2</v>
      </c>
    </row>
    <row r="1328" spans="1:5">
      <c r="A1328" s="65">
        <v>143559</v>
      </c>
      <c r="B1328" s="66" t="s">
        <v>3593</v>
      </c>
      <c r="C1328" s="66" t="s">
        <v>5034</v>
      </c>
      <c r="D1328" s="65">
        <v>792</v>
      </c>
      <c r="E1328" s="65">
        <v>19</v>
      </c>
    </row>
    <row r="1329" spans="1:5">
      <c r="A1329" s="65">
        <v>143585</v>
      </c>
      <c r="B1329" s="66" t="s">
        <v>3593</v>
      </c>
      <c r="C1329" s="66" t="s">
        <v>5035</v>
      </c>
      <c r="D1329" s="65">
        <v>878</v>
      </c>
      <c r="E1329" s="65">
        <v>22</v>
      </c>
    </row>
    <row r="1330" spans="1:5">
      <c r="A1330" s="65">
        <v>143622</v>
      </c>
      <c r="B1330" s="66" t="s">
        <v>3625</v>
      </c>
      <c r="C1330" s="66" t="s">
        <v>5036</v>
      </c>
      <c r="D1330" s="65">
        <v>80</v>
      </c>
      <c r="E1330" s="65">
        <v>1</v>
      </c>
    </row>
    <row r="1331" spans="1:5">
      <c r="A1331" s="65">
        <v>1437</v>
      </c>
      <c r="B1331" s="66" t="s">
        <v>4175</v>
      </c>
      <c r="C1331" s="66" t="s">
        <v>5037</v>
      </c>
      <c r="D1331" s="65">
        <v>1000</v>
      </c>
      <c r="E1331" s="65">
        <v>1</v>
      </c>
    </row>
    <row r="1332" spans="1:5">
      <c r="A1332" s="65">
        <v>143722</v>
      </c>
      <c r="B1332" s="66" t="s">
        <v>3601</v>
      </c>
      <c r="C1332" s="66" t="s">
        <v>5038</v>
      </c>
      <c r="D1332" s="65">
        <v>9960</v>
      </c>
      <c r="E1332" s="65">
        <v>89</v>
      </c>
    </row>
    <row r="1333" spans="1:5">
      <c r="A1333" s="65">
        <v>143747</v>
      </c>
      <c r="B1333" s="66" t="s">
        <v>4979</v>
      </c>
      <c r="C1333" s="66" t="s">
        <v>5039</v>
      </c>
      <c r="D1333" s="65">
        <v>24050</v>
      </c>
      <c r="E1333" s="65">
        <v>263</v>
      </c>
    </row>
    <row r="1334" spans="1:5">
      <c r="A1334" s="65">
        <v>143762</v>
      </c>
      <c r="B1334" s="66" t="s">
        <v>3597</v>
      </c>
      <c r="C1334" s="66" t="s">
        <v>5040</v>
      </c>
      <c r="D1334" s="65">
        <v>155</v>
      </c>
      <c r="E1334" s="65">
        <v>68</v>
      </c>
    </row>
    <row r="1335" spans="1:5">
      <c r="A1335" s="65">
        <v>143801</v>
      </c>
      <c r="B1335" s="66" t="s">
        <v>3667</v>
      </c>
      <c r="C1335" s="66" t="s">
        <v>5041</v>
      </c>
      <c r="D1335" s="65">
        <v>33</v>
      </c>
      <c r="E1335" s="65">
        <v>5</v>
      </c>
    </row>
    <row r="1336" spans="1:5">
      <c r="A1336" s="65">
        <v>143811</v>
      </c>
      <c r="B1336" s="66" t="s">
        <v>3597</v>
      </c>
      <c r="C1336" s="66" t="s">
        <v>5042</v>
      </c>
      <c r="D1336" s="65">
        <v>16930</v>
      </c>
      <c r="E1336" s="65">
        <v>803</v>
      </c>
    </row>
    <row r="1337" spans="1:5">
      <c r="A1337" s="65">
        <v>143812</v>
      </c>
      <c r="B1337" s="66" t="s">
        <v>3597</v>
      </c>
      <c r="C1337" s="66" t="s">
        <v>5043</v>
      </c>
      <c r="D1337" s="65">
        <v>2663</v>
      </c>
      <c r="E1337" s="65">
        <v>92</v>
      </c>
    </row>
    <row r="1338" spans="1:5">
      <c r="A1338" s="65">
        <v>143835</v>
      </c>
      <c r="B1338" s="66" t="s">
        <v>3597</v>
      </c>
      <c r="C1338" s="66" t="s">
        <v>5044</v>
      </c>
      <c r="D1338" s="65">
        <v>1163</v>
      </c>
      <c r="E1338" s="65">
        <v>371</v>
      </c>
    </row>
    <row r="1339" spans="1:5">
      <c r="A1339" s="65">
        <v>143990</v>
      </c>
      <c r="B1339" s="66" t="s">
        <v>3620</v>
      </c>
      <c r="C1339" s="66" t="s">
        <v>5045</v>
      </c>
      <c r="D1339" s="65">
        <v>350</v>
      </c>
      <c r="E1339" s="65">
        <v>3</v>
      </c>
    </row>
    <row r="1340" spans="1:5">
      <c r="A1340" s="65">
        <v>144</v>
      </c>
      <c r="B1340" s="66" t="s">
        <v>3876</v>
      </c>
      <c r="C1340" s="66" t="s">
        <v>5046</v>
      </c>
      <c r="D1340" s="65">
        <v>2</v>
      </c>
      <c r="E1340" s="65">
        <v>1</v>
      </c>
    </row>
    <row r="1341" spans="1:5">
      <c r="A1341" s="65">
        <v>1440</v>
      </c>
      <c r="B1341" s="66" t="s">
        <v>3625</v>
      </c>
      <c r="C1341" s="66" t="s">
        <v>5047</v>
      </c>
      <c r="D1341" s="65">
        <v>4</v>
      </c>
      <c r="E1341" s="65">
        <v>1</v>
      </c>
    </row>
    <row r="1342" spans="1:5">
      <c r="A1342" s="65">
        <v>144144</v>
      </c>
      <c r="B1342" s="66" t="s">
        <v>3620</v>
      </c>
      <c r="C1342" s="66" t="s">
        <v>5048</v>
      </c>
      <c r="D1342" s="65">
        <v>130</v>
      </c>
      <c r="E1342" s="65">
        <v>12</v>
      </c>
    </row>
    <row r="1343" spans="1:5">
      <c r="A1343" s="65">
        <v>144203</v>
      </c>
      <c r="B1343" s="66" t="s">
        <v>3894</v>
      </c>
      <c r="C1343" s="66" t="s">
        <v>5049</v>
      </c>
      <c r="D1343" s="65">
        <v>6</v>
      </c>
      <c r="E1343" s="65">
        <v>1</v>
      </c>
    </row>
    <row r="1344" spans="1:5">
      <c r="A1344" s="65">
        <v>144223</v>
      </c>
      <c r="B1344" s="66" t="s">
        <v>3777</v>
      </c>
      <c r="C1344" s="66" t="s">
        <v>5050</v>
      </c>
      <c r="D1344" s="65">
        <v>20</v>
      </c>
      <c r="E1344" s="65">
        <v>2</v>
      </c>
    </row>
    <row r="1345" spans="1:5">
      <c r="A1345" s="65">
        <v>144224</v>
      </c>
      <c r="B1345" s="66" t="s">
        <v>3731</v>
      </c>
      <c r="C1345" s="66" t="s">
        <v>5051</v>
      </c>
      <c r="D1345" s="65">
        <v>160</v>
      </c>
      <c r="E1345" s="65">
        <v>10</v>
      </c>
    </row>
    <row r="1346" spans="1:5">
      <c r="A1346" s="65">
        <v>144225</v>
      </c>
      <c r="B1346" s="66" t="s">
        <v>3597</v>
      </c>
      <c r="C1346" s="66" t="s">
        <v>5052</v>
      </c>
      <c r="D1346" s="65">
        <v>350</v>
      </c>
      <c r="E1346" s="65">
        <v>21</v>
      </c>
    </row>
    <row r="1347" spans="1:5">
      <c r="A1347" s="65">
        <v>144227</v>
      </c>
      <c r="B1347" s="66" t="s">
        <v>3593</v>
      </c>
      <c r="C1347" s="66" t="s">
        <v>5053</v>
      </c>
      <c r="D1347" s="65">
        <v>80</v>
      </c>
      <c r="E1347" s="65">
        <v>5</v>
      </c>
    </row>
    <row r="1348" spans="1:5">
      <c r="A1348" s="65">
        <v>144248</v>
      </c>
      <c r="B1348" s="66" t="s">
        <v>3601</v>
      </c>
      <c r="C1348" s="66" t="s">
        <v>5054</v>
      </c>
      <c r="D1348" s="65">
        <v>124</v>
      </c>
      <c r="E1348" s="65">
        <v>10</v>
      </c>
    </row>
    <row r="1349" spans="1:5">
      <c r="A1349" s="65">
        <v>144249</v>
      </c>
      <c r="B1349" s="66" t="s">
        <v>4197</v>
      </c>
      <c r="C1349" s="66" t="s">
        <v>5055</v>
      </c>
      <c r="D1349" s="65">
        <v>63</v>
      </c>
      <c r="E1349" s="65">
        <v>7</v>
      </c>
    </row>
    <row r="1350" spans="1:5">
      <c r="A1350" s="65">
        <v>144252</v>
      </c>
      <c r="B1350" s="66" t="s">
        <v>3593</v>
      </c>
      <c r="C1350" s="66" t="s">
        <v>5056</v>
      </c>
      <c r="D1350" s="65">
        <v>609</v>
      </c>
      <c r="E1350" s="65">
        <v>78</v>
      </c>
    </row>
    <row r="1351" spans="1:5">
      <c r="A1351" s="65">
        <v>144255</v>
      </c>
      <c r="B1351" s="66" t="s">
        <v>4293</v>
      </c>
      <c r="C1351" s="66" t="s">
        <v>5057</v>
      </c>
      <c r="D1351" s="65">
        <v>10</v>
      </c>
      <c r="E1351" s="65">
        <v>1</v>
      </c>
    </row>
    <row r="1352" spans="1:5">
      <c r="A1352" s="65">
        <v>144256</v>
      </c>
      <c r="B1352" s="66" t="s">
        <v>3804</v>
      </c>
      <c r="C1352" s="66" t="s">
        <v>5058</v>
      </c>
      <c r="D1352" s="65">
        <v>26</v>
      </c>
      <c r="E1352" s="65">
        <v>3</v>
      </c>
    </row>
    <row r="1353" spans="1:5">
      <c r="A1353" s="65">
        <v>14427</v>
      </c>
      <c r="B1353" s="66" t="s">
        <v>3593</v>
      </c>
      <c r="C1353" s="66" t="s">
        <v>5059</v>
      </c>
      <c r="D1353" s="65">
        <v>12</v>
      </c>
      <c r="E1353" s="65">
        <v>8</v>
      </c>
    </row>
    <row r="1354" spans="1:5">
      <c r="A1354" s="65">
        <v>144284</v>
      </c>
      <c r="B1354" s="66" t="s">
        <v>3625</v>
      </c>
      <c r="C1354" s="66" t="s">
        <v>5060</v>
      </c>
      <c r="D1354" s="65">
        <v>168</v>
      </c>
      <c r="E1354" s="65">
        <v>1</v>
      </c>
    </row>
    <row r="1355" spans="1:5">
      <c r="A1355" s="65">
        <v>14454</v>
      </c>
      <c r="B1355" s="66" t="s">
        <v>3639</v>
      </c>
      <c r="C1355" s="66" t="s">
        <v>5061</v>
      </c>
      <c r="D1355" s="65">
        <v>166</v>
      </c>
      <c r="E1355" s="65">
        <v>20</v>
      </c>
    </row>
    <row r="1356" spans="1:5">
      <c r="A1356" s="65">
        <v>14485</v>
      </c>
      <c r="B1356" s="66" t="s">
        <v>3616</v>
      </c>
      <c r="C1356" s="66" t="s">
        <v>5062</v>
      </c>
      <c r="D1356" s="65">
        <v>95</v>
      </c>
      <c r="E1356" s="65">
        <v>25</v>
      </c>
    </row>
    <row r="1357" spans="1:5">
      <c r="A1357" s="65">
        <v>1449</v>
      </c>
      <c r="B1357" s="66" t="s">
        <v>3593</v>
      </c>
      <c r="C1357" s="66" t="s">
        <v>5063</v>
      </c>
      <c r="D1357" s="65">
        <v>118</v>
      </c>
      <c r="E1357" s="65">
        <v>19</v>
      </c>
    </row>
    <row r="1358" spans="1:5">
      <c r="A1358" s="65">
        <v>14492</v>
      </c>
      <c r="B1358" s="66" t="s">
        <v>3597</v>
      </c>
      <c r="C1358" s="66" t="s">
        <v>5064</v>
      </c>
      <c r="D1358" s="65">
        <v>138</v>
      </c>
      <c r="E1358" s="65">
        <v>40</v>
      </c>
    </row>
    <row r="1359" spans="1:5">
      <c r="A1359" s="65">
        <v>1450</v>
      </c>
      <c r="B1359" s="66" t="s">
        <v>4979</v>
      </c>
      <c r="C1359" s="66" t="s">
        <v>5065</v>
      </c>
      <c r="D1359" s="65">
        <v>24</v>
      </c>
      <c r="E1359" s="65">
        <v>11</v>
      </c>
    </row>
    <row r="1360" spans="1:5">
      <c r="A1360" s="65">
        <v>14500</v>
      </c>
      <c r="B1360" s="66" t="s">
        <v>3786</v>
      </c>
      <c r="C1360" s="66" t="s">
        <v>5066</v>
      </c>
      <c r="D1360" s="65">
        <v>45</v>
      </c>
      <c r="E1360" s="65">
        <v>6</v>
      </c>
    </row>
    <row r="1361" spans="1:5">
      <c r="A1361" s="65">
        <v>1452</v>
      </c>
      <c r="B1361" s="66" t="s">
        <v>3792</v>
      </c>
      <c r="C1361" s="66" t="s">
        <v>5067</v>
      </c>
      <c r="D1361" s="65">
        <v>62</v>
      </c>
      <c r="E1361" s="65">
        <v>8</v>
      </c>
    </row>
    <row r="1362" spans="1:5">
      <c r="A1362" s="65">
        <v>1453</v>
      </c>
      <c r="B1362" s="66" t="s">
        <v>3804</v>
      </c>
      <c r="C1362" s="66" t="s">
        <v>5068</v>
      </c>
      <c r="D1362" s="65">
        <v>5</v>
      </c>
      <c r="E1362" s="65">
        <v>5</v>
      </c>
    </row>
    <row r="1363" spans="1:5">
      <c r="A1363" s="65">
        <v>1454</v>
      </c>
      <c r="B1363" s="66" t="s">
        <v>3593</v>
      </c>
      <c r="C1363" s="66" t="s">
        <v>5069</v>
      </c>
      <c r="D1363" s="65">
        <v>108</v>
      </c>
      <c r="E1363" s="65">
        <v>36</v>
      </c>
    </row>
    <row r="1364" spans="1:5">
      <c r="A1364" s="65">
        <v>1459</v>
      </c>
      <c r="B1364" s="66" t="s">
        <v>3616</v>
      </c>
      <c r="C1364" s="66" t="s">
        <v>5070</v>
      </c>
      <c r="D1364" s="65">
        <v>3946</v>
      </c>
      <c r="E1364" s="65">
        <v>355</v>
      </c>
    </row>
    <row r="1365" spans="1:5">
      <c r="A1365" s="65">
        <v>1461</v>
      </c>
      <c r="B1365" s="66" t="s">
        <v>3625</v>
      </c>
      <c r="C1365" s="66" t="s">
        <v>5071</v>
      </c>
      <c r="D1365" s="65">
        <v>3</v>
      </c>
      <c r="E1365" s="65">
        <v>1</v>
      </c>
    </row>
    <row r="1366" spans="1:5">
      <c r="A1366" s="65">
        <v>14639</v>
      </c>
      <c r="B1366" s="66" t="s">
        <v>3777</v>
      </c>
      <c r="C1366" s="66" t="s">
        <v>5072</v>
      </c>
      <c r="D1366" s="65">
        <v>5</v>
      </c>
      <c r="E1366" s="65">
        <v>1</v>
      </c>
    </row>
    <row r="1367" spans="1:5">
      <c r="A1367" s="65">
        <v>147</v>
      </c>
      <c r="B1367" s="66" t="s">
        <v>3593</v>
      </c>
      <c r="C1367" s="66" t="s">
        <v>5073</v>
      </c>
      <c r="D1367" s="65">
        <v>74</v>
      </c>
      <c r="E1367" s="65">
        <v>7</v>
      </c>
    </row>
    <row r="1368" spans="1:5">
      <c r="A1368" s="65">
        <v>1470</v>
      </c>
      <c r="B1368" s="66" t="s">
        <v>3597</v>
      </c>
      <c r="C1368" s="66" t="s">
        <v>5074</v>
      </c>
      <c r="D1368" s="65">
        <v>145</v>
      </c>
      <c r="E1368" s="65">
        <v>6</v>
      </c>
    </row>
    <row r="1369" spans="1:5">
      <c r="A1369" s="65">
        <v>1471</v>
      </c>
      <c r="B1369" s="66" t="s">
        <v>3597</v>
      </c>
      <c r="C1369" s="66" t="s">
        <v>5075</v>
      </c>
      <c r="D1369" s="65">
        <v>50</v>
      </c>
      <c r="E1369" s="65">
        <v>22</v>
      </c>
    </row>
    <row r="1370" spans="1:5">
      <c r="A1370" s="65">
        <v>14731</v>
      </c>
      <c r="B1370" s="66" t="s">
        <v>3625</v>
      </c>
      <c r="C1370" s="66" t="s">
        <v>5076</v>
      </c>
      <c r="D1370" s="65">
        <v>15</v>
      </c>
      <c r="E1370" s="65">
        <v>4</v>
      </c>
    </row>
    <row r="1371" spans="1:5">
      <c r="A1371" s="65">
        <v>14732</v>
      </c>
      <c r="B1371" s="66" t="s">
        <v>3786</v>
      </c>
      <c r="C1371" s="66" t="s">
        <v>5077</v>
      </c>
      <c r="D1371" s="65">
        <v>161</v>
      </c>
      <c r="E1371" s="65">
        <v>12</v>
      </c>
    </row>
    <row r="1372" spans="1:5">
      <c r="A1372" s="65">
        <v>1477</v>
      </c>
      <c r="B1372" s="66" t="s">
        <v>5078</v>
      </c>
      <c r="C1372" s="66" t="s">
        <v>5079</v>
      </c>
      <c r="D1372" s="65">
        <v>14</v>
      </c>
      <c r="E1372" s="65">
        <v>2</v>
      </c>
    </row>
    <row r="1373" spans="1:5">
      <c r="A1373" s="65">
        <v>14773</v>
      </c>
      <c r="B1373" s="66" t="s">
        <v>3599</v>
      </c>
      <c r="C1373" s="66" t="s">
        <v>5080</v>
      </c>
      <c r="D1373" s="65">
        <v>501</v>
      </c>
      <c r="E1373" s="65">
        <v>23</v>
      </c>
    </row>
    <row r="1374" spans="1:5">
      <c r="A1374" s="65">
        <v>1479</v>
      </c>
      <c r="B1374" s="66" t="s">
        <v>3601</v>
      </c>
      <c r="C1374" s="66" t="s">
        <v>5081</v>
      </c>
      <c r="D1374" s="65">
        <v>22</v>
      </c>
      <c r="E1374" s="65">
        <v>18</v>
      </c>
    </row>
    <row r="1375" spans="1:5">
      <c r="A1375" s="65">
        <v>1484</v>
      </c>
      <c r="B1375" s="66" t="s">
        <v>3677</v>
      </c>
      <c r="C1375" s="66" t="s">
        <v>5082</v>
      </c>
      <c r="D1375" s="65">
        <v>97</v>
      </c>
      <c r="E1375" s="65">
        <v>14</v>
      </c>
    </row>
    <row r="1376" spans="1:5">
      <c r="A1376" s="65">
        <v>1494</v>
      </c>
      <c r="B1376" s="66" t="s">
        <v>4191</v>
      </c>
      <c r="C1376" s="66" t="s">
        <v>5083</v>
      </c>
      <c r="D1376" s="65">
        <v>19</v>
      </c>
      <c r="E1376" s="65">
        <v>9</v>
      </c>
    </row>
    <row r="1377" spans="1:5">
      <c r="A1377" s="65">
        <v>1495</v>
      </c>
      <c r="B1377" s="66" t="s">
        <v>3646</v>
      </c>
      <c r="C1377" s="66" t="s">
        <v>5084</v>
      </c>
      <c r="D1377" s="65">
        <v>20</v>
      </c>
      <c r="E1377" s="65">
        <v>7</v>
      </c>
    </row>
    <row r="1378" spans="1:5">
      <c r="A1378" s="65">
        <v>14968</v>
      </c>
      <c r="B1378" s="66" t="s">
        <v>5085</v>
      </c>
      <c r="C1378" s="66" t="s">
        <v>5086</v>
      </c>
      <c r="D1378" s="65">
        <v>3</v>
      </c>
      <c r="E1378" s="65">
        <v>2</v>
      </c>
    </row>
    <row r="1379" spans="1:5">
      <c r="A1379" s="65">
        <v>1498</v>
      </c>
      <c r="B1379" s="66" t="s">
        <v>3620</v>
      </c>
      <c r="C1379" s="66" t="s">
        <v>5087</v>
      </c>
      <c r="D1379" s="65">
        <v>48</v>
      </c>
      <c r="E1379" s="65">
        <v>21</v>
      </c>
    </row>
    <row r="1380" spans="1:5">
      <c r="A1380" s="65">
        <v>14995</v>
      </c>
      <c r="B1380" s="66" t="s">
        <v>3667</v>
      </c>
      <c r="C1380" s="66" t="s">
        <v>5088</v>
      </c>
      <c r="D1380" s="65">
        <v>26</v>
      </c>
      <c r="E1380" s="65">
        <v>12</v>
      </c>
    </row>
    <row r="1381" spans="1:5">
      <c r="A1381" s="65">
        <v>14999</v>
      </c>
      <c r="B1381" s="66" t="s">
        <v>3643</v>
      </c>
      <c r="C1381" s="66" t="s">
        <v>5089</v>
      </c>
      <c r="D1381" s="65">
        <v>2</v>
      </c>
      <c r="E1381" s="65">
        <v>2</v>
      </c>
    </row>
    <row r="1382" spans="1:5">
      <c r="A1382" s="65">
        <v>150</v>
      </c>
      <c r="B1382" s="66" t="s">
        <v>3783</v>
      </c>
      <c r="C1382" s="66" t="s">
        <v>5090</v>
      </c>
      <c r="D1382" s="65">
        <v>14</v>
      </c>
      <c r="E1382" s="65">
        <v>7</v>
      </c>
    </row>
    <row r="1383" spans="1:5">
      <c r="A1383" s="65">
        <v>15001</v>
      </c>
      <c r="B1383" s="66" t="s">
        <v>4819</v>
      </c>
      <c r="C1383" s="66" t="s">
        <v>5091</v>
      </c>
      <c r="D1383" s="65">
        <v>2</v>
      </c>
      <c r="E1383" s="65">
        <v>2</v>
      </c>
    </row>
    <row r="1384" spans="1:5">
      <c r="A1384" s="65">
        <v>15071</v>
      </c>
      <c r="B1384" s="66" t="s">
        <v>3783</v>
      </c>
      <c r="C1384" s="66" t="s">
        <v>5092</v>
      </c>
      <c r="D1384" s="65">
        <v>35</v>
      </c>
      <c r="E1384" s="65">
        <v>8</v>
      </c>
    </row>
    <row r="1385" spans="1:5">
      <c r="A1385" s="65">
        <v>15090</v>
      </c>
      <c r="B1385" s="66" t="s">
        <v>3649</v>
      </c>
      <c r="C1385" s="66" t="s">
        <v>5093</v>
      </c>
      <c r="D1385" s="65">
        <v>9</v>
      </c>
      <c r="E1385" s="65">
        <v>5</v>
      </c>
    </row>
    <row r="1386" spans="1:5">
      <c r="A1386" s="65">
        <v>1510</v>
      </c>
      <c r="B1386" s="66" t="s">
        <v>3667</v>
      </c>
      <c r="C1386" s="66" t="s">
        <v>5094</v>
      </c>
      <c r="D1386" s="65">
        <v>23</v>
      </c>
      <c r="E1386" s="65">
        <v>12</v>
      </c>
    </row>
    <row r="1387" spans="1:5">
      <c r="A1387" s="65">
        <v>1512</v>
      </c>
      <c r="B1387" s="66" t="s">
        <v>3783</v>
      </c>
      <c r="C1387" s="66" t="s">
        <v>5095</v>
      </c>
      <c r="D1387" s="65">
        <v>48</v>
      </c>
      <c r="E1387" s="65">
        <v>20</v>
      </c>
    </row>
    <row r="1388" spans="1:5">
      <c r="A1388" s="65">
        <v>152</v>
      </c>
      <c r="B1388" s="66" t="s">
        <v>3677</v>
      </c>
      <c r="C1388" s="66" t="s">
        <v>5096</v>
      </c>
      <c r="D1388" s="65">
        <v>4</v>
      </c>
      <c r="E1388" s="65">
        <v>3</v>
      </c>
    </row>
    <row r="1389" spans="1:5">
      <c r="A1389" s="65">
        <v>1523</v>
      </c>
      <c r="B1389" s="66" t="s">
        <v>3649</v>
      </c>
      <c r="C1389" s="66" t="s">
        <v>5097</v>
      </c>
      <c r="D1389" s="65">
        <v>24</v>
      </c>
      <c r="E1389" s="65">
        <v>23</v>
      </c>
    </row>
    <row r="1390" spans="1:5">
      <c r="A1390" s="65">
        <v>15304</v>
      </c>
      <c r="B1390" s="66" t="s">
        <v>3616</v>
      </c>
      <c r="C1390" s="66" t="s">
        <v>5098</v>
      </c>
      <c r="D1390" s="65">
        <v>299</v>
      </c>
      <c r="E1390" s="65">
        <v>68</v>
      </c>
    </row>
    <row r="1391" spans="1:5">
      <c r="A1391" s="65">
        <v>1534</v>
      </c>
      <c r="B1391" s="66" t="s">
        <v>3616</v>
      </c>
      <c r="C1391" s="66" t="s">
        <v>5099</v>
      </c>
      <c r="D1391" s="65">
        <v>202</v>
      </c>
      <c r="E1391" s="65">
        <v>18</v>
      </c>
    </row>
    <row r="1392" spans="1:5">
      <c r="A1392" s="65">
        <v>15389</v>
      </c>
      <c r="B1392" s="66" t="s">
        <v>3804</v>
      </c>
      <c r="C1392" s="66" t="s">
        <v>5100</v>
      </c>
      <c r="D1392" s="65">
        <v>200</v>
      </c>
      <c r="E1392" s="65">
        <v>5</v>
      </c>
    </row>
    <row r="1393" spans="1:5">
      <c r="A1393" s="65">
        <v>1539</v>
      </c>
      <c r="B1393" s="66" t="s">
        <v>3639</v>
      </c>
      <c r="C1393" s="66" t="s">
        <v>5101</v>
      </c>
      <c r="D1393" s="65">
        <v>14</v>
      </c>
      <c r="E1393" s="65">
        <v>9</v>
      </c>
    </row>
    <row r="1394" spans="1:5">
      <c r="A1394" s="65">
        <v>154</v>
      </c>
      <c r="B1394" s="66" t="s">
        <v>3593</v>
      </c>
      <c r="C1394" s="66" t="s">
        <v>5102</v>
      </c>
      <c r="D1394" s="65">
        <v>350</v>
      </c>
      <c r="E1394" s="65">
        <v>4</v>
      </c>
    </row>
    <row r="1395" spans="1:5">
      <c r="A1395" s="65">
        <v>15450</v>
      </c>
      <c r="B1395" s="66" t="s">
        <v>3593</v>
      </c>
      <c r="C1395" s="66" t="s">
        <v>5103</v>
      </c>
      <c r="D1395" s="65">
        <v>480</v>
      </c>
      <c r="E1395" s="65">
        <v>33</v>
      </c>
    </row>
    <row r="1396" spans="1:5">
      <c r="A1396" s="65">
        <v>15570</v>
      </c>
      <c r="B1396" s="66" t="s">
        <v>3597</v>
      </c>
      <c r="C1396" s="66" t="s">
        <v>5104</v>
      </c>
      <c r="D1396" s="65">
        <v>12</v>
      </c>
      <c r="E1396" s="65">
        <v>9</v>
      </c>
    </row>
    <row r="1397" spans="1:5">
      <c r="A1397" s="65">
        <v>155717</v>
      </c>
      <c r="B1397" s="66" t="s">
        <v>3677</v>
      </c>
      <c r="C1397" s="66" t="s">
        <v>5105</v>
      </c>
      <c r="D1397" s="65">
        <v>6</v>
      </c>
      <c r="E1397" s="65">
        <v>4</v>
      </c>
    </row>
    <row r="1398" spans="1:5">
      <c r="A1398" s="65">
        <v>155718</v>
      </c>
      <c r="B1398" s="66" t="s">
        <v>3601</v>
      </c>
      <c r="C1398" s="66" t="s">
        <v>5106</v>
      </c>
      <c r="D1398" s="65">
        <v>739</v>
      </c>
      <c r="E1398" s="65">
        <v>81</v>
      </c>
    </row>
    <row r="1399" spans="1:5">
      <c r="A1399" s="65">
        <v>155719</v>
      </c>
      <c r="B1399" s="66" t="s">
        <v>3900</v>
      </c>
      <c r="C1399" s="66" t="s">
        <v>5107</v>
      </c>
      <c r="D1399" s="65">
        <v>12</v>
      </c>
      <c r="E1399" s="65">
        <v>8</v>
      </c>
    </row>
    <row r="1400" spans="1:5">
      <c r="A1400" s="65">
        <v>155721</v>
      </c>
      <c r="B1400" s="66" t="s">
        <v>4237</v>
      </c>
      <c r="C1400" s="66" t="s">
        <v>5108</v>
      </c>
      <c r="D1400" s="65">
        <v>7</v>
      </c>
      <c r="E1400" s="65">
        <v>2</v>
      </c>
    </row>
    <row r="1401" spans="1:5">
      <c r="A1401" s="65">
        <v>155722</v>
      </c>
      <c r="B1401" s="66" t="s">
        <v>3775</v>
      </c>
      <c r="C1401" s="66" t="s">
        <v>5109</v>
      </c>
      <c r="D1401" s="65">
        <v>43</v>
      </c>
      <c r="E1401" s="65">
        <v>24</v>
      </c>
    </row>
    <row r="1402" spans="1:5">
      <c r="A1402" s="65">
        <v>155723</v>
      </c>
      <c r="B1402" s="66" t="s">
        <v>3606</v>
      </c>
      <c r="C1402" s="66" t="s">
        <v>5110</v>
      </c>
      <c r="D1402" s="65">
        <v>18</v>
      </c>
      <c r="E1402" s="65">
        <v>13</v>
      </c>
    </row>
    <row r="1403" spans="1:5">
      <c r="A1403" s="65">
        <v>155724</v>
      </c>
      <c r="B1403" s="66" t="s">
        <v>3775</v>
      </c>
      <c r="C1403" s="66" t="s">
        <v>5111</v>
      </c>
      <c r="D1403" s="65">
        <v>5</v>
      </c>
      <c r="E1403" s="65">
        <v>5</v>
      </c>
    </row>
    <row r="1404" spans="1:5">
      <c r="A1404" s="65">
        <v>155727</v>
      </c>
      <c r="B1404" s="66" t="s">
        <v>3606</v>
      </c>
      <c r="C1404" s="66" t="s">
        <v>5112</v>
      </c>
      <c r="D1404" s="65">
        <v>27</v>
      </c>
      <c r="E1404" s="65">
        <v>13</v>
      </c>
    </row>
    <row r="1405" spans="1:5">
      <c r="A1405" s="65">
        <v>155746</v>
      </c>
      <c r="B1405" s="66" t="s">
        <v>3597</v>
      </c>
      <c r="C1405" s="66" t="s">
        <v>5113</v>
      </c>
      <c r="D1405" s="65">
        <v>1977</v>
      </c>
      <c r="E1405" s="65">
        <v>126</v>
      </c>
    </row>
    <row r="1406" spans="1:5">
      <c r="A1406" s="65">
        <v>155751</v>
      </c>
      <c r="B1406" s="66" t="s">
        <v>3616</v>
      </c>
      <c r="C1406" s="66" t="s">
        <v>5114</v>
      </c>
      <c r="D1406" s="65">
        <v>3283</v>
      </c>
      <c r="E1406" s="65">
        <v>261</v>
      </c>
    </row>
    <row r="1407" spans="1:5">
      <c r="A1407" s="65">
        <v>155824</v>
      </c>
      <c r="B1407" s="66" t="s">
        <v>3593</v>
      </c>
      <c r="C1407" s="66" t="s">
        <v>5115</v>
      </c>
      <c r="D1407" s="65">
        <v>3</v>
      </c>
      <c r="E1407" s="65">
        <v>3</v>
      </c>
    </row>
    <row r="1408" spans="1:5">
      <c r="A1408" s="65">
        <v>155826</v>
      </c>
      <c r="B1408" s="66" t="s">
        <v>3625</v>
      </c>
      <c r="C1408" s="66" t="s">
        <v>5116</v>
      </c>
      <c r="D1408" s="65">
        <v>105</v>
      </c>
      <c r="E1408" s="65">
        <v>5</v>
      </c>
    </row>
    <row r="1409" spans="1:5">
      <c r="A1409" s="65">
        <v>155827</v>
      </c>
      <c r="B1409" s="66" t="s">
        <v>3646</v>
      </c>
      <c r="C1409" s="66" t="s">
        <v>5117</v>
      </c>
      <c r="D1409" s="65">
        <v>1</v>
      </c>
      <c r="E1409" s="65">
        <v>1</v>
      </c>
    </row>
    <row r="1410" spans="1:5">
      <c r="A1410" s="65">
        <v>155828</v>
      </c>
      <c r="B1410" s="66" t="s">
        <v>3894</v>
      </c>
      <c r="C1410" s="66" t="s">
        <v>5118</v>
      </c>
      <c r="D1410" s="65">
        <v>420</v>
      </c>
      <c r="E1410" s="65">
        <v>5</v>
      </c>
    </row>
    <row r="1411" spans="1:5">
      <c r="A1411" s="65">
        <v>155832</v>
      </c>
      <c r="B1411" s="66" t="s">
        <v>3649</v>
      </c>
      <c r="C1411" s="66" t="s">
        <v>5119</v>
      </c>
      <c r="D1411" s="65">
        <v>16</v>
      </c>
      <c r="E1411" s="65">
        <v>5</v>
      </c>
    </row>
    <row r="1412" spans="1:5">
      <c r="A1412" s="65">
        <v>155833</v>
      </c>
      <c r="B1412" s="66" t="s">
        <v>3599</v>
      </c>
      <c r="C1412" s="66" t="s">
        <v>5120</v>
      </c>
      <c r="D1412" s="65">
        <v>1</v>
      </c>
      <c r="E1412" s="65">
        <v>1</v>
      </c>
    </row>
    <row r="1413" spans="1:5">
      <c r="A1413" s="65">
        <v>155878</v>
      </c>
      <c r="B1413" s="66" t="s">
        <v>3639</v>
      </c>
      <c r="C1413" s="66" t="s">
        <v>5121</v>
      </c>
      <c r="D1413" s="65">
        <v>250</v>
      </c>
      <c r="E1413" s="65">
        <v>17</v>
      </c>
    </row>
    <row r="1414" spans="1:5">
      <c r="A1414" s="65">
        <v>155881</v>
      </c>
      <c r="B1414" s="66" t="s">
        <v>3606</v>
      </c>
      <c r="C1414" s="66" t="s">
        <v>5122</v>
      </c>
      <c r="D1414" s="65">
        <v>25</v>
      </c>
      <c r="E1414" s="65">
        <v>13</v>
      </c>
    </row>
    <row r="1415" spans="1:5">
      <c r="A1415" s="65">
        <v>155883</v>
      </c>
      <c r="B1415" s="66" t="s">
        <v>3601</v>
      </c>
      <c r="C1415" s="66" t="s">
        <v>5123</v>
      </c>
      <c r="D1415" s="65">
        <v>873</v>
      </c>
      <c r="E1415" s="65">
        <v>45</v>
      </c>
    </row>
    <row r="1416" spans="1:5">
      <c r="A1416" s="65">
        <v>155888</v>
      </c>
      <c r="B1416" s="66" t="s">
        <v>3593</v>
      </c>
      <c r="C1416" s="66" t="s">
        <v>5124</v>
      </c>
      <c r="D1416" s="65">
        <v>447</v>
      </c>
      <c r="E1416" s="65">
        <v>65</v>
      </c>
    </row>
    <row r="1417" spans="1:5">
      <c r="A1417" s="65">
        <v>155889</v>
      </c>
      <c r="B1417" s="66" t="s">
        <v>3614</v>
      </c>
      <c r="C1417" s="66" t="s">
        <v>5125</v>
      </c>
      <c r="D1417" s="65">
        <v>48</v>
      </c>
      <c r="E1417" s="65">
        <v>3</v>
      </c>
    </row>
    <row r="1418" spans="1:5">
      <c r="A1418" s="65">
        <v>155908</v>
      </c>
      <c r="B1418" s="66" t="s">
        <v>3593</v>
      </c>
      <c r="C1418" s="66" t="s">
        <v>5126</v>
      </c>
      <c r="D1418" s="65">
        <v>8</v>
      </c>
      <c r="E1418" s="65">
        <v>3</v>
      </c>
    </row>
    <row r="1419" spans="1:5">
      <c r="A1419" s="65">
        <v>155913</v>
      </c>
      <c r="B1419" s="66" t="s">
        <v>4610</v>
      </c>
      <c r="C1419" s="66" t="s">
        <v>5127</v>
      </c>
      <c r="D1419" s="65">
        <v>35</v>
      </c>
      <c r="E1419" s="65">
        <v>3</v>
      </c>
    </row>
    <row r="1420" spans="1:5">
      <c r="A1420" s="65">
        <v>155942</v>
      </c>
      <c r="B1420" s="66" t="s">
        <v>3697</v>
      </c>
      <c r="C1420" s="66" t="s">
        <v>5128</v>
      </c>
      <c r="D1420" s="65">
        <v>100</v>
      </c>
      <c r="E1420" s="65">
        <v>1</v>
      </c>
    </row>
    <row r="1421" spans="1:5">
      <c r="A1421" s="65">
        <v>155943</v>
      </c>
      <c r="B1421" s="66" t="s">
        <v>3779</v>
      </c>
      <c r="C1421" s="66" t="s">
        <v>5129</v>
      </c>
      <c r="D1421" s="65">
        <v>1700</v>
      </c>
      <c r="E1421" s="65">
        <v>2</v>
      </c>
    </row>
    <row r="1422" spans="1:5">
      <c r="A1422" s="65">
        <v>155944</v>
      </c>
      <c r="B1422" s="66" t="s">
        <v>3606</v>
      </c>
      <c r="C1422" s="66" t="s">
        <v>5130</v>
      </c>
      <c r="D1422" s="65">
        <v>3900</v>
      </c>
      <c r="E1422" s="65">
        <v>8</v>
      </c>
    </row>
    <row r="1423" spans="1:5">
      <c r="A1423" s="65">
        <v>155945</v>
      </c>
      <c r="B1423" s="66" t="s">
        <v>3662</v>
      </c>
      <c r="C1423" s="66" t="s">
        <v>5131</v>
      </c>
      <c r="D1423" s="65">
        <v>495</v>
      </c>
      <c r="E1423" s="65">
        <v>12</v>
      </c>
    </row>
    <row r="1424" spans="1:5">
      <c r="A1424" s="65">
        <v>155965</v>
      </c>
      <c r="B1424" s="66" t="s">
        <v>3593</v>
      </c>
      <c r="C1424" s="66" t="s">
        <v>5132</v>
      </c>
      <c r="D1424" s="65">
        <v>11760</v>
      </c>
      <c r="E1424" s="65">
        <v>80</v>
      </c>
    </row>
    <row r="1425" spans="1:5">
      <c r="A1425" s="65">
        <v>155970</v>
      </c>
      <c r="B1425" s="66" t="s">
        <v>4537</v>
      </c>
      <c r="C1425" s="66" t="s">
        <v>5133</v>
      </c>
      <c r="D1425" s="65">
        <v>4125</v>
      </c>
      <c r="E1425" s="65">
        <v>80</v>
      </c>
    </row>
    <row r="1426" spans="1:5">
      <c r="A1426" s="65">
        <v>155997</v>
      </c>
      <c r="B1426" s="66" t="s">
        <v>3635</v>
      </c>
      <c r="C1426" s="66" t="s">
        <v>5134</v>
      </c>
      <c r="D1426" s="65">
        <v>1600</v>
      </c>
      <c r="E1426" s="65">
        <v>15</v>
      </c>
    </row>
    <row r="1427" spans="1:5">
      <c r="A1427" s="65">
        <v>155998</v>
      </c>
      <c r="B1427" s="66" t="s">
        <v>3599</v>
      </c>
      <c r="C1427" s="66" t="s">
        <v>5135</v>
      </c>
      <c r="D1427" s="65">
        <v>229</v>
      </c>
      <c r="E1427" s="65">
        <v>8</v>
      </c>
    </row>
    <row r="1428" spans="1:5">
      <c r="A1428" s="65">
        <v>155999</v>
      </c>
      <c r="B1428" s="66" t="s">
        <v>5136</v>
      </c>
      <c r="C1428" s="66" t="s">
        <v>5137</v>
      </c>
      <c r="D1428" s="65">
        <v>925</v>
      </c>
      <c r="E1428" s="65">
        <v>2</v>
      </c>
    </row>
    <row r="1429" spans="1:5">
      <c r="A1429" s="65">
        <v>156017</v>
      </c>
      <c r="B1429" s="66" t="s">
        <v>3792</v>
      </c>
      <c r="C1429" s="66" t="s">
        <v>5138</v>
      </c>
      <c r="D1429" s="65">
        <v>30</v>
      </c>
      <c r="E1429" s="65">
        <v>1</v>
      </c>
    </row>
    <row r="1430" spans="1:5">
      <c r="A1430" s="65">
        <v>156042</v>
      </c>
      <c r="B1430" s="66" t="s">
        <v>3597</v>
      </c>
      <c r="C1430" s="66" t="s">
        <v>5139</v>
      </c>
      <c r="D1430" s="65">
        <v>35</v>
      </c>
      <c r="E1430" s="65">
        <v>8</v>
      </c>
    </row>
    <row r="1431" spans="1:5">
      <c r="A1431" s="65">
        <v>156055</v>
      </c>
      <c r="B1431" s="66" t="s">
        <v>3597</v>
      </c>
      <c r="C1431" s="66" t="s">
        <v>5140</v>
      </c>
      <c r="D1431" s="65">
        <v>181</v>
      </c>
      <c r="E1431" s="65">
        <v>39</v>
      </c>
    </row>
    <row r="1432" spans="1:5">
      <c r="A1432" s="65">
        <v>156070</v>
      </c>
      <c r="B1432" s="66" t="s">
        <v>3786</v>
      </c>
      <c r="C1432" s="66" t="s">
        <v>5141</v>
      </c>
      <c r="D1432" s="65">
        <v>487</v>
      </c>
      <c r="E1432" s="65">
        <v>50</v>
      </c>
    </row>
    <row r="1433" spans="1:5">
      <c r="A1433" s="65">
        <v>156084</v>
      </c>
      <c r="B1433" s="66" t="s">
        <v>4237</v>
      </c>
      <c r="C1433" s="66" t="s">
        <v>5142</v>
      </c>
      <c r="D1433" s="65">
        <v>32</v>
      </c>
      <c r="E1433" s="65">
        <v>4</v>
      </c>
    </row>
    <row r="1434" spans="1:5">
      <c r="A1434" s="65">
        <v>156096</v>
      </c>
      <c r="B1434" s="66" t="s">
        <v>4707</v>
      </c>
      <c r="C1434" s="66" t="s">
        <v>5143</v>
      </c>
      <c r="D1434" s="65">
        <v>10</v>
      </c>
      <c r="E1434" s="65">
        <v>1</v>
      </c>
    </row>
    <row r="1435" spans="1:5">
      <c r="A1435" s="65">
        <v>156118</v>
      </c>
      <c r="B1435" s="66" t="s">
        <v>3760</v>
      </c>
      <c r="C1435" s="66" t="s">
        <v>5144</v>
      </c>
      <c r="D1435" s="65">
        <v>3</v>
      </c>
      <c r="E1435" s="65">
        <v>1</v>
      </c>
    </row>
    <row r="1436" spans="1:5">
      <c r="A1436" s="65">
        <v>156150</v>
      </c>
      <c r="B1436" s="66" t="s">
        <v>3742</v>
      </c>
      <c r="C1436" s="66" t="s">
        <v>5145</v>
      </c>
      <c r="D1436" s="65">
        <v>2250</v>
      </c>
      <c r="E1436" s="65">
        <v>2</v>
      </c>
    </row>
    <row r="1437" spans="1:5">
      <c r="A1437" s="65">
        <v>156158</v>
      </c>
      <c r="B1437" s="66" t="s">
        <v>3804</v>
      </c>
      <c r="C1437" s="66" t="s">
        <v>5146</v>
      </c>
      <c r="D1437" s="65">
        <v>4</v>
      </c>
      <c r="E1437" s="65">
        <v>4</v>
      </c>
    </row>
    <row r="1438" spans="1:5">
      <c r="A1438" s="65">
        <v>156160</v>
      </c>
      <c r="B1438" s="66" t="s">
        <v>3620</v>
      </c>
      <c r="C1438" s="66" t="s">
        <v>5147</v>
      </c>
      <c r="D1438" s="65">
        <v>68</v>
      </c>
      <c r="E1438" s="65">
        <v>19</v>
      </c>
    </row>
    <row r="1439" spans="1:5">
      <c r="A1439" s="65">
        <v>156166</v>
      </c>
      <c r="B1439" s="66" t="s">
        <v>3597</v>
      </c>
      <c r="C1439" s="66" t="s">
        <v>5148</v>
      </c>
      <c r="D1439" s="65">
        <v>36</v>
      </c>
      <c r="E1439" s="65">
        <v>31</v>
      </c>
    </row>
    <row r="1440" spans="1:5">
      <c r="A1440" s="65">
        <v>156192</v>
      </c>
      <c r="B1440" s="66" t="s">
        <v>3593</v>
      </c>
      <c r="C1440" s="66" t="s">
        <v>5149</v>
      </c>
      <c r="D1440" s="65">
        <v>881</v>
      </c>
      <c r="E1440" s="65">
        <v>44</v>
      </c>
    </row>
    <row r="1441" spans="1:5">
      <c r="A1441" s="65">
        <v>156193</v>
      </c>
      <c r="B1441" s="66" t="s">
        <v>4237</v>
      </c>
      <c r="C1441" s="66" t="s">
        <v>5150</v>
      </c>
      <c r="D1441" s="65">
        <v>48</v>
      </c>
      <c r="E1441" s="65">
        <v>2</v>
      </c>
    </row>
    <row r="1442" spans="1:5">
      <c r="A1442" s="65">
        <v>156208</v>
      </c>
      <c r="B1442" s="66" t="s">
        <v>3593</v>
      </c>
      <c r="C1442" s="66" t="s">
        <v>5151</v>
      </c>
      <c r="D1442" s="65">
        <v>87</v>
      </c>
      <c r="E1442" s="65">
        <v>30</v>
      </c>
    </row>
    <row r="1443" spans="1:5">
      <c r="A1443" s="65">
        <v>156271</v>
      </c>
      <c r="B1443" s="66" t="s">
        <v>3593</v>
      </c>
      <c r="C1443" s="66" t="s">
        <v>5152</v>
      </c>
      <c r="D1443" s="65">
        <v>13</v>
      </c>
      <c r="E1443" s="65">
        <v>11</v>
      </c>
    </row>
    <row r="1444" spans="1:5">
      <c r="A1444" s="65">
        <v>156290</v>
      </c>
      <c r="B1444" s="66" t="s">
        <v>3612</v>
      </c>
      <c r="C1444" s="66" t="s">
        <v>5153</v>
      </c>
      <c r="D1444" s="65">
        <v>5</v>
      </c>
      <c r="E1444" s="65">
        <v>1</v>
      </c>
    </row>
    <row r="1445" spans="1:5">
      <c r="A1445" s="65">
        <v>156291</v>
      </c>
      <c r="B1445" s="66" t="s">
        <v>3641</v>
      </c>
      <c r="C1445" s="66" t="s">
        <v>5154</v>
      </c>
      <c r="D1445" s="65">
        <v>4</v>
      </c>
      <c r="E1445" s="65">
        <v>1</v>
      </c>
    </row>
    <row r="1446" spans="1:5">
      <c r="A1446" s="65">
        <v>156306</v>
      </c>
      <c r="B1446" s="66" t="s">
        <v>3641</v>
      </c>
      <c r="C1446" s="66" t="s">
        <v>5155</v>
      </c>
      <c r="D1446" s="65">
        <v>5</v>
      </c>
      <c r="E1446" s="65">
        <v>1</v>
      </c>
    </row>
    <row r="1447" spans="1:5">
      <c r="A1447" s="65">
        <v>156308</v>
      </c>
      <c r="B1447" s="66" t="s">
        <v>3641</v>
      </c>
      <c r="C1447" s="66" t="s">
        <v>5156</v>
      </c>
      <c r="D1447" s="65">
        <v>32</v>
      </c>
      <c r="E1447" s="65">
        <v>5</v>
      </c>
    </row>
    <row r="1448" spans="1:5">
      <c r="A1448" s="65">
        <v>156309</v>
      </c>
      <c r="B1448" s="66" t="s">
        <v>3641</v>
      </c>
      <c r="C1448" s="66" t="s">
        <v>5157</v>
      </c>
      <c r="D1448" s="65">
        <v>42</v>
      </c>
      <c r="E1448" s="65">
        <v>10</v>
      </c>
    </row>
    <row r="1449" spans="1:5">
      <c r="A1449" s="65">
        <v>156310</v>
      </c>
      <c r="B1449" s="66" t="s">
        <v>3612</v>
      </c>
      <c r="C1449" s="66" t="s">
        <v>5158</v>
      </c>
      <c r="D1449" s="65">
        <v>5</v>
      </c>
      <c r="E1449" s="65">
        <v>1</v>
      </c>
    </row>
    <row r="1450" spans="1:5">
      <c r="A1450" s="65">
        <v>156330</v>
      </c>
      <c r="B1450" s="66" t="s">
        <v>4604</v>
      </c>
      <c r="C1450" s="66" t="s">
        <v>5159</v>
      </c>
      <c r="D1450" s="65">
        <v>2</v>
      </c>
      <c r="E1450" s="65">
        <v>1</v>
      </c>
    </row>
    <row r="1451" spans="1:5">
      <c r="A1451" s="65">
        <v>156331</v>
      </c>
      <c r="B1451" s="66" t="s">
        <v>4064</v>
      </c>
      <c r="C1451" s="66" t="s">
        <v>5160</v>
      </c>
      <c r="D1451" s="65">
        <v>4</v>
      </c>
      <c r="E1451" s="65">
        <v>1</v>
      </c>
    </row>
    <row r="1452" spans="1:5">
      <c r="A1452" s="65">
        <v>156332</v>
      </c>
      <c r="B1452" s="66" t="s">
        <v>4604</v>
      </c>
      <c r="C1452" s="66" t="s">
        <v>5161</v>
      </c>
      <c r="D1452" s="65">
        <v>6</v>
      </c>
      <c r="E1452" s="65">
        <v>2</v>
      </c>
    </row>
    <row r="1453" spans="1:5">
      <c r="A1453" s="65">
        <v>156333</v>
      </c>
      <c r="B1453" s="66" t="s">
        <v>4768</v>
      </c>
      <c r="C1453" s="66" t="s">
        <v>5162</v>
      </c>
      <c r="D1453" s="65">
        <v>3</v>
      </c>
      <c r="E1453" s="65">
        <v>1</v>
      </c>
    </row>
    <row r="1454" spans="1:5">
      <c r="A1454" s="65">
        <v>156334</v>
      </c>
      <c r="B1454" s="66" t="s">
        <v>5163</v>
      </c>
      <c r="C1454" s="66" t="s">
        <v>5164</v>
      </c>
      <c r="D1454" s="65">
        <v>6</v>
      </c>
      <c r="E1454" s="65">
        <v>3</v>
      </c>
    </row>
    <row r="1455" spans="1:5">
      <c r="A1455" s="65">
        <v>156335</v>
      </c>
      <c r="B1455" s="66" t="s">
        <v>4191</v>
      </c>
      <c r="C1455" s="66" t="s">
        <v>5165</v>
      </c>
      <c r="D1455" s="65">
        <v>35</v>
      </c>
      <c r="E1455" s="65">
        <v>13</v>
      </c>
    </row>
    <row r="1456" spans="1:5">
      <c r="A1456" s="65">
        <v>156347</v>
      </c>
      <c r="B1456" s="66" t="s">
        <v>3662</v>
      </c>
      <c r="C1456" s="66" t="s">
        <v>5166</v>
      </c>
      <c r="D1456" s="65">
        <v>95</v>
      </c>
      <c r="E1456" s="65">
        <v>4</v>
      </c>
    </row>
    <row r="1457" spans="1:5">
      <c r="A1457" s="65">
        <v>156634</v>
      </c>
      <c r="B1457" s="66" t="s">
        <v>3649</v>
      </c>
      <c r="C1457" s="66" t="s">
        <v>5167</v>
      </c>
      <c r="D1457" s="65">
        <v>165</v>
      </c>
      <c r="E1457" s="65">
        <v>28</v>
      </c>
    </row>
    <row r="1458" spans="1:5">
      <c r="A1458" s="65">
        <v>156644</v>
      </c>
      <c r="B1458" s="66" t="s">
        <v>3597</v>
      </c>
      <c r="C1458" s="66" t="s">
        <v>5168</v>
      </c>
      <c r="D1458" s="65">
        <v>5</v>
      </c>
      <c r="E1458" s="65">
        <v>5</v>
      </c>
    </row>
    <row r="1459" spans="1:5">
      <c r="A1459" s="65">
        <v>156645</v>
      </c>
      <c r="B1459" s="66" t="s">
        <v>3649</v>
      </c>
      <c r="C1459" s="66" t="s">
        <v>5169</v>
      </c>
      <c r="D1459" s="65">
        <v>96</v>
      </c>
      <c r="E1459" s="65">
        <v>1</v>
      </c>
    </row>
    <row r="1460" spans="1:5">
      <c r="A1460" s="65">
        <v>156650</v>
      </c>
      <c r="B1460" s="66" t="s">
        <v>4197</v>
      </c>
      <c r="C1460" s="66" t="s">
        <v>5170</v>
      </c>
      <c r="D1460" s="65">
        <v>4962</v>
      </c>
      <c r="E1460" s="65">
        <v>228</v>
      </c>
    </row>
    <row r="1461" spans="1:5">
      <c r="A1461" s="65">
        <v>156651</v>
      </c>
      <c r="B1461" s="66" t="s">
        <v>3593</v>
      </c>
      <c r="C1461" s="66" t="s">
        <v>5171</v>
      </c>
      <c r="D1461" s="65">
        <v>75</v>
      </c>
      <c r="E1461" s="65">
        <v>29</v>
      </c>
    </row>
    <row r="1462" spans="1:5">
      <c r="A1462" s="65">
        <v>156654</v>
      </c>
      <c r="B1462" s="66" t="s">
        <v>3998</v>
      </c>
      <c r="C1462" s="66" t="s">
        <v>5172</v>
      </c>
      <c r="D1462" s="65">
        <v>16</v>
      </c>
      <c r="E1462" s="65">
        <v>6</v>
      </c>
    </row>
    <row r="1463" spans="1:5">
      <c r="A1463" s="65">
        <v>156659</v>
      </c>
      <c r="B1463" s="66" t="s">
        <v>4420</v>
      </c>
      <c r="C1463" s="66" t="s">
        <v>5173</v>
      </c>
      <c r="D1463" s="65">
        <v>94</v>
      </c>
      <c r="E1463" s="65">
        <v>6</v>
      </c>
    </row>
    <row r="1464" spans="1:5">
      <c r="A1464" s="65">
        <v>156679</v>
      </c>
      <c r="B1464" s="66" t="s">
        <v>3599</v>
      </c>
      <c r="C1464" s="66" t="s">
        <v>5174</v>
      </c>
      <c r="D1464" s="65">
        <v>98</v>
      </c>
      <c r="E1464" s="65">
        <v>11</v>
      </c>
    </row>
    <row r="1465" spans="1:5">
      <c r="A1465" s="65">
        <v>156697</v>
      </c>
      <c r="B1465" s="66" t="s">
        <v>3667</v>
      </c>
      <c r="C1465" s="66" t="s">
        <v>5175</v>
      </c>
      <c r="D1465" s="65">
        <v>2648</v>
      </c>
      <c r="E1465" s="65">
        <v>746</v>
      </c>
    </row>
    <row r="1466" spans="1:5">
      <c r="A1466" s="65">
        <v>156698</v>
      </c>
      <c r="B1466" s="66" t="s">
        <v>3597</v>
      </c>
      <c r="C1466" s="66" t="s">
        <v>5176</v>
      </c>
      <c r="D1466" s="65">
        <v>5345</v>
      </c>
      <c r="E1466" s="65">
        <v>1200</v>
      </c>
    </row>
    <row r="1467" spans="1:5">
      <c r="A1467" s="65">
        <v>156716</v>
      </c>
      <c r="B1467" s="66" t="s">
        <v>3597</v>
      </c>
      <c r="C1467" s="66" t="s">
        <v>5177</v>
      </c>
      <c r="D1467" s="65">
        <v>9</v>
      </c>
      <c r="E1467" s="65">
        <v>8</v>
      </c>
    </row>
    <row r="1468" spans="1:5">
      <c r="A1468" s="65">
        <v>156717</v>
      </c>
      <c r="B1468" s="66" t="s">
        <v>3629</v>
      </c>
      <c r="C1468" s="66" t="s">
        <v>5178</v>
      </c>
      <c r="D1468" s="65">
        <v>6</v>
      </c>
      <c r="E1468" s="65">
        <v>2</v>
      </c>
    </row>
    <row r="1469" spans="1:5">
      <c r="A1469" s="65">
        <v>156719</v>
      </c>
      <c r="B1469" s="66" t="s">
        <v>3597</v>
      </c>
      <c r="C1469" s="66" t="s">
        <v>5179</v>
      </c>
      <c r="D1469" s="65">
        <v>7</v>
      </c>
      <c r="E1469" s="65">
        <v>5</v>
      </c>
    </row>
    <row r="1470" spans="1:5">
      <c r="A1470" s="65">
        <v>156722</v>
      </c>
      <c r="B1470" s="66" t="s">
        <v>3665</v>
      </c>
      <c r="C1470" s="66" t="s">
        <v>5180</v>
      </c>
      <c r="D1470" s="65">
        <v>12</v>
      </c>
      <c r="E1470" s="65">
        <v>1</v>
      </c>
    </row>
    <row r="1471" spans="1:5">
      <c r="A1471" s="65">
        <v>156723</v>
      </c>
      <c r="B1471" s="66" t="s">
        <v>3662</v>
      </c>
      <c r="C1471" s="66" t="s">
        <v>5181</v>
      </c>
      <c r="D1471" s="65">
        <v>2</v>
      </c>
      <c r="E1471" s="65">
        <v>2</v>
      </c>
    </row>
    <row r="1472" spans="1:5">
      <c r="A1472" s="65">
        <v>156724</v>
      </c>
      <c r="B1472" s="66" t="s">
        <v>3649</v>
      </c>
      <c r="C1472" s="66" t="s">
        <v>5182</v>
      </c>
      <c r="D1472" s="65">
        <v>52</v>
      </c>
      <c r="E1472" s="65">
        <v>7</v>
      </c>
    </row>
    <row r="1473" spans="1:5">
      <c r="A1473" s="65">
        <v>156725</v>
      </c>
      <c r="B1473" s="66" t="s">
        <v>3639</v>
      </c>
      <c r="C1473" s="66" t="s">
        <v>5183</v>
      </c>
      <c r="D1473" s="65">
        <v>16</v>
      </c>
      <c r="E1473" s="65">
        <v>11</v>
      </c>
    </row>
    <row r="1474" spans="1:5">
      <c r="A1474" s="65">
        <v>156729</v>
      </c>
      <c r="B1474" s="66" t="s">
        <v>3597</v>
      </c>
      <c r="C1474" s="66" t="s">
        <v>5184</v>
      </c>
      <c r="D1474" s="65">
        <v>12</v>
      </c>
      <c r="E1474" s="65">
        <v>3</v>
      </c>
    </row>
    <row r="1475" spans="1:5">
      <c r="A1475" s="65">
        <v>156758</v>
      </c>
      <c r="B1475" s="66" t="s">
        <v>3597</v>
      </c>
      <c r="C1475" s="66" t="s">
        <v>5185</v>
      </c>
      <c r="D1475" s="65">
        <v>1366</v>
      </c>
      <c r="E1475" s="65">
        <v>85</v>
      </c>
    </row>
    <row r="1476" spans="1:5">
      <c r="A1476" s="65">
        <v>156759</v>
      </c>
      <c r="B1476" s="66" t="s">
        <v>3620</v>
      </c>
      <c r="C1476" s="66" t="s">
        <v>5186</v>
      </c>
      <c r="D1476" s="65">
        <v>663</v>
      </c>
      <c r="E1476" s="65">
        <v>57</v>
      </c>
    </row>
    <row r="1477" spans="1:5">
      <c r="A1477" s="65">
        <v>156770</v>
      </c>
      <c r="B1477" s="66" t="s">
        <v>3649</v>
      </c>
      <c r="C1477" s="66" t="s">
        <v>5187</v>
      </c>
      <c r="D1477" s="65">
        <v>42</v>
      </c>
      <c r="E1477" s="65">
        <v>4</v>
      </c>
    </row>
    <row r="1478" spans="1:5">
      <c r="A1478" s="65">
        <v>156809</v>
      </c>
      <c r="B1478" s="66" t="s">
        <v>4791</v>
      </c>
      <c r="C1478" s="66" t="s">
        <v>5188</v>
      </c>
      <c r="D1478" s="65">
        <v>1</v>
      </c>
      <c r="E1478" s="65">
        <v>1</v>
      </c>
    </row>
    <row r="1479" spans="1:5">
      <c r="A1479" s="65">
        <v>156819</v>
      </c>
      <c r="B1479" s="66" t="s">
        <v>3606</v>
      </c>
      <c r="C1479" s="66" t="s">
        <v>5189</v>
      </c>
      <c r="D1479" s="65">
        <v>60</v>
      </c>
      <c r="E1479" s="65">
        <v>2</v>
      </c>
    </row>
    <row r="1480" spans="1:5">
      <c r="A1480" s="65">
        <v>156820</v>
      </c>
      <c r="B1480" s="66" t="s">
        <v>3635</v>
      </c>
      <c r="C1480" s="66" t="s">
        <v>5190</v>
      </c>
      <c r="D1480" s="65">
        <v>60</v>
      </c>
      <c r="E1480" s="65">
        <v>2</v>
      </c>
    </row>
    <row r="1481" spans="1:5">
      <c r="A1481" s="65">
        <v>156822</v>
      </c>
      <c r="B1481" s="66" t="s">
        <v>3786</v>
      </c>
      <c r="C1481" s="66" t="s">
        <v>5191</v>
      </c>
      <c r="D1481" s="65">
        <v>20</v>
      </c>
      <c r="E1481" s="65">
        <v>1</v>
      </c>
    </row>
    <row r="1482" spans="1:5">
      <c r="A1482" s="65">
        <v>156825</v>
      </c>
      <c r="B1482" s="66" t="s">
        <v>3593</v>
      </c>
      <c r="C1482" s="66" t="s">
        <v>5192</v>
      </c>
      <c r="D1482" s="65">
        <v>637</v>
      </c>
      <c r="E1482" s="65">
        <v>99</v>
      </c>
    </row>
    <row r="1483" spans="1:5">
      <c r="A1483" s="65">
        <v>156826</v>
      </c>
      <c r="B1483" s="66" t="s">
        <v>3804</v>
      </c>
      <c r="C1483" s="66" t="s">
        <v>5193</v>
      </c>
      <c r="D1483" s="65">
        <v>95</v>
      </c>
      <c r="E1483" s="65">
        <v>17</v>
      </c>
    </row>
    <row r="1484" spans="1:5">
      <c r="A1484" s="65">
        <v>156827</v>
      </c>
      <c r="B1484" s="66" t="s">
        <v>3625</v>
      </c>
      <c r="C1484" s="66" t="s">
        <v>5194</v>
      </c>
      <c r="D1484" s="65">
        <v>17</v>
      </c>
      <c r="E1484" s="65">
        <v>2</v>
      </c>
    </row>
    <row r="1485" spans="1:5">
      <c r="A1485" s="65">
        <v>156829</v>
      </c>
      <c r="B1485" s="66" t="s">
        <v>3593</v>
      </c>
      <c r="C1485" s="66" t="s">
        <v>5195</v>
      </c>
      <c r="D1485" s="65">
        <v>6000</v>
      </c>
      <c r="E1485" s="65">
        <v>29</v>
      </c>
    </row>
    <row r="1486" spans="1:5">
      <c r="A1486" s="65">
        <v>156830</v>
      </c>
      <c r="B1486" s="66" t="s">
        <v>3616</v>
      </c>
      <c r="C1486" s="66" t="s">
        <v>5196</v>
      </c>
      <c r="D1486" s="65">
        <v>219</v>
      </c>
      <c r="E1486" s="65">
        <v>49</v>
      </c>
    </row>
    <row r="1487" spans="1:5">
      <c r="A1487" s="65">
        <v>156831</v>
      </c>
      <c r="B1487" s="66" t="s">
        <v>3616</v>
      </c>
      <c r="C1487" s="66" t="s">
        <v>5197</v>
      </c>
      <c r="D1487" s="65">
        <v>380</v>
      </c>
      <c r="E1487" s="65">
        <v>20</v>
      </c>
    </row>
    <row r="1488" spans="1:5">
      <c r="A1488" s="65">
        <v>156852</v>
      </c>
      <c r="B1488" s="66" t="s">
        <v>3606</v>
      </c>
      <c r="C1488" s="66" t="s">
        <v>5198</v>
      </c>
      <c r="D1488" s="65">
        <v>16</v>
      </c>
      <c r="E1488" s="65">
        <v>3</v>
      </c>
    </row>
    <row r="1489" spans="1:5">
      <c r="A1489" s="65">
        <v>156854</v>
      </c>
      <c r="B1489" s="66" t="s">
        <v>3643</v>
      </c>
      <c r="C1489" s="66" t="s">
        <v>5199</v>
      </c>
      <c r="D1489" s="65">
        <v>75</v>
      </c>
      <c r="E1489" s="65">
        <v>4</v>
      </c>
    </row>
    <row r="1490" spans="1:5">
      <c r="A1490" s="65">
        <v>156861</v>
      </c>
      <c r="B1490" s="66" t="s">
        <v>3900</v>
      </c>
      <c r="C1490" s="66" t="s">
        <v>5200</v>
      </c>
      <c r="D1490" s="65">
        <v>13</v>
      </c>
      <c r="E1490" s="65">
        <v>8</v>
      </c>
    </row>
    <row r="1491" spans="1:5">
      <c r="A1491" s="65">
        <v>156867</v>
      </c>
      <c r="B1491" s="66" t="s">
        <v>3786</v>
      </c>
      <c r="C1491" s="66" t="s">
        <v>5201</v>
      </c>
      <c r="D1491" s="65">
        <v>63</v>
      </c>
      <c r="E1491" s="65">
        <v>10</v>
      </c>
    </row>
    <row r="1492" spans="1:5">
      <c r="A1492" s="65">
        <v>156906</v>
      </c>
      <c r="B1492" s="66" t="s">
        <v>5202</v>
      </c>
      <c r="C1492" s="66" t="s">
        <v>5203</v>
      </c>
      <c r="D1492" s="65">
        <v>1</v>
      </c>
      <c r="E1492" s="65">
        <v>1</v>
      </c>
    </row>
    <row r="1493" spans="1:5">
      <c r="A1493" s="65">
        <v>156911</v>
      </c>
      <c r="B1493" s="66" t="s">
        <v>3649</v>
      </c>
      <c r="C1493" s="66" t="s">
        <v>5204</v>
      </c>
      <c r="D1493" s="65">
        <v>80</v>
      </c>
      <c r="E1493" s="65">
        <v>20</v>
      </c>
    </row>
    <row r="1494" spans="1:5">
      <c r="A1494" s="65">
        <v>156912</v>
      </c>
      <c r="B1494" s="66" t="s">
        <v>3601</v>
      </c>
      <c r="C1494" s="66" t="s">
        <v>5205</v>
      </c>
      <c r="D1494" s="65">
        <v>13</v>
      </c>
      <c r="E1494" s="65">
        <v>7</v>
      </c>
    </row>
    <row r="1495" spans="1:5">
      <c r="A1495" s="65">
        <v>156931</v>
      </c>
      <c r="B1495" s="66" t="s">
        <v>4117</v>
      </c>
      <c r="C1495" s="66" t="s">
        <v>5206</v>
      </c>
      <c r="D1495" s="65">
        <v>36</v>
      </c>
      <c r="E1495" s="65">
        <v>2</v>
      </c>
    </row>
    <row r="1496" spans="1:5">
      <c r="A1496" s="65">
        <v>156953</v>
      </c>
      <c r="B1496" s="66" t="s">
        <v>3777</v>
      </c>
      <c r="C1496" s="66" t="s">
        <v>5207</v>
      </c>
      <c r="D1496" s="65">
        <v>400</v>
      </c>
      <c r="E1496" s="65">
        <v>4</v>
      </c>
    </row>
    <row r="1497" spans="1:5">
      <c r="A1497" s="65">
        <v>157</v>
      </c>
      <c r="B1497" s="66" t="s">
        <v>3614</v>
      </c>
      <c r="C1497" s="66" t="s">
        <v>5208</v>
      </c>
      <c r="D1497" s="65">
        <v>87</v>
      </c>
      <c r="E1497" s="65">
        <v>9</v>
      </c>
    </row>
    <row r="1498" spans="1:5">
      <c r="A1498" s="65">
        <v>157005</v>
      </c>
      <c r="B1498" s="66" t="s">
        <v>3649</v>
      </c>
      <c r="C1498" s="66" t="s">
        <v>5209</v>
      </c>
      <c r="D1498" s="65">
        <v>2020</v>
      </c>
      <c r="E1498" s="65">
        <v>42</v>
      </c>
    </row>
    <row r="1499" spans="1:5">
      <c r="A1499" s="65">
        <v>157006</v>
      </c>
      <c r="B1499" s="66" t="s">
        <v>3593</v>
      </c>
      <c r="C1499" s="66" t="s">
        <v>5210</v>
      </c>
      <c r="D1499" s="65">
        <v>251</v>
      </c>
      <c r="E1499" s="65">
        <v>62</v>
      </c>
    </row>
    <row r="1500" spans="1:5">
      <c r="A1500" s="65">
        <v>157007</v>
      </c>
      <c r="B1500" s="66" t="s">
        <v>3639</v>
      </c>
      <c r="C1500" s="66" t="s">
        <v>5211</v>
      </c>
      <c r="D1500" s="65">
        <v>47</v>
      </c>
      <c r="E1500" s="65">
        <v>27</v>
      </c>
    </row>
    <row r="1501" spans="1:5">
      <c r="A1501" s="65">
        <v>157008</v>
      </c>
      <c r="B1501" s="66" t="s">
        <v>3597</v>
      </c>
      <c r="C1501" s="66" t="s">
        <v>5212</v>
      </c>
      <c r="D1501" s="65">
        <v>123</v>
      </c>
      <c r="E1501" s="65">
        <v>70</v>
      </c>
    </row>
    <row r="1502" spans="1:5">
      <c r="A1502" s="65">
        <v>157009</v>
      </c>
      <c r="B1502" s="66" t="s">
        <v>3665</v>
      </c>
      <c r="C1502" s="66" t="s">
        <v>5213</v>
      </c>
      <c r="D1502" s="65">
        <v>20</v>
      </c>
      <c r="E1502" s="65">
        <v>11</v>
      </c>
    </row>
    <row r="1503" spans="1:5">
      <c r="A1503" s="65">
        <v>157010</v>
      </c>
      <c r="B1503" s="66" t="s">
        <v>3639</v>
      </c>
      <c r="C1503" s="66" t="s">
        <v>5214</v>
      </c>
      <c r="D1503" s="65">
        <v>16</v>
      </c>
      <c r="E1503" s="65">
        <v>8</v>
      </c>
    </row>
    <row r="1504" spans="1:5">
      <c r="A1504" s="65">
        <v>157011</v>
      </c>
      <c r="B1504" s="66" t="s">
        <v>3593</v>
      </c>
      <c r="C1504" s="66" t="s">
        <v>5215</v>
      </c>
      <c r="D1504" s="65">
        <v>688</v>
      </c>
      <c r="E1504" s="65">
        <v>69</v>
      </c>
    </row>
    <row r="1505" spans="1:5">
      <c r="A1505" s="65">
        <v>157012</v>
      </c>
      <c r="B1505" s="66" t="s">
        <v>3593</v>
      </c>
      <c r="C1505" s="66" t="s">
        <v>5216</v>
      </c>
      <c r="D1505" s="65">
        <v>420</v>
      </c>
      <c r="E1505" s="65">
        <v>38</v>
      </c>
    </row>
    <row r="1506" spans="1:5">
      <c r="A1506" s="65">
        <v>157013</v>
      </c>
      <c r="B1506" s="66" t="s">
        <v>3593</v>
      </c>
      <c r="C1506" s="66" t="s">
        <v>5217</v>
      </c>
      <c r="D1506" s="65">
        <v>149</v>
      </c>
      <c r="E1506" s="65">
        <v>54</v>
      </c>
    </row>
    <row r="1507" spans="1:5">
      <c r="A1507" s="65">
        <v>157014</v>
      </c>
      <c r="B1507" s="66" t="s">
        <v>3593</v>
      </c>
      <c r="C1507" s="66" t="s">
        <v>5218</v>
      </c>
      <c r="D1507" s="65">
        <v>73</v>
      </c>
      <c r="E1507" s="65">
        <v>54</v>
      </c>
    </row>
    <row r="1508" spans="1:5">
      <c r="A1508" s="65">
        <v>157015</v>
      </c>
      <c r="B1508" s="66" t="s">
        <v>3593</v>
      </c>
      <c r="C1508" s="66" t="s">
        <v>5219</v>
      </c>
      <c r="D1508" s="65">
        <v>62</v>
      </c>
      <c r="E1508" s="65">
        <v>43</v>
      </c>
    </row>
    <row r="1509" spans="1:5">
      <c r="A1509" s="65">
        <v>157016</v>
      </c>
      <c r="B1509" s="66" t="s">
        <v>5220</v>
      </c>
      <c r="C1509" s="66" t="s">
        <v>5221</v>
      </c>
      <c r="D1509" s="65">
        <v>80</v>
      </c>
      <c r="E1509" s="65">
        <v>7</v>
      </c>
    </row>
    <row r="1510" spans="1:5">
      <c r="A1510" s="65">
        <v>157017</v>
      </c>
      <c r="B1510" s="66" t="s">
        <v>5222</v>
      </c>
      <c r="C1510" s="66" t="s">
        <v>5223</v>
      </c>
      <c r="D1510" s="65">
        <v>150</v>
      </c>
      <c r="E1510" s="65">
        <v>3</v>
      </c>
    </row>
    <row r="1511" spans="1:5">
      <c r="A1511" s="65">
        <v>157026</v>
      </c>
      <c r="B1511" s="66" t="s">
        <v>3625</v>
      </c>
      <c r="C1511" s="66" t="s">
        <v>5224</v>
      </c>
      <c r="D1511" s="65">
        <v>1</v>
      </c>
      <c r="E1511" s="65">
        <v>1</v>
      </c>
    </row>
    <row r="1512" spans="1:5">
      <c r="A1512" s="65">
        <v>157030</v>
      </c>
      <c r="B1512" s="66" t="s">
        <v>3843</v>
      </c>
      <c r="C1512" s="66" t="s">
        <v>5225</v>
      </c>
      <c r="D1512" s="65">
        <v>2</v>
      </c>
      <c r="E1512" s="65">
        <v>1</v>
      </c>
    </row>
    <row r="1513" spans="1:5">
      <c r="A1513" s="65">
        <v>157031</v>
      </c>
      <c r="B1513" s="66" t="s">
        <v>3843</v>
      </c>
      <c r="C1513" s="66" t="s">
        <v>5226</v>
      </c>
      <c r="D1513" s="65">
        <v>2</v>
      </c>
      <c r="E1513" s="65">
        <v>1</v>
      </c>
    </row>
    <row r="1514" spans="1:5">
      <c r="A1514" s="65">
        <v>157032</v>
      </c>
      <c r="B1514" s="66" t="s">
        <v>3843</v>
      </c>
      <c r="C1514" s="66" t="s">
        <v>5227</v>
      </c>
      <c r="D1514" s="65">
        <v>2</v>
      </c>
      <c r="E1514" s="65">
        <v>1</v>
      </c>
    </row>
    <row r="1515" spans="1:5">
      <c r="A1515" s="65">
        <v>157036</v>
      </c>
      <c r="B1515" s="66" t="s">
        <v>3677</v>
      </c>
      <c r="C1515" s="66" t="s">
        <v>5228</v>
      </c>
      <c r="D1515" s="65">
        <v>25</v>
      </c>
      <c r="E1515" s="65">
        <v>1</v>
      </c>
    </row>
    <row r="1516" spans="1:5">
      <c r="A1516" s="65">
        <v>157041</v>
      </c>
      <c r="B1516" s="66" t="s">
        <v>3612</v>
      </c>
      <c r="C1516" s="66" t="s">
        <v>5229</v>
      </c>
      <c r="D1516" s="65">
        <v>600</v>
      </c>
      <c r="E1516" s="65">
        <v>12</v>
      </c>
    </row>
    <row r="1517" spans="1:5">
      <c r="A1517" s="65">
        <v>157068</v>
      </c>
      <c r="B1517" s="66" t="s">
        <v>3597</v>
      </c>
      <c r="C1517" s="66" t="s">
        <v>5230</v>
      </c>
      <c r="D1517" s="65">
        <v>3526</v>
      </c>
      <c r="E1517" s="65">
        <v>380</v>
      </c>
    </row>
    <row r="1518" spans="1:5">
      <c r="A1518" s="65">
        <v>157072</v>
      </c>
      <c r="B1518" s="66" t="s">
        <v>3616</v>
      </c>
      <c r="C1518" s="66" t="s">
        <v>5231</v>
      </c>
      <c r="D1518" s="65">
        <v>413</v>
      </c>
      <c r="E1518" s="65">
        <v>41</v>
      </c>
    </row>
    <row r="1519" spans="1:5">
      <c r="A1519" s="65">
        <v>157073</v>
      </c>
      <c r="B1519" s="66" t="s">
        <v>3662</v>
      </c>
      <c r="C1519" s="66" t="s">
        <v>5232</v>
      </c>
      <c r="D1519" s="65">
        <v>2304</v>
      </c>
      <c r="E1519" s="65">
        <v>4</v>
      </c>
    </row>
    <row r="1520" spans="1:5">
      <c r="A1520" s="65">
        <v>157078</v>
      </c>
      <c r="B1520" s="66" t="s">
        <v>3593</v>
      </c>
      <c r="C1520" s="66" t="s">
        <v>5233</v>
      </c>
      <c r="D1520" s="65">
        <v>11680</v>
      </c>
      <c r="E1520" s="65">
        <v>9</v>
      </c>
    </row>
    <row r="1521" spans="1:5">
      <c r="A1521" s="65">
        <v>157079</v>
      </c>
      <c r="B1521" s="66" t="s">
        <v>4791</v>
      </c>
      <c r="C1521" s="66" t="s">
        <v>5234</v>
      </c>
      <c r="D1521" s="65">
        <v>24</v>
      </c>
      <c r="E1521" s="65">
        <v>7</v>
      </c>
    </row>
    <row r="1522" spans="1:5">
      <c r="A1522" s="65">
        <v>157081</v>
      </c>
      <c r="B1522" s="66" t="s">
        <v>5235</v>
      </c>
      <c r="C1522" s="66" t="s">
        <v>5236</v>
      </c>
      <c r="D1522" s="65">
        <v>9</v>
      </c>
      <c r="E1522" s="65">
        <v>2</v>
      </c>
    </row>
    <row r="1523" spans="1:5">
      <c r="A1523" s="65">
        <v>157083</v>
      </c>
      <c r="B1523" s="66" t="s">
        <v>3643</v>
      </c>
      <c r="C1523" s="66" t="s">
        <v>5237</v>
      </c>
      <c r="D1523" s="65">
        <v>20</v>
      </c>
      <c r="E1523" s="65">
        <v>1</v>
      </c>
    </row>
    <row r="1524" spans="1:5">
      <c r="A1524" s="65">
        <v>157086</v>
      </c>
      <c r="B1524" s="66" t="s">
        <v>3665</v>
      </c>
      <c r="C1524" s="66" t="s">
        <v>5238</v>
      </c>
      <c r="D1524" s="65">
        <v>1</v>
      </c>
      <c r="E1524" s="65">
        <v>1</v>
      </c>
    </row>
    <row r="1525" spans="1:5">
      <c r="A1525" s="65">
        <v>157087</v>
      </c>
      <c r="B1525" s="66" t="s">
        <v>4420</v>
      </c>
      <c r="C1525" s="66" t="s">
        <v>5239</v>
      </c>
      <c r="D1525" s="65">
        <v>4</v>
      </c>
      <c r="E1525" s="65">
        <v>1</v>
      </c>
    </row>
    <row r="1526" spans="1:5">
      <c r="A1526" s="65">
        <v>157090</v>
      </c>
      <c r="B1526" s="66" t="s">
        <v>3593</v>
      </c>
      <c r="C1526" s="66" t="s">
        <v>5240</v>
      </c>
      <c r="D1526" s="65">
        <v>492</v>
      </c>
      <c r="E1526" s="65">
        <v>24</v>
      </c>
    </row>
    <row r="1527" spans="1:5">
      <c r="A1527" s="65">
        <v>157091</v>
      </c>
      <c r="B1527" s="66" t="s">
        <v>3639</v>
      </c>
      <c r="C1527" s="66" t="s">
        <v>5241</v>
      </c>
      <c r="D1527" s="65">
        <v>1684</v>
      </c>
      <c r="E1527" s="65">
        <v>46</v>
      </c>
    </row>
    <row r="1528" spans="1:5">
      <c r="A1528" s="65">
        <v>157092</v>
      </c>
      <c r="B1528" s="66" t="s">
        <v>3599</v>
      </c>
      <c r="C1528" s="66" t="s">
        <v>5242</v>
      </c>
      <c r="D1528" s="65">
        <v>105</v>
      </c>
      <c r="E1528" s="65">
        <v>4</v>
      </c>
    </row>
    <row r="1529" spans="1:5">
      <c r="A1529" s="65">
        <v>157096</v>
      </c>
      <c r="B1529" s="66" t="s">
        <v>4604</v>
      </c>
      <c r="C1529" s="66" t="s">
        <v>5243</v>
      </c>
      <c r="D1529" s="65">
        <v>22</v>
      </c>
      <c r="E1529" s="65">
        <v>3</v>
      </c>
    </row>
    <row r="1530" spans="1:5">
      <c r="A1530" s="65">
        <v>157097</v>
      </c>
      <c r="B1530" s="66" t="s">
        <v>3677</v>
      </c>
      <c r="C1530" s="66" t="s">
        <v>5244</v>
      </c>
      <c r="D1530" s="65">
        <v>68</v>
      </c>
      <c r="E1530" s="65">
        <v>8</v>
      </c>
    </row>
    <row r="1531" spans="1:5">
      <c r="A1531" s="65">
        <v>157098</v>
      </c>
      <c r="B1531" s="66" t="s">
        <v>4293</v>
      </c>
      <c r="C1531" s="66" t="s">
        <v>5245</v>
      </c>
      <c r="D1531" s="65">
        <v>4</v>
      </c>
      <c r="E1531" s="65">
        <v>2</v>
      </c>
    </row>
    <row r="1532" spans="1:5">
      <c r="A1532" s="65">
        <v>157099</v>
      </c>
      <c r="B1532" s="66" t="s">
        <v>3643</v>
      </c>
      <c r="C1532" s="66" t="s">
        <v>5246</v>
      </c>
      <c r="D1532" s="65">
        <v>4</v>
      </c>
      <c r="E1532" s="65">
        <v>2</v>
      </c>
    </row>
    <row r="1533" spans="1:5">
      <c r="A1533" s="65">
        <v>157242</v>
      </c>
      <c r="B1533" s="66" t="s">
        <v>3820</v>
      </c>
      <c r="C1533" s="66" t="s">
        <v>5247</v>
      </c>
      <c r="D1533" s="65">
        <v>4</v>
      </c>
      <c r="E1533" s="65">
        <v>2</v>
      </c>
    </row>
    <row r="1534" spans="1:5">
      <c r="A1534" s="65">
        <v>157243</v>
      </c>
      <c r="B1534" s="66" t="s">
        <v>4610</v>
      </c>
      <c r="C1534" s="66" t="s">
        <v>5248</v>
      </c>
      <c r="D1534" s="65">
        <v>3</v>
      </c>
      <c r="E1534" s="65">
        <v>2</v>
      </c>
    </row>
    <row r="1535" spans="1:5">
      <c r="A1535" s="65">
        <v>157244</v>
      </c>
      <c r="B1535" s="66" t="s">
        <v>5249</v>
      </c>
      <c r="C1535" s="66" t="s">
        <v>5250</v>
      </c>
      <c r="D1535" s="65">
        <v>28</v>
      </c>
      <c r="E1535" s="65">
        <v>3</v>
      </c>
    </row>
    <row r="1536" spans="1:5">
      <c r="A1536" s="65">
        <v>157245</v>
      </c>
      <c r="B1536" s="66" t="s">
        <v>4097</v>
      </c>
      <c r="C1536" s="66" t="s">
        <v>5251</v>
      </c>
      <c r="D1536" s="65">
        <v>1</v>
      </c>
      <c r="E1536" s="65">
        <v>1</v>
      </c>
    </row>
    <row r="1537" spans="1:5">
      <c r="A1537" s="65">
        <v>157248</v>
      </c>
      <c r="B1537" s="66" t="s">
        <v>3786</v>
      </c>
      <c r="C1537" s="66" t="s">
        <v>5252</v>
      </c>
      <c r="D1537" s="65">
        <v>12</v>
      </c>
      <c r="E1537" s="65">
        <v>5</v>
      </c>
    </row>
    <row r="1538" spans="1:5">
      <c r="A1538" s="65">
        <v>157251</v>
      </c>
      <c r="B1538" s="66" t="s">
        <v>3677</v>
      </c>
      <c r="C1538" s="66" t="s">
        <v>5253</v>
      </c>
      <c r="D1538" s="65">
        <v>1</v>
      </c>
      <c r="E1538" s="65">
        <v>1</v>
      </c>
    </row>
    <row r="1539" spans="1:5">
      <c r="A1539" s="65">
        <v>157264</v>
      </c>
      <c r="B1539" s="66" t="s">
        <v>3660</v>
      </c>
      <c r="C1539" s="66" t="s">
        <v>5254</v>
      </c>
      <c r="D1539" s="65">
        <v>6</v>
      </c>
      <c r="E1539" s="65">
        <v>4</v>
      </c>
    </row>
    <row r="1540" spans="1:5">
      <c r="A1540" s="65">
        <v>157330</v>
      </c>
      <c r="B1540" s="66" t="s">
        <v>3597</v>
      </c>
      <c r="C1540" s="66" t="s">
        <v>5255</v>
      </c>
      <c r="D1540" s="65">
        <v>2400</v>
      </c>
      <c r="E1540" s="65">
        <v>12</v>
      </c>
    </row>
    <row r="1541" spans="1:5">
      <c r="A1541" s="65">
        <v>157415</v>
      </c>
      <c r="B1541" s="66" t="s">
        <v>4117</v>
      </c>
      <c r="C1541" s="66" t="s">
        <v>5256</v>
      </c>
      <c r="D1541" s="65">
        <v>10</v>
      </c>
      <c r="E1541" s="65">
        <v>1</v>
      </c>
    </row>
    <row r="1542" spans="1:5">
      <c r="A1542" s="65">
        <v>157416</v>
      </c>
      <c r="B1542" s="66" t="s">
        <v>3629</v>
      </c>
      <c r="C1542" s="66" t="s">
        <v>5257</v>
      </c>
      <c r="D1542" s="65">
        <v>1</v>
      </c>
      <c r="E1542" s="65">
        <v>1</v>
      </c>
    </row>
    <row r="1543" spans="1:5">
      <c r="A1543" s="65">
        <v>157426</v>
      </c>
      <c r="B1543" s="66" t="s">
        <v>3597</v>
      </c>
      <c r="C1543" s="66" t="s">
        <v>5258</v>
      </c>
      <c r="D1543" s="65">
        <v>143890</v>
      </c>
      <c r="E1543" s="65">
        <v>1018</v>
      </c>
    </row>
    <row r="1544" spans="1:5">
      <c r="A1544" s="65">
        <v>157427</v>
      </c>
      <c r="B1544" s="66" t="s">
        <v>3597</v>
      </c>
      <c r="C1544" s="66" t="s">
        <v>5259</v>
      </c>
      <c r="D1544" s="65">
        <v>1325</v>
      </c>
      <c r="E1544" s="65">
        <v>44</v>
      </c>
    </row>
    <row r="1545" spans="1:5">
      <c r="A1545" s="65">
        <v>157428</v>
      </c>
      <c r="B1545" s="66" t="s">
        <v>3597</v>
      </c>
      <c r="C1545" s="66" t="s">
        <v>5260</v>
      </c>
      <c r="D1545" s="65">
        <v>2750</v>
      </c>
      <c r="E1545" s="65">
        <v>82</v>
      </c>
    </row>
    <row r="1546" spans="1:5">
      <c r="A1546" s="65">
        <v>157434</v>
      </c>
      <c r="B1546" s="66" t="s">
        <v>3620</v>
      </c>
      <c r="C1546" s="66" t="s">
        <v>5261</v>
      </c>
      <c r="D1546" s="65">
        <v>2200</v>
      </c>
      <c r="E1546" s="65">
        <v>21</v>
      </c>
    </row>
    <row r="1547" spans="1:5">
      <c r="A1547" s="65">
        <v>157437</v>
      </c>
      <c r="B1547" s="66" t="s">
        <v>3620</v>
      </c>
      <c r="C1547" s="66" t="s">
        <v>5262</v>
      </c>
      <c r="D1547" s="65">
        <v>41</v>
      </c>
      <c r="E1547" s="65">
        <v>4</v>
      </c>
    </row>
    <row r="1548" spans="1:5">
      <c r="A1548" s="65">
        <v>157448</v>
      </c>
      <c r="B1548" s="66" t="s">
        <v>3639</v>
      </c>
      <c r="C1548" s="66" t="s">
        <v>5263</v>
      </c>
      <c r="D1548" s="65">
        <v>40</v>
      </c>
      <c r="E1548" s="65">
        <v>1</v>
      </c>
    </row>
    <row r="1549" spans="1:5">
      <c r="A1549" s="65">
        <v>157464</v>
      </c>
      <c r="B1549" s="66" t="s">
        <v>3599</v>
      </c>
      <c r="C1549" s="66" t="s">
        <v>5264</v>
      </c>
      <c r="D1549" s="65">
        <v>2256</v>
      </c>
      <c r="E1549" s="65">
        <v>25</v>
      </c>
    </row>
    <row r="1550" spans="1:5">
      <c r="A1550" s="65">
        <v>157507</v>
      </c>
      <c r="B1550" s="66" t="s">
        <v>3593</v>
      </c>
      <c r="C1550" s="66" t="s">
        <v>5265</v>
      </c>
      <c r="D1550" s="65">
        <v>7</v>
      </c>
      <c r="E1550" s="65">
        <v>2</v>
      </c>
    </row>
    <row r="1551" spans="1:5">
      <c r="A1551" s="65">
        <v>157509</v>
      </c>
      <c r="B1551" s="66" t="s">
        <v>3616</v>
      </c>
      <c r="C1551" s="66" t="s">
        <v>5266</v>
      </c>
      <c r="D1551" s="65">
        <v>673</v>
      </c>
      <c r="E1551" s="65">
        <v>97</v>
      </c>
    </row>
    <row r="1552" spans="1:5">
      <c r="A1552" s="65">
        <v>157510</v>
      </c>
      <c r="B1552" s="66" t="s">
        <v>3649</v>
      </c>
      <c r="C1552" s="66" t="s">
        <v>5267</v>
      </c>
      <c r="D1552" s="65">
        <v>4</v>
      </c>
      <c r="E1552" s="65">
        <v>3</v>
      </c>
    </row>
    <row r="1553" spans="1:5">
      <c r="A1553" s="65">
        <v>157511</v>
      </c>
      <c r="B1553" s="66" t="s">
        <v>3597</v>
      </c>
      <c r="C1553" s="66" t="s">
        <v>5268</v>
      </c>
      <c r="D1553" s="65">
        <v>174</v>
      </c>
      <c r="E1553" s="65">
        <v>17</v>
      </c>
    </row>
    <row r="1554" spans="1:5">
      <c r="A1554" s="65">
        <v>157513</v>
      </c>
      <c r="B1554" s="66" t="s">
        <v>3616</v>
      </c>
      <c r="C1554" s="66" t="s">
        <v>5269</v>
      </c>
      <c r="D1554" s="65">
        <v>19</v>
      </c>
      <c r="E1554" s="65">
        <v>18</v>
      </c>
    </row>
    <row r="1555" spans="1:5">
      <c r="A1555" s="65">
        <v>157514</v>
      </c>
      <c r="B1555" s="66" t="s">
        <v>3731</v>
      </c>
      <c r="C1555" s="66" t="s">
        <v>5270</v>
      </c>
      <c r="D1555" s="65">
        <v>850</v>
      </c>
      <c r="E1555" s="65">
        <v>54</v>
      </c>
    </row>
    <row r="1556" spans="1:5">
      <c r="A1556" s="65">
        <v>157572</v>
      </c>
      <c r="B1556" s="66" t="s">
        <v>5271</v>
      </c>
      <c r="C1556" s="66" t="s">
        <v>5272</v>
      </c>
      <c r="D1556" s="65">
        <v>4</v>
      </c>
      <c r="E1556" s="65">
        <v>1</v>
      </c>
    </row>
    <row r="1557" spans="1:5">
      <c r="A1557" s="65">
        <v>157576</v>
      </c>
      <c r="B1557" s="66" t="s">
        <v>3606</v>
      </c>
      <c r="C1557" s="66" t="s">
        <v>5273</v>
      </c>
      <c r="D1557" s="65">
        <v>120</v>
      </c>
      <c r="E1557" s="65">
        <v>34</v>
      </c>
    </row>
    <row r="1558" spans="1:5">
      <c r="A1558" s="65">
        <v>157615</v>
      </c>
      <c r="B1558" s="66" t="s">
        <v>3608</v>
      </c>
      <c r="C1558" s="66" t="s">
        <v>5274</v>
      </c>
      <c r="D1558" s="65">
        <v>22</v>
      </c>
      <c r="E1558" s="65">
        <v>6</v>
      </c>
    </row>
    <row r="1559" spans="1:5">
      <c r="A1559" s="65">
        <v>157617</v>
      </c>
      <c r="B1559" s="66" t="s">
        <v>3792</v>
      </c>
      <c r="C1559" s="66" t="s">
        <v>5275</v>
      </c>
      <c r="D1559" s="65">
        <v>14</v>
      </c>
      <c r="E1559" s="65">
        <v>6</v>
      </c>
    </row>
    <row r="1560" spans="1:5">
      <c r="A1560" s="65">
        <v>157618</v>
      </c>
      <c r="B1560" s="66" t="s">
        <v>3593</v>
      </c>
      <c r="C1560" s="66" t="s">
        <v>5276</v>
      </c>
      <c r="D1560" s="65">
        <v>21</v>
      </c>
      <c r="E1560" s="65">
        <v>2</v>
      </c>
    </row>
    <row r="1561" spans="1:5">
      <c r="A1561" s="65">
        <v>157620</v>
      </c>
      <c r="B1561" s="66" t="s">
        <v>3677</v>
      </c>
      <c r="C1561" s="66" t="s">
        <v>5277</v>
      </c>
      <c r="D1561" s="65">
        <v>60</v>
      </c>
      <c r="E1561" s="65">
        <v>2</v>
      </c>
    </row>
    <row r="1562" spans="1:5">
      <c r="A1562" s="65">
        <v>157621</v>
      </c>
      <c r="B1562" s="66" t="s">
        <v>3593</v>
      </c>
      <c r="C1562" s="66" t="s">
        <v>5278</v>
      </c>
      <c r="D1562" s="65">
        <v>1729</v>
      </c>
      <c r="E1562" s="65">
        <v>290</v>
      </c>
    </row>
    <row r="1563" spans="1:5">
      <c r="A1563" s="65">
        <v>157623</v>
      </c>
      <c r="B1563" s="66" t="s">
        <v>4537</v>
      </c>
      <c r="C1563" s="66" t="s">
        <v>5279</v>
      </c>
      <c r="D1563" s="65">
        <v>9900</v>
      </c>
      <c r="E1563" s="65">
        <v>301</v>
      </c>
    </row>
    <row r="1564" spans="1:5">
      <c r="A1564" s="65">
        <v>157632</v>
      </c>
      <c r="B1564" s="66" t="s">
        <v>3593</v>
      </c>
      <c r="C1564" s="66" t="s">
        <v>5280</v>
      </c>
      <c r="D1564" s="65">
        <v>1424</v>
      </c>
      <c r="E1564" s="65">
        <v>34</v>
      </c>
    </row>
    <row r="1565" spans="1:5">
      <c r="A1565" s="65">
        <v>157644</v>
      </c>
      <c r="B1565" s="66" t="s">
        <v>3775</v>
      </c>
      <c r="C1565" s="66" t="s">
        <v>5281</v>
      </c>
      <c r="D1565" s="65">
        <v>60</v>
      </c>
      <c r="E1565" s="65">
        <v>1</v>
      </c>
    </row>
    <row r="1566" spans="1:5">
      <c r="A1566" s="65">
        <v>157659</v>
      </c>
      <c r="B1566" s="66" t="s">
        <v>3639</v>
      </c>
      <c r="C1566" s="66" t="s">
        <v>5282</v>
      </c>
      <c r="D1566" s="65">
        <v>80</v>
      </c>
      <c r="E1566" s="65">
        <v>1</v>
      </c>
    </row>
    <row r="1567" spans="1:5">
      <c r="A1567" s="65">
        <v>157660</v>
      </c>
      <c r="B1567" s="66" t="s">
        <v>3597</v>
      </c>
      <c r="C1567" s="66" t="s">
        <v>5283</v>
      </c>
      <c r="D1567" s="65">
        <v>3000</v>
      </c>
      <c r="E1567" s="65">
        <v>32</v>
      </c>
    </row>
    <row r="1568" spans="1:5">
      <c r="A1568" s="65">
        <v>157663</v>
      </c>
      <c r="B1568" s="66" t="s">
        <v>3597</v>
      </c>
      <c r="C1568" s="66" t="s">
        <v>5284</v>
      </c>
      <c r="D1568" s="65">
        <v>1145</v>
      </c>
      <c r="E1568" s="65">
        <v>61</v>
      </c>
    </row>
    <row r="1569" spans="1:5">
      <c r="A1569" s="65">
        <v>157698</v>
      </c>
      <c r="B1569" s="66" t="s">
        <v>3649</v>
      </c>
      <c r="C1569" s="66" t="s">
        <v>5285</v>
      </c>
      <c r="D1569" s="65">
        <v>2008</v>
      </c>
      <c r="E1569" s="65">
        <v>168</v>
      </c>
    </row>
    <row r="1570" spans="1:5">
      <c r="A1570" s="65">
        <v>157702</v>
      </c>
      <c r="B1570" s="66" t="s">
        <v>3772</v>
      </c>
      <c r="C1570" s="66" t="s">
        <v>5286</v>
      </c>
      <c r="D1570" s="65">
        <v>12090</v>
      </c>
      <c r="E1570" s="65">
        <v>61</v>
      </c>
    </row>
    <row r="1571" spans="1:5">
      <c r="A1571" s="65">
        <v>157703</v>
      </c>
      <c r="B1571" s="66" t="s">
        <v>5287</v>
      </c>
      <c r="C1571" s="66" t="s">
        <v>5288</v>
      </c>
      <c r="D1571" s="65">
        <v>12</v>
      </c>
      <c r="E1571" s="65">
        <v>1</v>
      </c>
    </row>
    <row r="1572" spans="1:5">
      <c r="A1572" s="65">
        <v>157707</v>
      </c>
      <c r="B1572" s="66" t="s">
        <v>3593</v>
      </c>
      <c r="C1572" s="66" t="s">
        <v>5289</v>
      </c>
      <c r="D1572" s="65">
        <v>720</v>
      </c>
      <c r="E1572" s="65">
        <v>11</v>
      </c>
    </row>
    <row r="1573" spans="1:5">
      <c r="A1573" s="65">
        <v>157708</v>
      </c>
      <c r="B1573" s="66" t="s">
        <v>3606</v>
      </c>
      <c r="C1573" s="66" t="s">
        <v>5290</v>
      </c>
      <c r="D1573" s="65">
        <v>59</v>
      </c>
      <c r="E1573" s="65">
        <v>17</v>
      </c>
    </row>
    <row r="1574" spans="1:5">
      <c r="A1574" s="65">
        <v>157709</v>
      </c>
      <c r="B1574" s="66" t="s">
        <v>3777</v>
      </c>
      <c r="C1574" s="66" t="s">
        <v>5291</v>
      </c>
      <c r="D1574" s="65">
        <v>2</v>
      </c>
      <c r="E1574" s="65">
        <v>2</v>
      </c>
    </row>
    <row r="1575" spans="1:5">
      <c r="A1575" s="65">
        <v>157710</v>
      </c>
      <c r="B1575" s="66" t="s">
        <v>3649</v>
      </c>
      <c r="C1575" s="66" t="s">
        <v>5292</v>
      </c>
      <c r="D1575" s="65">
        <v>312</v>
      </c>
      <c r="E1575" s="65">
        <v>27</v>
      </c>
    </row>
    <row r="1576" spans="1:5">
      <c r="A1576" s="65">
        <v>157711</v>
      </c>
      <c r="B1576" s="66" t="s">
        <v>4059</v>
      </c>
      <c r="C1576" s="66" t="s">
        <v>5293</v>
      </c>
      <c r="D1576" s="65">
        <v>52</v>
      </c>
      <c r="E1576" s="65">
        <v>7</v>
      </c>
    </row>
    <row r="1577" spans="1:5">
      <c r="A1577" s="65">
        <v>157712</v>
      </c>
      <c r="B1577" s="66" t="s">
        <v>3641</v>
      </c>
      <c r="C1577" s="66" t="s">
        <v>5294</v>
      </c>
      <c r="D1577" s="65">
        <v>22</v>
      </c>
      <c r="E1577" s="65">
        <v>9</v>
      </c>
    </row>
    <row r="1578" spans="1:5">
      <c r="A1578" s="65">
        <v>157714</v>
      </c>
      <c r="B1578" s="66" t="s">
        <v>3593</v>
      </c>
      <c r="C1578" s="66" t="s">
        <v>5295</v>
      </c>
      <c r="D1578" s="65">
        <v>36</v>
      </c>
      <c r="E1578" s="65">
        <v>20</v>
      </c>
    </row>
    <row r="1579" spans="1:5">
      <c r="A1579" s="65">
        <v>157716</v>
      </c>
      <c r="B1579" s="66" t="s">
        <v>3665</v>
      </c>
      <c r="C1579" s="66" t="s">
        <v>5296</v>
      </c>
      <c r="D1579" s="65">
        <v>60</v>
      </c>
      <c r="E1579" s="65">
        <v>9</v>
      </c>
    </row>
    <row r="1580" spans="1:5">
      <c r="A1580" s="65">
        <v>157717</v>
      </c>
      <c r="B1580" s="66" t="s">
        <v>3614</v>
      </c>
      <c r="C1580" s="66" t="s">
        <v>5297</v>
      </c>
      <c r="D1580" s="65">
        <v>486</v>
      </c>
      <c r="E1580" s="65">
        <v>35</v>
      </c>
    </row>
    <row r="1581" spans="1:5">
      <c r="A1581" s="65">
        <v>157719</v>
      </c>
      <c r="B1581" s="66" t="s">
        <v>3593</v>
      </c>
      <c r="C1581" s="66" t="s">
        <v>5298</v>
      </c>
      <c r="D1581" s="65">
        <v>726</v>
      </c>
      <c r="E1581" s="65">
        <v>34</v>
      </c>
    </row>
    <row r="1582" spans="1:5">
      <c r="A1582" s="65">
        <v>157720</v>
      </c>
      <c r="B1582" s="66" t="s">
        <v>3629</v>
      </c>
      <c r="C1582" s="66" t="s">
        <v>5299</v>
      </c>
      <c r="D1582" s="65">
        <v>30</v>
      </c>
      <c r="E1582" s="65">
        <v>10</v>
      </c>
    </row>
    <row r="1583" spans="1:5">
      <c r="A1583" s="65">
        <v>157721</v>
      </c>
      <c r="B1583" s="66" t="s">
        <v>3597</v>
      </c>
      <c r="C1583" s="66" t="s">
        <v>5300</v>
      </c>
      <c r="D1583" s="65">
        <v>110</v>
      </c>
      <c r="E1583" s="65">
        <v>12</v>
      </c>
    </row>
    <row r="1584" spans="1:5">
      <c r="A1584" s="65">
        <v>157722</v>
      </c>
      <c r="B1584" s="66" t="s">
        <v>3629</v>
      </c>
      <c r="C1584" s="66" t="s">
        <v>5301</v>
      </c>
      <c r="D1584" s="65">
        <v>70</v>
      </c>
      <c r="E1584" s="65">
        <v>10</v>
      </c>
    </row>
    <row r="1585" spans="1:5">
      <c r="A1585" s="65">
        <v>157723</v>
      </c>
      <c r="B1585" s="66" t="s">
        <v>3665</v>
      </c>
      <c r="C1585" s="66" t="s">
        <v>5302</v>
      </c>
      <c r="D1585" s="65">
        <v>96</v>
      </c>
      <c r="E1585" s="65">
        <v>18</v>
      </c>
    </row>
    <row r="1586" spans="1:5">
      <c r="A1586" s="65">
        <v>157724</v>
      </c>
      <c r="B1586" s="66" t="s">
        <v>3612</v>
      </c>
      <c r="C1586" s="66" t="s">
        <v>5303</v>
      </c>
      <c r="D1586" s="65">
        <v>66</v>
      </c>
      <c r="E1586" s="65">
        <v>4</v>
      </c>
    </row>
    <row r="1587" spans="1:5">
      <c r="A1587" s="65">
        <v>157725</v>
      </c>
      <c r="B1587" s="66" t="s">
        <v>3629</v>
      </c>
      <c r="C1587" s="66" t="s">
        <v>5304</v>
      </c>
      <c r="D1587" s="65">
        <v>60</v>
      </c>
      <c r="E1587" s="65">
        <v>10</v>
      </c>
    </row>
    <row r="1588" spans="1:5">
      <c r="A1588" s="65">
        <v>157727</v>
      </c>
      <c r="B1588" s="66" t="s">
        <v>3625</v>
      </c>
      <c r="C1588" s="66" t="s">
        <v>5305</v>
      </c>
      <c r="D1588" s="65">
        <v>15</v>
      </c>
      <c r="E1588" s="65">
        <v>3</v>
      </c>
    </row>
    <row r="1589" spans="1:5">
      <c r="A1589" s="65">
        <v>157733</v>
      </c>
      <c r="B1589" s="66" t="s">
        <v>4317</v>
      </c>
      <c r="C1589" s="66" t="s">
        <v>5178</v>
      </c>
      <c r="D1589" s="65">
        <v>53</v>
      </c>
      <c r="E1589" s="65">
        <v>13</v>
      </c>
    </row>
    <row r="1590" spans="1:5">
      <c r="A1590" s="65">
        <v>157797</v>
      </c>
      <c r="B1590" s="66" t="s">
        <v>3593</v>
      </c>
      <c r="C1590" s="66" t="s">
        <v>5306</v>
      </c>
      <c r="D1590" s="65">
        <v>181</v>
      </c>
      <c r="E1590" s="65">
        <v>12</v>
      </c>
    </row>
    <row r="1591" spans="1:5">
      <c r="A1591" s="65">
        <v>157858</v>
      </c>
      <c r="B1591" s="66" t="s">
        <v>5307</v>
      </c>
      <c r="C1591" s="66" t="s">
        <v>5308</v>
      </c>
      <c r="D1591" s="65">
        <v>8</v>
      </c>
      <c r="E1591" s="65">
        <v>1</v>
      </c>
    </row>
    <row r="1592" spans="1:5">
      <c r="A1592" s="65">
        <v>157878</v>
      </c>
      <c r="B1592" s="66" t="s">
        <v>5235</v>
      </c>
      <c r="C1592" s="66" t="s">
        <v>5309</v>
      </c>
      <c r="D1592" s="65">
        <v>20</v>
      </c>
      <c r="E1592" s="65">
        <v>1</v>
      </c>
    </row>
    <row r="1593" spans="1:5">
      <c r="A1593" s="65">
        <v>157879</v>
      </c>
      <c r="B1593" s="66" t="s">
        <v>3649</v>
      </c>
      <c r="C1593" s="66" t="s">
        <v>5310</v>
      </c>
      <c r="D1593" s="65">
        <v>231</v>
      </c>
      <c r="E1593" s="65">
        <v>43</v>
      </c>
    </row>
    <row r="1594" spans="1:5">
      <c r="A1594" s="65">
        <v>157880</v>
      </c>
      <c r="B1594" s="66" t="s">
        <v>3597</v>
      </c>
      <c r="C1594" s="66" t="s">
        <v>5311</v>
      </c>
      <c r="D1594" s="65">
        <v>16720</v>
      </c>
      <c r="E1594" s="65">
        <v>69</v>
      </c>
    </row>
    <row r="1595" spans="1:5">
      <c r="A1595" s="65">
        <v>157988</v>
      </c>
      <c r="B1595" s="66" t="s">
        <v>3614</v>
      </c>
      <c r="C1595" s="66" t="s">
        <v>5312</v>
      </c>
      <c r="D1595" s="65">
        <v>18</v>
      </c>
      <c r="E1595" s="65">
        <v>3</v>
      </c>
    </row>
    <row r="1596" spans="1:5">
      <c r="A1596" s="65">
        <v>1580</v>
      </c>
      <c r="B1596" s="66" t="s">
        <v>3783</v>
      </c>
      <c r="C1596" s="66" t="s">
        <v>5313</v>
      </c>
      <c r="D1596" s="65">
        <v>25</v>
      </c>
      <c r="E1596" s="65">
        <v>5</v>
      </c>
    </row>
    <row r="1597" spans="1:5">
      <c r="A1597" s="65">
        <v>158001</v>
      </c>
      <c r="B1597" s="66" t="s">
        <v>3599</v>
      </c>
      <c r="C1597" s="66" t="s">
        <v>5314</v>
      </c>
      <c r="D1597" s="65">
        <v>51</v>
      </c>
      <c r="E1597" s="65">
        <v>8</v>
      </c>
    </row>
    <row r="1598" spans="1:5">
      <c r="A1598" s="65">
        <v>158003</v>
      </c>
      <c r="B1598" s="66" t="s">
        <v>3639</v>
      </c>
      <c r="C1598" s="66" t="s">
        <v>5315</v>
      </c>
      <c r="D1598" s="65">
        <v>35</v>
      </c>
      <c r="E1598" s="65">
        <v>6</v>
      </c>
    </row>
    <row r="1599" spans="1:5">
      <c r="A1599" s="65">
        <v>158011</v>
      </c>
      <c r="B1599" s="66" t="s">
        <v>3614</v>
      </c>
      <c r="C1599" s="66" t="s">
        <v>5316</v>
      </c>
      <c r="D1599" s="65">
        <v>4</v>
      </c>
      <c r="E1599" s="65">
        <v>1</v>
      </c>
    </row>
    <row r="1600" spans="1:5">
      <c r="A1600" s="65">
        <v>158028</v>
      </c>
      <c r="B1600" s="66" t="s">
        <v>3639</v>
      </c>
      <c r="C1600" s="66" t="s">
        <v>5317</v>
      </c>
      <c r="D1600" s="65">
        <v>7</v>
      </c>
      <c r="E1600" s="65">
        <v>4</v>
      </c>
    </row>
    <row r="1601" spans="1:5">
      <c r="A1601" s="65">
        <v>158029</v>
      </c>
      <c r="B1601" s="66" t="s">
        <v>3639</v>
      </c>
      <c r="C1601" s="66" t="s">
        <v>5318</v>
      </c>
      <c r="D1601" s="65">
        <v>3</v>
      </c>
      <c r="E1601" s="65">
        <v>2</v>
      </c>
    </row>
    <row r="1602" spans="1:5">
      <c r="A1602" s="65">
        <v>158030</v>
      </c>
      <c r="B1602" s="66" t="s">
        <v>3639</v>
      </c>
      <c r="C1602" s="66" t="s">
        <v>5319</v>
      </c>
      <c r="D1602" s="65">
        <v>5</v>
      </c>
      <c r="E1602" s="65">
        <v>4</v>
      </c>
    </row>
    <row r="1603" spans="1:5">
      <c r="A1603" s="65">
        <v>158031</v>
      </c>
      <c r="B1603" s="66" t="s">
        <v>3639</v>
      </c>
      <c r="C1603" s="66" t="s">
        <v>5320</v>
      </c>
      <c r="D1603" s="65">
        <v>4</v>
      </c>
      <c r="E1603" s="65">
        <v>2</v>
      </c>
    </row>
    <row r="1604" spans="1:5">
      <c r="A1604" s="65">
        <v>158032</v>
      </c>
      <c r="B1604" s="66" t="s">
        <v>3639</v>
      </c>
      <c r="C1604" s="66" t="s">
        <v>5321</v>
      </c>
      <c r="D1604" s="65">
        <v>4</v>
      </c>
      <c r="E1604" s="65">
        <v>2</v>
      </c>
    </row>
    <row r="1605" spans="1:5">
      <c r="A1605" s="65">
        <v>158033</v>
      </c>
      <c r="B1605" s="66" t="s">
        <v>3639</v>
      </c>
      <c r="C1605" s="66" t="s">
        <v>5322</v>
      </c>
      <c r="D1605" s="65">
        <v>3</v>
      </c>
      <c r="E1605" s="65">
        <v>2</v>
      </c>
    </row>
    <row r="1606" spans="1:5">
      <c r="A1606" s="65">
        <v>158034</v>
      </c>
      <c r="B1606" s="66" t="s">
        <v>3639</v>
      </c>
      <c r="C1606" s="66" t="s">
        <v>5323</v>
      </c>
      <c r="D1606" s="65">
        <v>11</v>
      </c>
      <c r="E1606" s="65">
        <v>6</v>
      </c>
    </row>
    <row r="1607" spans="1:5">
      <c r="A1607" s="65">
        <v>158035</v>
      </c>
      <c r="B1607" s="66" t="s">
        <v>3639</v>
      </c>
      <c r="C1607" s="66" t="s">
        <v>5324</v>
      </c>
      <c r="D1607" s="65">
        <v>3</v>
      </c>
      <c r="E1607" s="65">
        <v>2</v>
      </c>
    </row>
    <row r="1608" spans="1:5">
      <c r="A1608" s="65">
        <v>158078</v>
      </c>
      <c r="B1608" s="66" t="s">
        <v>5325</v>
      </c>
      <c r="C1608" s="66" t="s">
        <v>5326</v>
      </c>
      <c r="D1608" s="65">
        <v>5</v>
      </c>
      <c r="E1608" s="65">
        <v>1</v>
      </c>
    </row>
    <row r="1609" spans="1:5">
      <c r="A1609" s="65">
        <v>158105</v>
      </c>
      <c r="B1609" s="66" t="s">
        <v>4604</v>
      </c>
      <c r="C1609" s="66" t="s">
        <v>5327</v>
      </c>
      <c r="D1609" s="65">
        <v>2</v>
      </c>
      <c r="E1609" s="65">
        <v>1</v>
      </c>
    </row>
    <row r="1610" spans="1:5">
      <c r="A1610" s="65">
        <v>158112</v>
      </c>
      <c r="B1610" s="66" t="s">
        <v>4455</v>
      </c>
      <c r="C1610" s="66" t="s">
        <v>5328</v>
      </c>
      <c r="D1610" s="65">
        <v>3</v>
      </c>
      <c r="E1610" s="65">
        <v>2</v>
      </c>
    </row>
    <row r="1611" spans="1:5">
      <c r="A1611" s="65">
        <v>158116</v>
      </c>
      <c r="B1611" s="66" t="s">
        <v>3629</v>
      </c>
      <c r="C1611" s="66" t="s">
        <v>5329</v>
      </c>
      <c r="D1611" s="65">
        <v>36</v>
      </c>
      <c r="E1611" s="65">
        <v>15</v>
      </c>
    </row>
    <row r="1612" spans="1:5">
      <c r="A1612" s="65">
        <v>158117</v>
      </c>
      <c r="B1612" s="66" t="s">
        <v>4020</v>
      </c>
      <c r="C1612" s="66" t="s">
        <v>5330</v>
      </c>
      <c r="D1612" s="65">
        <v>1</v>
      </c>
      <c r="E1612" s="65">
        <v>1</v>
      </c>
    </row>
    <row r="1613" spans="1:5">
      <c r="A1613" s="65">
        <v>158172</v>
      </c>
      <c r="B1613" s="66" t="s">
        <v>4822</v>
      </c>
      <c r="C1613" s="66" t="s">
        <v>5331</v>
      </c>
      <c r="D1613" s="65">
        <v>275</v>
      </c>
      <c r="E1613" s="65">
        <v>3</v>
      </c>
    </row>
    <row r="1614" spans="1:5">
      <c r="A1614" s="65">
        <v>158176</v>
      </c>
      <c r="B1614" s="66" t="s">
        <v>3641</v>
      </c>
      <c r="C1614" s="66" t="s">
        <v>5332</v>
      </c>
      <c r="D1614" s="65">
        <v>620</v>
      </c>
      <c r="E1614" s="65">
        <v>4</v>
      </c>
    </row>
    <row r="1615" spans="1:5">
      <c r="A1615" s="65">
        <v>158179</v>
      </c>
      <c r="B1615" s="66" t="s">
        <v>5235</v>
      </c>
      <c r="C1615" s="66" t="s">
        <v>5333</v>
      </c>
      <c r="D1615" s="65">
        <v>20</v>
      </c>
      <c r="E1615" s="65">
        <v>1</v>
      </c>
    </row>
    <row r="1616" spans="1:5">
      <c r="A1616" s="65">
        <v>158188</v>
      </c>
      <c r="B1616" s="66" t="s">
        <v>3998</v>
      </c>
      <c r="C1616" s="66" t="s">
        <v>5334</v>
      </c>
      <c r="D1616" s="65">
        <v>30</v>
      </c>
      <c r="E1616" s="65">
        <v>1</v>
      </c>
    </row>
    <row r="1617" spans="1:5">
      <c r="A1617" s="65">
        <v>158190</v>
      </c>
      <c r="B1617" s="66" t="s">
        <v>5235</v>
      </c>
      <c r="C1617" s="66" t="s">
        <v>5335</v>
      </c>
      <c r="D1617" s="65">
        <v>902</v>
      </c>
      <c r="E1617" s="65">
        <v>7</v>
      </c>
    </row>
    <row r="1618" spans="1:5">
      <c r="A1618" s="65">
        <v>158197</v>
      </c>
      <c r="B1618" s="66" t="s">
        <v>3601</v>
      </c>
      <c r="C1618" s="66" t="s">
        <v>5336</v>
      </c>
      <c r="D1618" s="65">
        <v>4475</v>
      </c>
      <c r="E1618" s="65">
        <v>56</v>
      </c>
    </row>
    <row r="1619" spans="1:5">
      <c r="A1619" s="65">
        <v>158198</v>
      </c>
      <c r="B1619" s="66" t="s">
        <v>3601</v>
      </c>
      <c r="C1619" s="66" t="s">
        <v>5337</v>
      </c>
      <c r="D1619" s="65">
        <v>4350</v>
      </c>
      <c r="E1619" s="65">
        <v>60</v>
      </c>
    </row>
    <row r="1620" spans="1:5">
      <c r="A1620" s="65">
        <v>158205</v>
      </c>
      <c r="B1620" s="66" t="s">
        <v>3677</v>
      </c>
      <c r="C1620" s="66" t="s">
        <v>5338</v>
      </c>
      <c r="D1620" s="65">
        <v>351</v>
      </c>
      <c r="E1620" s="65">
        <v>102</v>
      </c>
    </row>
    <row r="1621" spans="1:5">
      <c r="A1621" s="65">
        <v>158211</v>
      </c>
      <c r="B1621" s="66" t="s">
        <v>3772</v>
      </c>
      <c r="C1621" s="66" t="s">
        <v>5339</v>
      </c>
      <c r="D1621" s="65">
        <v>314</v>
      </c>
      <c r="E1621" s="65">
        <v>30</v>
      </c>
    </row>
    <row r="1622" spans="1:5">
      <c r="A1622" s="65">
        <v>158212</v>
      </c>
      <c r="B1622" s="66" t="s">
        <v>3597</v>
      </c>
      <c r="C1622" s="66" t="s">
        <v>5340</v>
      </c>
      <c r="D1622" s="65">
        <v>7212</v>
      </c>
      <c r="E1622" s="65">
        <v>300</v>
      </c>
    </row>
    <row r="1623" spans="1:5">
      <c r="A1623" s="65">
        <v>158217</v>
      </c>
      <c r="B1623" s="66" t="s">
        <v>3649</v>
      </c>
      <c r="C1623" s="66" t="s">
        <v>5341</v>
      </c>
      <c r="D1623" s="65">
        <v>168</v>
      </c>
      <c r="E1623" s="65">
        <v>12</v>
      </c>
    </row>
    <row r="1624" spans="1:5">
      <c r="A1624" s="65">
        <v>158218</v>
      </c>
      <c r="B1624" s="66" t="s">
        <v>3593</v>
      </c>
      <c r="C1624" s="66" t="s">
        <v>5342</v>
      </c>
      <c r="D1624" s="65">
        <v>109</v>
      </c>
      <c r="E1624" s="65">
        <v>4</v>
      </c>
    </row>
    <row r="1625" spans="1:5">
      <c r="A1625" s="65">
        <v>158219</v>
      </c>
      <c r="B1625" s="66" t="s">
        <v>5343</v>
      </c>
      <c r="C1625" s="66" t="s">
        <v>5344</v>
      </c>
      <c r="D1625" s="65">
        <v>75</v>
      </c>
      <c r="E1625" s="65">
        <v>2</v>
      </c>
    </row>
    <row r="1626" spans="1:5">
      <c r="A1626" s="65">
        <v>158300</v>
      </c>
      <c r="B1626" s="66" t="s">
        <v>3597</v>
      </c>
      <c r="C1626" s="66" t="s">
        <v>5345</v>
      </c>
      <c r="D1626" s="65">
        <v>110</v>
      </c>
      <c r="E1626" s="65">
        <v>62</v>
      </c>
    </row>
    <row r="1627" spans="1:5">
      <c r="A1627" s="65">
        <v>159000</v>
      </c>
      <c r="B1627" s="66" t="s">
        <v>3616</v>
      </c>
      <c r="C1627" s="66" t="s">
        <v>5346</v>
      </c>
      <c r="D1627" s="65">
        <v>603</v>
      </c>
      <c r="E1627" s="65">
        <v>78</v>
      </c>
    </row>
    <row r="1628" spans="1:5">
      <c r="A1628" s="65">
        <v>159001</v>
      </c>
      <c r="B1628" s="66" t="s">
        <v>3616</v>
      </c>
      <c r="C1628" s="66" t="s">
        <v>5347</v>
      </c>
      <c r="D1628" s="65">
        <v>2232</v>
      </c>
      <c r="E1628" s="65">
        <v>32</v>
      </c>
    </row>
    <row r="1629" spans="1:5">
      <c r="A1629" s="65">
        <v>159002</v>
      </c>
      <c r="B1629" s="66" t="s">
        <v>3616</v>
      </c>
      <c r="C1629" s="66" t="s">
        <v>5348</v>
      </c>
      <c r="D1629" s="65">
        <v>552</v>
      </c>
      <c r="E1629" s="65">
        <v>25</v>
      </c>
    </row>
    <row r="1630" spans="1:5">
      <c r="A1630" s="65">
        <v>159005</v>
      </c>
      <c r="B1630" s="66" t="s">
        <v>5349</v>
      </c>
      <c r="C1630" s="66" t="s">
        <v>5350</v>
      </c>
      <c r="D1630" s="65">
        <v>7</v>
      </c>
      <c r="E1630" s="65">
        <v>2</v>
      </c>
    </row>
    <row r="1631" spans="1:5">
      <c r="A1631" s="65">
        <v>159017</v>
      </c>
      <c r="B1631" s="66" t="s">
        <v>4502</v>
      </c>
      <c r="C1631" s="66" t="s">
        <v>5351</v>
      </c>
      <c r="D1631" s="65">
        <v>2</v>
      </c>
      <c r="E1631" s="65">
        <v>1</v>
      </c>
    </row>
    <row r="1632" spans="1:5">
      <c r="A1632" s="65">
        <v>159018</v>
      </c>
      <c r="B1632" s="66" t="s">
        <v>3689</v>
      </c>
      <c r="C1632" s="66" t="s">
        <v>5352</v>
      </c>
      <c r="D1632" s="65">
        <v>3</v>
      </c>
      <c r="E1632" s="65">
        <v>2</v>
      </c>
    </row>
    <row r="1633" spans="1:5">
      <c r="A1633" s="65">
        <v>159019</v>
      </c>
      <c r="B1633" s="66" t="s">
        <v>3689</v>
      </c>
      <c r="C1633" s="66" t="s">
        <v>5353</v>
      </c>
      <c r="D1633" s="65">
        <v>1</v>
      </c>
      <c r="E1633" s="65">
        <v>1</v>
      </c>
    </row>
    <row r="1634" spans="1:5">
      <c r="A1634" s="65">
        <v>159021</v>
      </c>
      <c r="B1634" s="66" t="s">
        <v>3599</v>
      </c>
      <c r="C1634" s="66" t="s">
        <v>5354</v>
      </c>
      <c r="D1634" s="65">
        <v>1000</v>
      </c>
      <c r="E1634" s="65">
        <v>5</v>
      </c>
    </row>
    <row r="1635" spans="1:5">
      <c r="A1635" s="65">
        <v>159022</v>
      </c>
      <c r="B1635" s="66" t="s">
        <v>4502</v>
      </c>
      <c r="C1635" s="66" t="s">
        <v>5355</v>
      </c>
      <c r="D1635" s="65">
        <v>4</v>
      </c>
      <c r="E1635" s="65">
        <v>2</v>
      </c>
    </row>
    <row r="1636" spans="1:5">
      <c r="A1636" s="65">
        <v>159025</v>
      </c>
      <c r="B1636" s="66" t="s">
        <v>4253</v>
      </c>
      <c r="C1636" s="66" t="s">
        <v>5356</v>
      </c>
      <c r="D1636" s="65">
        <v>20</v>
      </c>
      <c r="E1636" s="65">
        <v>2</v>
      </c>
    </row>
    <row r="1637" spans="1:5">
      <c r="A1637" s="65">
        <v>159026</v>
      </c>
      <c r="B1637" s="66" t="s">
        <v>4253</v>
      </c>
      <c r="C1637" s="66" t="s">
        <v>5357</v>
      </c>
      <c r="D1637" s="65">
        <v>10</v>
      </c>
      <c r="E1637" s="65">
        <v>1</v>
      </c>
    </row>
    <row r="1638" spans="1:5">
      <c r="A1638" s="65">
        <v>159027</v>
      </c>
      <c r="B1638" s="66" t="s">
        <v>3593</v>
      </c>
      <c r="C1638" s="66" t="s">
        <v>5358</v>
      </c>
      <c r="D1638" s="65">
        <v>80</v>
      </c>
      <c r="E1638" s="65">
        <v>4</v>
      </c>
    </row>
    <row r="1639" spans="1:5">
      <c r="A1639" s="65">
        <v>159028</v>
      </c>
      <c r="B1639" s="66" t="s">
        <v>3599</v>
      </c>
      <c r="C1639" s="66" t="s">
        <v>5359</v>
      </c>
      <c r="D1639" s="65">
        <v>80</v>
      </c>
      <c r="E1639" s="65">
        <v>4</v>
      </c>
    </row>
    <row r="1640" spans="1:5">
      <c r="A1640" s="65">
        <v>159034</v>
      </c>
      <c r="B1640" s="66" t="s">
        <v>3593</v>
      </c>
      <c r="C1640" s="66" t="s">
        <v>5360</v>
      </c>
      <c r="D1640" s="65">
        <v>50</v>
      </c>
      <c r="E1640" s="65">
        <v>3</v>
      </c>
    </row>
    <row r="1641" spans="1:5">
      <c r="A1641" s="65">
        <v>159039</v>
      </c>
      <c r="B1641" s="66" t="s">
        <v>3599</v>
      </c>
      <c r="C1641" s="66" t="s">
        <v>5361</v>
      </c>
      <c r="D1641" s="65">
        <v>1000</v>
      </c>
      <c r="E1641" s="65">
        <v>4</v>
      </c>
    </row>
    <row r="1642" spans="1:5">
      <c r="A1642" s="65">
        <v>159040</v>
      </c>
      <c r="B1642" s="66" t="s">
        <v>5085</v>
      </c>
      <c r="C1642" s="66" t="s">
        <v>5362</v>
      </c>
      <c r="D1642" s="65">
        <v>400</v>
      </c>
      <c r="E1642" s="65">
        <v>2</v>
      </c>
    </row>
    <row r="1643" spans="1:5">
      <c r="A1643" s="65">
        <v>159052</v>
      </c>
      <c r="B1643" s="66" t="s">
        <v>3689</v>
      </c>
      <c r="C1643" s="66" t="s">
        <v>5363</v>
      </c>
      <c r="D1643" s="65">
        <v>400</v>
      </c>
      <c r="E1643" s="65">
        <v>4</v>
      </c>
    </row>
    <row r="1644" spans="1:5">
      <c r="A1644" s="65">
        <v>159053</v>
      </c>
      <c r="B1644" s="66" t="s">
        <v>3599</v>
      </c>
      <c r="C1644" s="66" t="s">
        <v>5364</v>
      </c>
      <c r="D1644" s="65">
        <v>900</v>
      </c>
      <c r="E1644" s="65">
        <v>7</v>
      </c>
    </row>
    <row r="1645" spans="1:5">
      <c r="A1645" s="65">
        <v>159054</v>
      </c>
      <c r="B1645" s="66" t="s">
        <v>3593</v>
      </c>
      <c r="C1645" s="66" t="s">
        <v>5365</v>
      </c>
      <c r="D1645" s="65">
        <v>800</v>
      </c>
      <c r="E1645" s="65">
        <v>4</v>
      </c>
    </row>
    <row r="1646" spans="1:5">
      <c r="A1646" s="65">
        <v>159055</v>
      </c>
      <c r="B1646" s="66" t="s">
        <v>3599</v>
      </c>
      <c r="C1646" s="66" t="s">
        <v>5366</v>
      </c>
      <c r="D1646" s="65">
        <v>1300</v>
      </c>
      <c r="E1646" s="65">
        <v>7</v>
      </c>
    </row>
    <row r="1647" spans="1:5">
      <c r="A1647" s="65">
        <v>159056</v>
      </c>
      <c r="B1647" s="66" t="s">
        <v>3783</v>
      </c>
      <c r="C1647" s="66" t="s">
        <v>5367</v>
      </c>
      <c r="D1647" s="65">
        <v>1000</v>
      </c>
      <c r="E1647" s="65">
        <v>4</v>
      </c>
    </row>
    <row r="1648" spans="1:5">
      <c r="A1648" s="65">
        <v>159057</v>
      </c>
      <c r="B1648" s="66" t="s">
        <v>3689</v>
      </c>
      <c r="C1648" s="66" t="s">
        <v>5368</v>
      </c>
      <c r="D1648" s="65">
        <v>25</v>
      </c>
      <c r="E1648" s="65">
        <v>1</v>
      </c>
    </row>
    <row r="1649" spans="1:5">
      <c r="A1649" s="65">
        <v>159058</v>
      </c>
      <c r="B1649" s="66" t="s">
        <v>3689</v>
      </c>
      <c r="C1649" s="66" t="s">
        <v>5369</v>
      </c>
      <c r="D1649" s="65">
        <v>25</v>
      </c>
      <c r="E1649" s="65">
        <v>1</v>
      </c>
    </row>
    <row r="1650" spans="1:5">
      <c r="A1650" s="65">
        <v>159059</v>
      </c>
      <c r="B1650" s="66" t="s">
        <v>3689</v>
      </c>
      <c r="C1650" s="66" t="s">
        <v>5370</v>
      </c>
      <c r="D1650" s="65">
        <v>25</v>
      </c>
      <c r="E1650" s="65">
        <v>1</v>
      </c>
    </row>
    <row r="1651" spans="1:5">
      <c r="A1651" s="65">
        <v>159060</v>
      </c>
      <c r="B1651" s="66" t="s">
        <v>3689</v>
      </c>
      <c r="C1651" s="66" t="s">
        <v>5371</v>
      </c>
      <c r="D1651" s="65">
        <v>50</v>
      </c>
      <c r="E1651" s="65">
        <v>2</v>
      </c>
    </row>
    <row r="1652" spans="1:5">
      <c r="A1652" s="65">
        <v>159061</v>
      </c>
      <c r="B1652" s="66" t="s">
        <v>3689</v>
      </c>
      <c r="C1652" s="66" t="s">
        <v>5372</v>
      </c>
      <c r="D1652" s="65">
        <v>800</v>
      </c>
      <c r="E1652" s="65">
        <v>2</v>
      </c>
    </row>
    <row r="1653" spans="1:5">
      <c r="A1653" s="65">
        <v>159062</v>
      </c>
      <c r="B1653" s="66" t="s">
        <v>3689</v>
      </c>
      <c r="C1653" s="66" t="s">
        <v>5373</v>
      </c>
      <c r="D1653" s="65">
        <v>150</v>
      </c>
      <c r="E1653" s="65">
        <v>1</v>
      </c>
    </row>
    <row r="1654" spans="1:5">
      <c r="A1654" s="65">
        <v>159063</v>
      </c>
      <c r="B1654" s="66" t="s">
        <v>3689</v>
      </c>
      <c r="C1654" s="66" t="s">
        <v>5374</v>
      </c>
      <c r="D1654" s="65">
        <v>25</v>
      </c>
      <c r="E1654" s="65">
        <v>1</v>
      </c>
    </row>
    <row r="1655" spans="1:5">
      <c r="A1655" s="65">
        <v>159064</v>
      </c>
      <c r="B1655" s="66" t="s">
        <v>3689</v>
      </c>
      <c r="C1655" s="66" t="s">
        <v>5375</v>
      </c>
      <c r="D1655" s="65">
        <v>25</v>
      </c>
      <c r="E1655" s="65">
        <v>1</v>
      </c>
    </row>
    <row r="1656" spans="1:5">
      <c r="A1656" s="65">
        <v>159065</v>
      </c>
      <c r="B1656" s="66" t="s">
        <v>5085</v>
      </c>
      <c r="C1656" s="66" t="s">
        <v>5376</v>
      </c>
      <c r="D1656" s="65">
        <v>100</v>
      </c>
      <c r="E1656" s="65">
        <v>1</v>
      </c>
    </row>
    <row r="1657" spans="1:5">
      <c r="A1657" s="65">
        <v>159066</v>
      </c>
      <c r="B1657" s="66" t="s">
        <v>4502</v>
      </c>
      <c r="C1657" s="66" t="s">
        <v>5377</v>
      </c>
      <c r="D1657" s="65">
        <v>100</v>
      </c>
      <c r="E1657" s="65">
        <v>1</v>
      </c>
    </row>
    <row r="1658" spans="1:5">
      <c r="A1658" s="65">
        <v>159067</v>
      </c>
      <c r="B1658" s="66" t="s">
        <v>3599</v>
      </c>
      <c r="C1658" s="66" t="s">
        <v>5378</v>
      </c>
      <c r="D1658" s="65">
        <v>100</v>
      </c>
      <c r="E1658" s="65">
        <v>1</v>
      </c>
    </row>
    <row r="1659" spans="1:5">
      <c r="A1659" s="65">
        <v>159068</v>
      </c>
      <c r="B1659" s="66" t="s">
        <v>3599</v>
      </c>
      <c r="C1659" s="66" t="s">
        <v>5379</v>
      </c>
      <c r="D1659" s="65">
        <v>96</v>
      </c>
      <c r="E1659" s="65">
        <v>2</v>
      </c>
    </row>
    <row r="1660" spans="1:5">
      <c r="A1660" s="65">
        <v>159069</v>
      </c>
      <c r="B1660" s="66" t="s">
        <v>4502</v>
      </c>
      <c r="C1660" s="66" t="s">
        <v>4753</v>
      </c>
      <c r="D1660" s="65">
        <v>8</v>
      </c>
      <c r="E1660" s="65">
        <v>3</v>
      </c>
    </row>
    <row r="1661" spans="1:5">
      <c r="A1661" s="65">
        <v>159070</v>
      </c>
      <c r="B1661" s="66" t="s">
        <v>3599</v>
      </c>
      <c r="C1661" s="66" t="s">
        <v>5380</v>
      </c>
      <c r="D1661" s="65">
        <v>192</v>
      </c>
      <c r="E1661" s="65">
        <v>5</v>
      </c>
    </row>
    <row r="1662" spans="1:5">
      <c r="A1662" s="65">
        <v>159071</v>
      </c>
      <c r="B1662" s="66" t="s">
        <v>4253</v>
      </c>
      <c r="C1662" s="66" t="s">
        <v>5381</v>
      </c>
      <c r="D1662" s="65">
        <v>100</v>
      </c>
      <c r="E1662" s="65">
        <v>1</v>
      </c>
    </row>
    <row r="1663" spans="1:5">
      <c r="A1663" s="65">
        <v>159072</v>
      </c>
      <c r="B1663" s="66" t="s">
        <v>4253</v>
      </c>
      <c r="C1663" s="66" t="s">
        <v>5382</v>
      </c>
      <c r="D1663" s="65">
        <v>40</v>
      </c>
      <c r="E1663" s="65">
        <v>1</v>
      </c>
    </row>
    <row r="1664" spans="1:5">
      <c r="A1664" s="65">
        <v>159073</v>
      </c>
      <c r="B1664" s="66" t="s">
        <v>4253</v>
      </c>
      <c r="C1664" s="66" t="s">
        <v>3901</v>
      </c>
      <c r="D1664" s="65">
        <v>200</v>
      </c>
      <c r="E1664" s="65">
        <v>1</v>
      </c>
    </row>
    <row r="1665" spans="1:5">
      <c r="A1665" s="65">
        <v>159084</v>
      </c>
      <c r="B1665" s="66" t="s">
        <v>3641</v>
      </c>
      <c r="C1665" s="66" t="s">
        <v>5383</v>
      </c>
      <c r="D1665" s="65">
        <v>1</v>
      </c>
      <c r="E1665" s="65">
        <v>1</v>
      </c>
    </row>
    <row r="1666" spans="1:5">
      <c r="A1666" s="65">
        <v>159145</v>
      </c>
      <c r="B1666" s="66" t="s">
        <v>3662</v>
      </c>
      <c r="C1666" s="66" t="s">
        <v>5384</v>
      </c>
      <c r="D1666" s="65">
        <v>8</v>
      </c>
      <c r="E1666" s="65">
        <v>3</v>
      </c>
    </row>
    <row r="1667" spans="1:5">
      <c r="A1667" s="65">
        <v>159180</v>
      </c>
      <c r="B1667" s="66" t="s">
        <v>3635</v>
      </c>
      <c r="C1667" s="66" t="s">
        <v>5385</v>
      </c>
      <c r="D1667" s="65">
        <v>59</v>
      </c>
      <c r="E1667" s="65">
        <v>6</v>
      </c>
    </row>
    <row r="1668" spans="1:5">
      <c r="A1668" s="65">
        <v>159183</v>
      </c>
      <c r="B1668" s="66" t="s">
        <v>5386</v>
      </c>
      <c r="C1668" s="66" t="s">
        <v>5387</v>
      </c>
      <c r="D1668" s="65">
        <v>5</v>
      </c>
      <c r="E1668" s="65">
        <v>1</v>
      </c>
    </row>
    <row r="1669" spans="1:5">
      <c r="A1669" s="65">
        <v>159184</v>
      </c>
      <c r="B1669" s="66" t="s">
        <v>3601</v>
      </c>
      <c r="C1669" s="66" t="s">
        <v>5388</v>
      </c>
      <c r="D1669" s="65">
        <v>11000</v>
      </c>
      <c r="E1669" s="65">
        <v>41</v>
      </c>
    </row>
    <row r="1670" spans="1:5">
      <c r="A1670" s="65">
        <v>159191</v>
      </c>
      <c r="B1670" s="66" t="s">
        <v>3593</v>
      </c>
      <c r="C1670" s="66" t="s">
        <v>5389</v>
      </c>
      <c r="D1670" s="65">
        <v>492</v>
      </c>
      <c r="E1670" s="65">
        <v>155</v>
      </c>
    </row>
    <row r="1671" spans="1:5">
      <c r="A1671" s="65">
        <v>159192</v>
      </c>
      <c r="B1671" s="66" t="s">
        <v>3593</v>
      </c>
      <c r="C1671" s="66" t="s">
        <v>5390</v>
      </c>
      <c r="D1671" s="65">
        <v>366</v>
      </c>
      <c r="E1671" s="65">
        <v>114</v>
      </c>
    </row>
    <row r="1672" spans="1:5">
      <c r="A1672" s="65">
        <v>159193</v>
      </c>
      <c r="B1672" s="66" t="s">
        <v>3786</v>
      </c>
      <c r="C1672" s="66" t="s">
        <v>5391</v>
      </c>
      <c r="D1672" s="65">
        <v>1</v>
      </c>
      <c r="E1672" s="65">
        <v>1</v>
      </c>
    </row>
    <row r="1673" spans="1:5">
      <c r="A1673" s="65">
        <v>159195</v>
      </c>
      <c r="B1673" s="66" t="s">
        <v>3786</v>
      </c>
      <c r="C1673" s="66" t="s">
        <v>5392</v>
      </c>
      <c r="D1673" s="65">
        <v>81</v>
      </c>
      <c r="E1673" s="65">
        <v>6</v>
      </c>
    </row>
    <row r="1674" spans="1:5">
      <c r="A1674" s="65">
        <v>159198</v>
      </c>
      <c r="B1674" s="66" t="s">
        <v>3616</v>
      </c>
      <c r="C1674" s="66" t="s">
        <v>5393</v>
      </c>
      <c r="D1674" s="65">
        <v>17</v>
      </c>
      <c r="E1674" s="65">
        <v>3</v>
      </c>
    </row>
    <row r="1675" spans="1:5">
      <c r="A1675" s="65">
        <v>159204</v>
      </c>
      <c r="B1675" s="66" t="s">
        <v>3625</v>
      </c>
      <c r="C1675" s="66" t="s">
        <v>5394</v>
      </c>
      <c r="D1675" s="65">
        <v>52</v>
      </c>
      <c r="E1675" s="65">
        <v>5</v>
      </c>
    </row>
    <row r="1676" spans="1:5">
      <c r="A1676" s="65">
        <v>159205</v>
      </c>
      <c r="B1676" s="66" t="s">
        <v>3625</v>
      </c>
      <c r="C1676" s="66" t="s">
        <v>5395</v>
      </c>
      <c r="D1676" s="65">
        <v>60</v>
      </c>
      <c r="E1676" s="65">
        <v>3</v>
      </c>
    </row>
    <row r="1677" spans="1:5">
      <c r="A1677" s="65">
        <v>15921</v>
      </c>
      <c r="B1677" s="66" t="s">
        <v>3597</v>
      </c>
      <c r="C1677" s="66" t="s">
        <v>5396</v>
      </c>
      <c r="D1677" s="65">
        <v>21</v>
      </c>
      <c r="E1677" s="65">
        <v>21</v>
      </c>
    </row>
    <row r="1678" spans="1:5">
      <c r="A1678" s="65">
        <v>159278</v>
      </c>
      <c r="B1678" s="66" t="s">
        <v>3593</v>
      </c>
      <c r="C1678" s="66" t="s">
        <v>5397</v>
      </c>
      <c r="D1678" s="65">
        <v>3048</v>
      </c>
      <c r="E1678" s="65">
        <v>22</v>
      </c>
    </row>
    <row r="1679" spans="1:5">
      <c r="A1679" s="65">
        <v>159279</v>
      </c>
      <c r="B1679" s="66" t="s">
        <v>3593</v>
      </c>
      <c r="C1679" s="66" t="s">
        <v>5398</v>
      </c>
      <c r="D1679" s="65">
        <v>3816</v>
      </c>
      <c r="E1679" s="65">
        <v>24</v>
      </c>
    </row>
    <row r="1680" spans="1:5">
      <c r="A1680" s="65">
        <v>159320</v>
      </c>
      <c r="B1680" s="66" t="s">
        <v>3597</v>
      </c>
      <c r="C1680" s="66" t="s">
        <v>5399</v>
      </c>
      <c r="D1680" s="65">
        <v>4223</v>
      </c>
      <c r="E1680" s="65">
        <v>112</v>
      </c>
    </row>
    <row r="1681" spans="1:5">
      <c r="A1681" s="65">
        <v>15934</v>
      </c>
      <c r="B1681" s="66" t="s">
        <v>3599</v>
      </c>
      <c r="C1681" s="66" t="s">
        <v>5400</v>
      </c>
      <c r="D1681" s="65">
        <v>354</v>
      </c>
      <c r="E1681" s="65">
        <v>30</v>
      </c>
    </row>
    <row r="1682" spans="1:5">
      <c r="A1682" s="65">
        <v>159355</v>
      </c>
      <c r="B1682" s="66" t="s">
        <v>3894</v>
      </c>
      <c r="C1682" s="66" t="s">
        <v>5401</v>
      </c>
      <c r="D1682" s="65">
        <v>48</v>
      </c>
      <c r="E1682" s="65">
        <v>7</v>
      </c>
    </row>
    <row r="1683" spans="1:5">
      <c r="A1683" s="65">
        <v>15951</v>
      </c>
      <c r="B1683" s="66" t="s">
        <v>3597</v>
      </c>
      <c r="C1683" s="66" t="s">
        <v>5402</v>
      </c>
      <c r="D1683" s="65">
        <v>487</v>
      </c>
      <c r="E1683" s="65">
        <v>21</v>
      </c>
    </row>
    <row r="1684" spans="1:5">
      <c r="A1684" s="65">
        <v>1598</v>
      </c>
      <c r="B1684" s="66" t="s">
        <v>3597</v>
      </c>
      <c r="C1684" s="66" t="s">
        <v>5403</v>
      </c>
      <c r="D1684" s="65">
        <v>75</v>
      </c>
      <c r="E1684" s="65">
        <v>34</v>
      </c>
    </row>
    <row r="1685" spans="1:5">
      <c r="A1685" s="65">
        <v>159892</v>
      </c>
      <c r="B1685" s="66" t="s">
        <v>3599</v>
      </c>
      <c r="C1685" s="66" t="s">
        <v>5404</v>
      </c>
      <c r="D1685" s="65">
        <v>10</v>
      </c>
      <c r="E1685" s="65">
        <v>3</v>
      </c>
    </row>
    <row r="1686" spans="1:5">
      <c r="A1686" s="65">
        <v>159893</v>
      </c>
      <c r="B1686" s="66" t="s">
        <v>3625</v>
      </c>
      <c r="C1686" s="66" t="s">
        <v>5224</v>
      </c>
      <c r="D1686" s="65">
        <v>362</v>
      </c>
      <c r="E1686" s="65">
        <v>9</v>
      </c>
    </row>
    <row r="1687" spans="1:5">
      <c r="A1687" s="65">
        <v>159894</v>
      </c>
      <c r="B1687" s="66" t="s">
        <v>3614</v>
      </c>
      <c r="C1687" s="66" t="s">
        <v>5405</v>
      </c>
      <c r="D1687" s="65">
        <v>288</v>
      </c>
      <c r="E1687" s="65">
        <v>4</v>
      </c>
    </row>
    <row r="1688" spans="1:5">
      <c r="A1688" s="65">
        <v>159895</v>
      </c>
      <c r="B1688" s="66" t="s">
        <v>3625</v>
      </c>
      <c r="C1688" s="66" t="s">
        <v>5406</v>
      </c>
      <c r="D1688" s="65">
        <v>53</v>
      </c>
      <c r="E1688" s="65">
        <v>4</v>
      </c>
    </row>
    <row r="1689" spans="1:5">
      <c r="A1689" s="65">
        <v>159896</v>
      </c>
      <c r="B1689" s="66" t="s">
        <v>3625</v>
      </c>
      <c r="C1689" s="66" t="s">
        <v>5407</v>
      </c>
      <c r="D1689" s="65">
        <v>75</v>
      </c>
      <c r="E1689" s="65">
        <v>2</v>
      </c>
    </row>
    <row r="1690" spans="1:5">
      <c r="A1690" s="65">
        <v>159898</v>
      </c>
      <c r="B1690" s="66" t="s">
        <v>3779</v>
      </c>
      <c r="C1690" s="66" t="s">
        <v>5408</v>
      </c>
      <c r="D1690" s="65">
        <v>6</v>
      </c>
      <c r="E1690" s="65">
        <v>1</v>
      </c>
    </row>
    <row r="1691" spans="1:5">
      <c r="A1691" s="65">
        <v>159899</v>
      </c>
      <c r="B1691" s="66" t="s">
        <v>3713</v>
      </c>
      <c r="C1691" s="66" t="s">
        <v>5409</v>
      </c>
      <c r="D1691" s="65">
        <v>12500</v>
      </c>
      <c r="E1691" s="65">
        <v>8</v>
      </c>
    </row>
    <row r="1692" spans="1:5">
      <c r="A1692" s="65">
        <v>159900</v>
      </c>
      <c r="B1692" s="66" t="s">
        <v>3593</v>
      </c>
      <c r="C1692" s="66" t="s">
        <v>5410</v>
      </c>
      <c r="D1692" s="65">
        <v>7750</v>
      </c>
      <c r="E1692" s="65">
        <v>9</v>
      </c>
    </row>
    <row r="1693" spans="1:5">
      <c r="A1693" s="65">
        <v>159901</v>
      </c>
      <c r="B1693" s="66" t="s">
        <v>3625</v>
      </c>
      <c r="C1693" s="66" t="s">
        <v>5411</v>
      </c>
      <c r="D1693" s="65">
        <v>36</v>
      </c>
      <c r="E1693" s="65">
        <v>4</v>
      </c>
    </row>
    <row r="1694" spans="1:5">
      <c r="A1694" s="65">
        <v>159906</v>
      </c>
      <c r="B1694" s="66" t="s">
        <v>3593</v>
      </c>
      <c r="C1694" s="66" t="s">
        <v>5412</v>
      </c>
      <c r="D1694" s="65">
        <v>176</v>
      </c>
      <c r="E1694" s="65">
        <v>13</v>
      </c>
    </row>
    <row r="1695" spans="1:5">
      <c r="A1695" s="65">
        <v>160066</v>
      </c>
      <c r="B1695" s="66" t="s">
        <v>3625</v>
      </c>
      <c r="C1695" s="66" t="s">
        <v>5413</v>
      </c>
      <c r="D1695" s="65">
        <v>500</v>
      </c>
      <c r="E1695" s="65">
        <v>1</v>
      </c>
    </row>
    <row r="1696" spans="1:5">
      <c r="A1696" s="65">
        <v>160067</v>
      </c>
      <c r="B1696" s="66" t="s">
        <v>3597</v>
      </c>
      <c r="C1696" s="66" t="s">
        <v>5414</v>
      </c>
      <c r="D1696" s="65">
        <v>220</v>
      </c>
      <c r="E1696" s="65">
        <v>14</v>
      </c>
    </row>
    <row r="1697" spans="1:5">
      <c r="A1697" s="65">
        <v>160070</v>
      </c>
      <c r="B1697" s="66" t="s">
        <v>5415</v>
      </c>
      <c r="C1697" s="66" t="s">
        <v>5416</v>
      </c>
      <c r="D1697" s="65">
        <v>1400</v>
      </c>
      <c r="E1697" s="65">
        <v>3</v>
      </c>
    </row>
    <row r="1698" spans="1:5">
      <c r="A1698" s="65">
        <v>160071</v>
      </c>
      <c r="B1698" s="66" t="s">
        <v>3998</v>
      </c>
      <c r="C1698" s="66" t="s">
        <v>5417</v>
      </c>
      <c r="D1698" s="65">
        <v>674</v>
      </c>
      <c r="E1698" s="65">
        <v>24</v>
      </c>
    </row>
    <row r="1699" spans="1:5">
      <c r="A1699" s="65">
        <v>160072</v>
      </c>
      <c r="B1699" s="66" t="s">
        <v>3599</v>
      </c>
      <c r="C1699" s="66" t="s">
        <v>5418</v>
      </c>
      <c r="D1699" s="65">
        <v>425</v>
      </c>
      <c r="E1699" s="65">
        <v>15</v>
      </c>
    </row>
    <row r="1700" spans="1:5">
      <c r="A1700" s="65">
        <v>160085</v>
      </c>
      <c r="B1700" s="66" t="s">
        <v>3786</v>
      </c>
      <c r="C1700" s="66" t="s">
        <v>5419</v>
      </c>
      <c r="D1700" s="65">
        <v>9</v>
      </c>
      <c r="E1700" s="65">
        <v>2</v>
      </c>
    </row>
    <row r="1701" spans="1:5">
      <c r="A1701" s="65">
        <v>160091</v>
      </c>
      <c r="B1701" s="66" t="s">
        <v>4191</v>
      </c>
      <c r="C1701" s="66" t="s">
        <v>5420</v>
      </c>
      <c r="D1701" s="65">
        <v>20</v>
      </c>
      <c r="E1701" s="65">
        <v>1</v>
      </c>
    </row>
    <row r="1702" spans="1:5">
      <c r="A1702" s="65">
        <v>160092</v>
      </c>
      <c r="B1702" s="66" t="s">
        <v>3779</v>
      </c>
      <c r="C1702" s="66" t="s">
        <v>5421</v>
      </c>
      <c r="D1702" s="65">
        <v>1500</v>
      </c>
      <c r="E1702" s="65">
        <v>3</v>
      </c>
    </row>
    <row r="1703" spans="1:5">
      <c r="A1703" s="65">
        <v>160093</v>
      </c>
      <c r="B1703" s="66" t="s">
        <v>4097</v>
      </c>
      <c r="C1703" s="66" t="s">
        <v>5422</v>
      </c>
      <c r="D1703" s="65">
        <v>250</v>
      </c>
      <c r="E1703" s="65">
        <v>3</v>
      </c>
    </row>
    <row r="1704" spans="1:5">
      <c r="A1704" s="65">
        <v>16011</v>
      </c>
      <c r="B1704" s="66" t="s">
        <v>3786</v>
      </c>
      <c r="C1704" s="66" t="s">
        <v>5423</v>
      </c>
      <c r="D1704" s="65">
        <v>118</v>
      </c>
      <c r="E1704" s="65">
        <v>30</v>
      </c>
    </row>
    <row r="1705" spans="1:5">
      <c r="A1705" s="65">
        <v>160119</v>
      </c>
      <c r="B1705" s="66" t="s">
        <v>4059</v>
      </c>
      <c r="C1705" s="66" t="s">
        <v>5424</v>
      </c>
      <c r="D1705" s="65">
        <v>7</v>
      </c>
      <c r="E1705" s="65">
        <v>3</v>
      </c>
    </row>
    <row r="1706" spans="1:5">
      <c r="A1706" s="65">
        <v>160315</v>
      </c>
      <c r="B1706" s="66" t="s">
        <v>3597</v>
      </c>
      <c r="C1706" s="66" t="s">
        <v>5425</v>
      </c>
      <c r="D1706" s="65">
        <v>504</v>
      </c>
      <c r="E1706" s="65">
        <v>10</v>
      </c>
    </row>
    <row r="1707" spans="1:5">
      <c r="A1707" s="65">
        <v>160329</v>
      </c>
      <c r="B1707" s="66" t="s">
        <v>3641</v>
      </c>
      <c r="C1707" s="66" t="s">
        <v>5426</v>
      </c>
      <c r="D1707" s="65">
        <v>4</v>
      </c>
      <c r="E1707" s="65">
        <v>1</v>
      </c>
    </row>
    <row r="1708" spans="1:5">
      <c r="A1708" s="65">
        <v>160335</v>
      </c>
      <c r="B1708" s="66" t="s">
        <v>3625</v>
      </c>
      <c r="C1708" s="66" t="s">
        <v>5427</v>
      </c>
      <c r="D1708" s="65">
        <v>26</v>
      </c>
      <c r="E1708" s="65">
        <v>2</v>
      </c>
    </row>
    <row r="1709" spans="1:5">
      <c r="A1709" s="65">
        <v>160337</v>
      </c>
      <c r="B1709" s="66" t="s">
        <v>5325</v>
      </c>
      <c r="C1709" s="66" t="s">
        <v>5428</v>
      </c>
      <c r="D1709" s="65">
        <v>30</v>
      </c>
      <c r="E1709" s="65">
        <v>1</v>
      </c>
    </row>
    <row r="1710" spans="1:5">
      <c r="A1710" s="65">
        <v>160363</v>
      </c>
      <c r="B1710" s="66" t="s">
        <v>3786</v>
      </c>
      <c r="C1710" s="66" t="s">
        <v>5429</v>
      </c>
      <c r="D1710" s="65">
        <v>10</v>
      </c>
      <c r="E1710" s="65">
        <v>2</v>
      </c>
    </row>
    <row r="1711" spans="1:5">
      <c r="A1711" s="65">
        <v>160376</v>
      </c>
      <c r="B1711" s="66" t="s">
        <v>3625</v>
      </c>
      <c r="C1711" s="66" t="s">
        <v>5430</v>
      </c>
      <c r="D1711" s="65">
        <v>180</v>
      </c>
      <c r="E1711" s="65">
        <v>1</v>
      </c>
    </row>
    <row r="1712" spans="1:5">
      <c r="A1712" s="65">
        <v>160377</v>
      </c>
      <c r="B1712" s="66" t="s">
        <v>3625</v>
      </c>
      <c r="C1712" s="66" t="s">
        <v>5431</v>
      </c>
      <c r="D1712" s="65">
        <v>900</v>
      </c>
      <c r="E1712" s="65">
        <v>5</v>
      </c>
    </row>
    <row r="1713" spans="1:5">
      <c r="A1713" s="65">
        <v>160446</v>
      </c>
      <c r="B1713" s="66" t="s">
        <v>3599</v>
      </c>
      <c r="C1713" s="66" t="s">
        <v>5432</v>
      </c>
      <c r="D1713" s="65">
        <v>11762</v>
      </c>
      <c r="E1713" s="65">
        <v>59</v>
      </c>
    </row>
    <row r="1714" spans="1:5">
      <c r="A1714" s="65">
        <v>160481</v>
      </c>
      <c r="B1714" s="66" t="s">
        <v>3629</v>
      </c>
      <c r="C1714" s="66" t="s">
        <v>5433</v>
      </c>
      <c r="D1714" s="65">
        <v>4000</v>
      </c>
      <c r="E1714" s="65">
        <v>2</v>
      </c>
    </row>
    <row r="1715" spans="1:5">
      <c r="A1715" s="65">
        <v>160482</v>
      </c>
      <c r="B1715" s="66" t="s">
        <v>4791</v>
      </c>
      <c r="C1715" s="66" t="s">
        <v>5434</v>
      </c>
      <c r="D1715" s="65">
        <v>15</v>
      </c>
      <c r="E1715" s="65">
        <v>4</v>
      </c>
    </row>
    <row r="1716" spans="1:5">
      <c r="A1716" s="65">
        <v>160496</v>
      </c>
      <c r="B1716" s="66" t="s">
        <v>5435</v>
      </c>
      <c r="C1716" s="66" t="s">
        <v>5436</v>
      </c>
      <c r="D1716" s="65">
        <v>5</v>
      </c>
      <c r="E1716" s="65">
        <v>1</v>
      </c>
    </row>
    <row r="1717" spans="1:5">
      <c r="A1717" s="65">
        <v>160503</v>
      </c>
      <c r="B1717" s="66" t="s">
        <v>5349</v>
      </c>
      <c r="C1717" s="66" t="s">
        <v>5437</v>
      </c>
      <c r="D1717" s="65">
        <v>100</v>
      </c>
      <c r="E1717" s="65">
        <v>1</v>
      </c>
    </row>
    <row r="1718" spans="1:5">
      <c r="A1718" s="65">
        <v>160504</v>
      </c>
      <c r="B1718" s="66" t="s">
        <v>5349</v>
      </c>
      <c r="C1718" s="66" t="s">
        <v>5438</v>
      </c>
      <c r="D1718" s="65">
        <v>500</v>
      </c>
      <c r="E1718" s="65">
        <v>5</v>
      </c>
    </row>
    <row r="1719" spans="1:5">
      <c r="A1719" s="65">
        <v>160506</v>
      </c>
      <c r="B1719" s="66" t="s">
        <v>5349</v>
      </c>
      <c r="C1719" s="66" t="s">
        <v>5439</v>
      </c>
      <c r="D1719" s="65">
        <v>100</v>
      </c>
      <c r="E1719" s="65">
        <v>1</v>
      </c>
    </row>
    <row r="1720" spans="1:5">
      <c r="A1720" s="65">
        <v>160509</v>
      </c>
      <c r="B1720" s="66" t="s">
        <v>4253</v>
      </c>
      <c r="C1720" s="66" t="s">
        <v>5440</v>
      </c>
      <c r="D1720" s="65">
        <v>150</v>
      </c>
      <c r="E1720" s="65">
        <v>3</v>
      </c>
    </row>
    <row r="1721" spans="1:5">
      <c r="A1721" s="65">
        <v>160510</v>
      </c>
      <c r="B1721" s="66" t="s">
        <v>3599</v>
      </c>
      <c r="C1721" s="66" t="s">
        <v>5441</v>
      </c>
      <c r="D1721" s="65">
        <v>71</v>
      </c>
      <c r="E1721" s="65">
        <v>6</v>
      </c>
    </row>
    <row r="1722" spans="1:5">
      <c r="A1722" s="65">
        <v>160543</v>
      </c>
      <c r="B1722" s="66" t="s">
        <v>4326</v>
      </c>
      <c r="C1722" s="66" t="s">
        <v>5442</v>
      </c>
      <c r="D1722" s="65">
        <v>11</v>
      </c>
      <c r="E1722" s="65">
        <v>1</v>
      </c>
    </row>
    <row r="1723" spans="1:5">
      <c r="A1723" s="65">
        <v>160554</v>
      </c>
      <c r="B1723" s="66" t="s">
        <v>3665</v>
      </c>
      <c r="C1723" s="66" t="s">
        <v>5443</v>
      </c>
      <c r="D1723" s="65">
        <v>20</v>
      </c>
      <c r="E1723" s="65">
        <v>1</v>
      </c>
    </row>
    <row r="1724" spans="1:5">
      <c r="A1724" s="65">
        <v>16070</v>
      </c>
      <c r="B1724" s="66" t="s">
        <v>3775</v>
      </c>
      <c r="C1724" s="66" t="s">
        <v>5444</v>
      </c>
      <c r="D1724" s="65">
        <v>6</v>
      </c>
      <c r="E1724" s="65">
        <v>3</v>
      </c>
    </row>
    <row r="1725" spans="1:5">
      <c r="A1725" s="65">
        <v>1620</v>
      </c>
      <c r="B1725" s="66" t="s">
        <v>3876</v>
      </c>
      <c r="C1725" s="66" t="s">
        <v>5445</v>
      </c>
      <c r="D1725" s="65">
        <v>10</v>
      </c>
      <c r="E1725" s="65">
        <v>1</v>
      </c>
    </row>
    <row r="1726" spans="1:5">
      <c r="A1726" s="65">
        <v>1633</v>
      </c>
      <c r="B1726" s="66" t="s">
        <v>3973</v>
      </c>
      <c r="C1726" s="66" t="s">
        <v>5446</v>
      </c>
      <c r="D1726" s="65">
        <v>1</v>
      </c>
      <c r="E1726" s="65">
        <v>1</v>
      </c>
    </row>
    <row r="1727" spans="1:5">
      <c r="A1727" s="65">
        <v>1635</v>
      </c>
      <c r="B1727" s="66" t="s">
        <v>3593</v>
      </c>
      <c r="C1727" s="66" t="s">
        <v>5447</v>
      </c>
      <c r="D1727" s="65">
        <v>700</v>
      </c>
      <c r="E1727" s="65">
        <v>14</v>
      </c>
    </row>
    <row r="1728" spans="1:5">
      <c r="A1728" s="65">
        <v>1646</v>
      </c>
      <c r="B1728" s="66" t="s">
        <v>3627</v>
      </c>
      <c r="C1728" s="66" t="s">
        <v>5448</v>
      </c>
      <c r="D1728" s="65">
        <v>65</v>
      </c>
      <c r="E1728" s="65">
        <v>7</v>
      </c>
    </row>
    <row r="1729" spans="1:5">
      <c r="A1729" s="65">
        <v>16592</v>
      </c>
      <c r="B1729" s="66" t="s">
        <v>4279</v>
      </c>
      <c r="C1729" s="66" t="s">
        <v>5449</v>
      </c>
      <c r="D1729" s="65">
        <v>14</v>
      </c>
      <c r="E1729" s="65">
        <v>4</v>
      </c>
    </row>
    <row r="1730" spans="1:5">
      <c r="A1730" s="65">
        <v>1663</v>
      </c>
      <c r="B1730" s="66" t="s">
        <v>3783</v>
      </c>
      <c r="C1730" s="66" t="s">
        <v>5450</v>
      </c>
      <c r="D1730" s="65">
        <v>15</v>
      </c>
      <c r="E1730" s="65">
        <v>9</v>
      </c>
    </row>
    <row r="1731" spans="1:5">
      <c r="A1731" s="65">
        <v>167193</v>
      </c>
      <c r="B1731" s="66" t="s">
        <v>3593</v>
      </c>
      <c r="C1731" s="66" t="s">
        <v>5451</v>
      </c>
      <c r="D1731" s="65">
        <v>1752</v>
      </c>
      <c r="E1731" s="65">
        <v>9</v>
      </c>
    </row>
    <row r="1732" spans="1:5">
      <c r="A1732" s="65">
        <v>167202</v>
      </c>
      <c r="B1732" s="66" t="s">
        <v>4972</v>
      </c>
      <c r="C1732" s="66" t="s">
        <v>5452</v>
      </c>
      <c r="D1732" s="65">
        <v>4</v>
      </c>
      <c r="E1732" s="65">
        <v>1</v>
      </c>
    </row>
    <row r="1733" spans="1:5">
      <c r="A1733" s="65">
        <v>16797</v>
      </c>
      <c r="B1733" s="66" t="s">
        <v>3616</v>
      </c>
      <c r="C1733" s="66" t="s">
        <v>5453</v>
      </c>
      <c r="D1733" s="65">
        <v>113</v>
      </c>
      <c r="E1733" s="65">
        <v>13</v>
      </c>
    </row>
    <row r="1734" spans="1:5">
      <c r="A1734" s="65">
        <v>16959</v>
      </c>
      <c r="B1734" s="66" t="s">
        <v>3643</v>
      </c>
      <c r="C1734" s="66" t="s">
        <v>5454</v>
      </c>
      <c r="D1734" s="65">
        <v>90</v>
      </c>
      <c r="E1734" s="65">
        <v>7</v>
      </c>
    </row>
    <row r="1735" spans="1:5">
      <c r="A1735" s="65">
        <v>16975</v>
      </c>
      <c r="B1735" s="66" t="s">
        <v>3620</v>
      </c>
      <c r="C1735" s="66" t="s">
        <v>5455</v>
      </c>
      <c r="D1735" s="65">
        <v>176</v>
      </c>
      <c r="E1735" s="65">
        <v>19</v>
      </c>
    </row>
    <row r="1736" spans="1:5">
      <c r="A1736" s="65">
        <v>17</v>
      </c>
      <c r="B1736" s="66" t="s">
        <v>3616</v>
      </c>
      <c r="C1736" s="66" t="s">
        <v>5456</v>
      </c>
      <c r="D1736" s="65">
        <v>12500</v>
      </c>
      <c r="E1736" s="65">
        <v>56</v>
      </c>
    </row>
    <row r="1737" spans="1:5">
      <c r="A1737" s="65">
        <v>17128</v>
      </c>
      <c r="B1737" s="66" t="s">
        <v>3649</v>
      </c>
      <c r="C1737" s="66" t="s">
        <v>5457</v>
      </c>
      <c r="D1737" s="65">
        <v>5</v>
      </c>
      <c r="E1737" s="65">
        <v>2</v>
      </c>
    </row>
    <row r="1738" spans="1:5">
      <c r="A1738" s="65">
        <v>172</v>
      </c>
      <c r="B1738" s="66" t="s">
        <v>5085</v>
      </c>
      <c r="C1738" s="66" t="s">
        <v>5458</v>
      </c>
      <c r="D1738" s="65">
        <v>4</v>
      </c>
      <c r="E1738" s="65">
        <v>1</v>
      </c>
    </row>
    <row r="1739" spans="1:5">
      <c r="A1739" s="65">
        <v>17228</v>
      </c>
      <c r="B1739" s="66" t="s">
        <v>3612</v>
      </c>
      <c r="C1739" s="66" t="s">
        <v>5459</v>
      </c>
      <c r="D1739" s="65">
        <v>6</v>
      </c>
      <c r="E1739" s="65">
        <v>1</v>
      </c>
    </row>
    <row r="1740" spans="1:5">
      <c r="A1740" s="65">
        <v>1724</v>
      </c>
      <c r="B1740" s="66" t="s">
        <v>3677</v>
      </c>
      <c r="C1740" s="66" t="s">
        <v>5460</v>
      </c>
      <c r="D1740" s="65">
        <v>560</v>
      </c>
      <c r="E1740" s="65">
        <v>34</v>
      </c>
    </row>
    <row r="1741" spans="1:5">
      <c r="A1741" s="65">
        <v>1725</v>
      </c>
      <c r="B1741" s="66" t="s">
        <v>3639</v>
      </c>
      <c r="C1741" s="66" t="s">
        <v>5461</v>
      </c>
      <c r="D1741" s="65">
        <v>484</v>
      </c>
      <c r="E1741" s="65">
        <v>24</v>
      </c>
    </row>
    <row r="1742" spans="1:5">
      <c r="A1742" s="65">
        <v>17373</v>
      </c>
      <c r="B1742" s="66" t="s">
        <v>3697</v>
      </c>
      <c r="C1742" s="66" t="s">
        <v>5462</v>
      </c>
      <c r="D1742" s="65">
        <v>2</v>
      </c>
      <c r="E1742" s="65">
        <v>2</v>
      </c>
    </row>
    <row r="1743" spans="1:5">
      <c r="A1743" s="65">
        <v>17386</v>
      </c>
      <c r="B1743" s="66" t="s">
        <v>3599</v>
      </c>
      <c r="C1743" s="66" t="s">
        <v>5463</v>
      </c>
      <c r="D1743" s="65">
        <v>23</v>
      </c>
      <c r="E1743" s="65">
        <v>8</v>
      </c>
    </row>
    <row r="1744" spans="1:5">
      <c r="A1744" s="65">
        <v>17398</v>
      </c>
      <c r="B1744" s="66" t="s">
        <v>3620</v>
      </c>
      <c r="C1744" s="66" t="s">
        <v>5464</v>
      </c>
      <c r="D1744" s="65">
        <v>1</v>
      </c>
      <c r="E1744" s="65">
        <v>1</v>
      </c>
    </row>
    <row r="1745" spans="1:5">
      <c r="A1745" s="65">
        <v>1740</v>
      </c>
      <c r="B1745" s="66" t="s">
        <v>3786</v>
      </c>
      <c r="C1745" s="66" t="s">
        <v>5465</v>
      </c>
      <c r="D1745" s="65">
        <v>4</v>
      </c>
      <c r="E1745" s="65">
        <v>3</v>
      </c>
    </row>
    <row r="1746" spans="1:5">
      <c r="A1746" s="65">
        <v>17406</v>
      </c>
      <c r="B1746" s="66" t="s">
        <v>3612</v>
      </c>
      <c r="C1746" s="66" t="s">
        <v>5466</v>
      </c>
      <c r="D1746" s="65">
        <v>1</v>
      </c>
      <c r="E1746" s="65">
        <v>1</v>
      </c>
    </row>
    <row r="1747" spans="1:5">
      <c r="A1747" s="65">
        <v>17407</v>
      </c>
      <c r="B1747" s="66" t="s">
        <v>3593</v>
      </c>
      <c r="C1747" s="66" t="s">
        <v>5467</v>
      </c>
      <c r="D1747" s="65">
        <v>18</v>
      </c>
      <c r="E1747" s="65">
        <v>6</v>
      </c>
    </row>
    <row r="1748" spans="1:5">
      <c r="A1748" s="65">
        <v>17408</v>
      </c>
      <c r="B1748" s="66" t="s">
        <v>3599</v>
      </c>
      <c r="C1748" s="66" t="s">
        <v>5468</v>
      </c>
      <c r="D1748" s="65">
        <v>1</v>
      </c>
      <c r="E1748" s="65">
        <v>1</v>
      </c>
    </row>
    <row r="1749" spans="1:5">
      <c r="A1749" s="65">
        <v>17411</v>
      </c>
      <c r="B1749" s="66" t="s">
        <v>5235</v>
      </c>
      <c r="C1749" s="66" t="s">
        <v>5469</v>
      </c>
      <c r="D1749" s="65">
        <v>20</v>
      </c>
      <c r="E1749" s="65">
        <v>1</v>
      </c>
    </row>
    <row r="1750" spans="1:5">
      <c r="A1750" s="65">
        <v>17422</v>
      </c>
      <c r="B1750" s="66" t="s">
        <v>3627</v>
      </c>
      <c r="C1750" s="66" t="s">
        <v>5470</v>
      </c>
      <c r="D1750" s="65">
        <v>190</v>
      </c>
      <c r="E1750" s="65">
        <v>16</v>
      </c>
    </row>
    <row r="1751" spans="1:5">
      <c r="A1751" s="65">
        <v>17481</v>
      </c>
      <c r="B1751" s="66" t="s">
        <v>3616</v>
      </c>
      <c r="C1751" s="66" t="s">
        <v>5471</v>
      </c>
      <c r="D1751" s="65">
        <v>1659</v>
      </c>
      <c r="E1751" s="65">
        <v>299</v>
      </c>
    </row>
    <row r="1752" spans="1:5">
      <c r="A1752" s="65">
        <v>17489</v>
      </c>
      <c r="B1752" s="66" t="s">
        <v>3667</v>
      </c>
      <c r="C1752" s="66" t="s">
        <v>5472</v>
      </c>
      <c r="D1752" s="65">
        <v>24</v>
      </c>
      <c r="E1752" s="65">
        <v>9</v>
      </c>
    </row>
    <row r="1753" spans="1:5">
      <c r="A1753" s="65">
        <v>1763</v>
      </c>
      <c r="B1753" s="66" t="s">
        <v>3713</v>
      </c>
      <c r="C1753" s="66" t="s">
        <v>5473</v>
      </c>
      <c r="D1753" s="65">
        <v>5</v>
      </c>
      <c r="E1753" s="65">
        <v>3</v>
      </c>
    </row>
    <row r="1754" spans="1:5">
      <c r="A1754" s="65">
        <v>18058</v>
      </c>
      <c r="B1754" s="66" t="s">
        <v>3597</v>
      </c>
      <c r="C1754" s="66" t="s">
        <v>5474</v>
      </c>
      <c r="D1754" s="65">
        <v>1</v>
      </c>
      <c r="E1754" s="65">
        <v>1</v>
      </c>
    </row>
    <row r="1755" spans="1:5">
      <c r="A1755" s="65">
        <v>18093</v>
      </c>
      <c r="B1755" s="66" t="s">
        <v>3593</v>
      </c>
      <c r="C1755" s="66" t="s">
        <v>5475</v>
      </c>
      <c r="D1755" s="65">
        <v>61</v>
      </c>
      <c r="E1755" s="65">
        <v>18</v>
      </c>
    </row>
    <row r="1756" spans="1:5">
      <c r="A1756" s="65">
        <v>18099</v>
      </c>
      <c r="B1756" s="66" t="s">
        <v>3731</v>
      </c>
      <c r="C1756" s="66" t="s">
        <v>5476</v>
      </c>
      <c r="D1756" s="65">
        <v>41</v>
      </c>
      <c r="E1756" s="65">
        <v>3</v>
      </c>
    </row>
    <row r="1757" spans="1:5">
      <c r="A1757" s="65">
        <v>1814</v>
      </c>
      <c r="B1757" s="66" t="s">
        <v>3612</v>
      </c>
      <c r="C1757" s="66" t="s">
        <v>5477</v>
      </c>
      <c r="D1757" s="65">
        <v>186</v>
      </c>
      <c r="E1757" s="65">
        <v>9</v>
      </c>
    </row>
    <row r="1758" spans="1:5">
      <c r="A1758" s="65">
        <v>1822</v>
      </c>
      <c r="B1758" s="66" t="s">
        <v>3731</v>
      </c>
      <c r="C1758" s="66" t="s">
        <v>5478</v>
      </c>
      <c r="D1758" s="65">
        <v>241</v>
      </c>
      <c r="E1758" s="65">
        <v>14</v>
      </c>
    </row>
    <row r="1759" spans="1:5">
      <c r="A1759" s="65">
        <v>183</v>
      </c>
      <c r="B1759" s="66" t="s">
        <v>5415</v>
      </c>
      <c r="C1759" s="66" t="s">
        <v>5479</v>
      </c>
      <c r="D1759" s="65">
        <v>805</v>
      </c>
      <c r="E1759" s="65">
        <v>131</v>
      </c>
    </row>
    <row r="1760" spans="1:5">
      <c r="A1760" s="65">
        <v>1831</v>
      </c>
      <c r="B1760" s="66" t="s">
        <v>4979</v>
      </c>
      <c r="C1760" s="66" t="s">
        <v>5480</v>
      </c>
      <c r="D1760" s="65">
        <v>24</v>
      </c>
      <c r="E1760" s="65">
        <v>12</v>
      </c>
    </row>
    <row r="1761" spans="1:5">
      <c r="A1761" s="65">
        <v>1833</v>
      </c>
      <c r="B1761" s="66" t="s">
        <v>4502</v>
      </c>
      <c r="C1761" s="66" t="s">
        <v>5481</v>
      </c>
      <c r="D1761" s="65">
        <v>8</v>
      </c>
      <c r="E1761" s="65">
        <v>2</v>
      </c>
    </row>
    <row r="1762" spans="1:5">
      <c r="A1762" s="65">
        <v>18330</v>
      </c>
      <c r="B1762" s="66" t="s">
        <v>3804</v>
      </c>
      <c r="C1762" s="66" t="s">
        <v>5482</v>
      </c>
      <c r="D1762" s="65">
        <v>1</v>
      </c>
      <c r="E1762" s="65">
        <v>1</v>
      </c>
    </row>
    <row r="1763" spans="1:5">
      <c r="A1763" s="65">
        <v>1838</v>
      </c>
      <c r="B1763" s="66" t="s">
        <v>4020</v>
      </c>
      <c r="C1763" s="66" t="s">
        <v>5483</v>
      </c>
      <c r="D1763" s="65">
        <v>18</v>
      </c>
      <c r="E1763" s="65">
        <v>3</v>
      </c>
    </row>
    <row r="1764" spans="1:5">
      <c r="A1764" s="65">
        <v>1839</v>
      </c>
      <c r="B1764" s="66" t="s">
        <v>3601</v>
      </c>
      <c r="C1764" s="66" t="s">
        <v>5484</v>
      </c>
      <c r="D1764" s="65">
        <v>992</v>
      </c>
      <c r="E1764" s="65">
        <v>22</v>
      </c>
    </row>
    <row r="1765" spans="1:5">
      <c r="A1765" s="65">
        <v>18396</v>
      </c>
      <c r="B1765" s="66" t="s">
        <v>3593</v>
      </c>
      <c r="C1765" s="66" t="s">
        <v>5485</v>
      </c>
      <c r="D1765" s="65">
        <v>22</v>
      </c>
      <c r="E1765" s="65">
        <v>7</v>
      </c>
    </row>
    <row r="1766" spans="1:5">
      <c r="A1766" s="65">
        <v>1845</v>
      </c>
      <c r="B1766" s="66" t="s">
        <v>3625</v>
      </c>
      <c r="C1766" s="66" t="s">
        <v>5486</v>
      </c>
      <c r="D1766" s="65">
        <v>2</v>
      </c>
      <c r="E1766" s="65">
        <v>1</v>
      </c>
    </row>
    <row r="1767" spans="1:5">
      <c r="A1767" s="65">
        <v>18486</v>
      </c>
      <c r="B1767" s="66" t="s">
        <v>3643</v>
      </c>
      <c r="C1767" s="66" t="s">
        <v>5487</v>
      </c>
      <c r="D1767" s="65">
        <v>102</v>
      </c>
      <c r="E1767" s="65">
        <v>13</v>
      </c>
    </row>
    <row r="1768" spans="1:5">
      <c r="A1768" s="65">
        <v>1850</v>
      </c>
      <c r="B1768" s="66" t="s">
        <v>3597</v>
      </c>
      <c r="C1768" s="66" t="s">
        <v>5488</v>
      </c>
      <c r="D1768" s="65">
        <v>1020</v>
      </c>
      <c r="E1768" s="65">
        <v>111</v>
      </c>
    </row>
    <row r="1769" spans="1:5">
      <c r="A1769" s="65">
        <v>18504</v>
      </c>
      <c r="B1769" s="66" t="s">
        <v>3597</v>
      </c>
      <c r="C1769" s="66" t="s">
        <v>5489</v>
      </c>
      <c r="D1769" s="65">
        <v>64</v>
      </c>
      <c r="E1769" s="65">
        <v>30</v>
      </c>
    </row>
    <row r="1770" spans="1:5">
      <c r="A1770" s="65">
        <v>18557</v>
      </c>
      <c r="B1770" s="66" t="s">
        <v>3593</v>
      </c>
      <c r="C1770" s="66" t="s">
        <v>5490</v>
      </c>
      <c r="D1770" s="65">
        <v>10</v>
      </c>
      <c r="E1770" s="65">
        <v>8</v>
      </c>
    </row>
    <row r="1771" spans="1:5">
      <c r="A1771" s="65">
        <v>18564</v>
      </c>
      <c r="B1771" s="66" t="s">
        <v>3677</v>
      </c>
      <c r="C1771" s="66" t="s">
        <v>5491</v>
      </c>
      <c r="D1771" s="65">
        <v>23</v>
      </c>
      <c r="E1771" s="65">
        <v>5</v>
      </c>
    </row>
    <row r="1772" spans="1:5">
      <c r="A1772" s="65">
        <v>18597</v>
      </c>
      <c r="B1772" s="66" t="s">
        <v>3998</v>
      </c>
      <c r="C1772" s="66" t="s">
        <v>5492</v>
      </c>
      <c r="D1772" s="65">
        <v>356</v>
      </c>
      <c r="E1772" s="65">
        <v>8</v>
      </c>
    </row>
    <row r="1773" spans="1:5">
      <c r="A1773" s="65">
        <v>18598</v>
      </c>
      <c r="B1773" s="66" t="s">
        <v>3635</v>
      </c>
      <c r="C1773" s="66" t="s">
        <v>5493</v>
      </c>
      <c r="D1773" s="65">
        <v>90</v>
      </c>
      <c r="E1773" s="65">
        <v>2</v>
      </c>
    </row>
    <row r="1774" spans="1:5">
      <c r="A1774" s="65">
        <v>18600</v>
      </c>
      <c r="B1774" s="66" t="s">
        <v>3593</v>
      </c>
      <c r="C1774" s="66" t="s">
        <v>5494</v>
      </c>
      <c r="D1774" s="65">
        <v>12</v>
      </c>
      <c r="E1774" s="65">
        <v>3</v>
      </c>
    </row>
    <row r="1775" spans="1:5">
      <c r="A1775" s="65">
        <v>18601</v>
      </c>
      <c r="B1775" s="66" t="s">
        <v>3620</v>
      </c>
      <c r="C1775" s="66" t="s">
        <v>5495</v>
      </c>
      <c r="D1775" s="65">
        <v>18</v>
      </c>
      <c r="E1775" s="65">
        <v>11</v>
      </c>
    </row>
    <row r="1776" spans="1:5">
      <c r="A1776" s="65">
        <v>18602</v>
      </c>
      <c r="B1776" s="66" t="s">
        <v>5085</v>
      </c>
      <c r="C1776" s="66" t="s">
        <v>5496</v>
      </c>
      <c r="D1776" s="65">
        <v>3</v>
      </c>
      <c r="E1776" s="65">
        <v>2</v>
      </c>
    </row>
    <row r="1777" spans="1:5">
      <c r="A1777" s="65">
        <v>18603</v>
      </c>
      <c r="B1777" s="66" t="s">
        <v>3620</v>
      </c>
      <c r="C1777" s="66" t="s">
        <v>5497</v>
      </c>
      <c r="D1777" s="65">
        <v>31</v>
      </c>
      <c r="E1777" s="65">
        <v>11</v>
      </c>
    </row>
    <row r="1778" spans="1:5">
      <c r="A1778" s="65">
        <v>1866</v>
      </c>
      <c r="B1778" s="66" t="s">
        <v>3597</v>
      </c>
      <c r="C1778" s="66" t="s">
        <v>5498</v>
      </c>
      <c r="D1778" s="65">
        <v>45</v>
      </c>
      <c r="E1778" s="65">
        <v>26</v>
      </c>
    </row>
    <row r="1779" spans="1:5">
      <c r="A1779" s="65">
        <v>187</v>
      </c>
      <c r="B1779" s="66" t="s">
        <v>3599</v>
      </c>
      <c r="C1779" s="66" t="s">
        <v>5499</v>
      </c>
      <c r="D1779" s="65">
        <v>16</v>
      </c>
      <c r="E1779" s="65">
        <v>2</v>
      </c>
    </row>
    <row r="1780" spans="1:5">
      <c r="A1780" s="65">
        <v>18737</v>
      </c>
      <c r="B1780" s="66" t="s">
        <v>3804</v>
      </c>
      <c r="C1780" s="66" t="s">
        <v>5500</v>
      </c>
      <c r="D1780" s="65">
        <v>23</v>
      </c>
      <c r="E1780" s="65">
        <v>5</v>
      </c>
    </row>
    <row r="1781" spans="1:5">
      <c r="A1781" s="65">
        <v>18845</v>
      </c>
      <c r="B1781" s="66" t="s">
        <v>3649</v>
      </c>
      <c r="C1781" s="66" t="s">
        <v>5501</v>
      </c>
      <c r="D1781" s="65">
        <v>64</v>
      </c>
      <c r="E1781" s="65">
        <v>12</v>
      </c>
    </row>
    <row r="1782" spans="1:5">
      <c r="A1782" s="65">
        <v>18869</v>
      </c>
      <c r="B1782" s="66" t="s">
        <v>3601</v>
      </c>
      <c r="C1782" s="66" t="s">
        <v>5502</v>
      </c>
      <c r="D1782" s="65">
        <v>52</v>
      </c>
      <c r="E1782" s="65">
        <v>11</v>
      </c>
    </row>
    <row r="1783" spans="1:5">
      <c r="A1783" s="65">
        <v>1890</v>
      </c>
      <c r="B1783" s="66" t="s">
        <v>3804</v>
      </c>
      <c r="C1783" s="66" t="s">
        <v>5503</v>
      </c>
      <c r="D1783" s="65">
        <v>200</v>
      </c>
      <c r="E1783" s="65">
        <v>1</v>
      </c>
    </row>
    <row r="1784" spans="1:5">
      <c r="A1784" s="65">
        <v>190</v>
      </c>
      <c r="B1784" s="66" t="s">
        <v>3649</v>
      </c>
      <c r="C1784" s="66" t="s">
        <v>5504</v>
      </c>
      <c r="D1784" s="65">
        <v>32</v>
      </c>
      <c r="E1784" s="65">
        <v>12</v>
      </c>
    </row>
    <row r="1785" spans="1:5">
      <c r="A1785" s="65">
        <v>1911</v>
      </c>
      <c r="B1785" s="66" t="s">
        <v>3649</v>
      </c>
      <c r="C1785" s="66" t="s">
        <v>5505</v>
      </c>
      <c r="D1785" s="65">
        <v>1247</v>
      </c>
      <c r="E1785" s="65">
        <v>32</v>
      </c>
    </row>
    <row r="1786" spans="1:5">
      <c r="A1786" s="65">
        <v>1915</v>
      </c>
      <c r="B1786" s="66" t="s">
        <v>3597</v>
      </c>
      <c r="C1786" s="66" t="s">
        <v>5506</v>
      </c>
      <c r="D1786" s="65">
        <v>3450</v>
      </c>
      <c r="E1786" s="65">
        <v>20</v>
      </c>
    </row>
    <row r="1787" spans="1:5">
      <c r="A1787" s="65">
        <v>192</v>
      </c>
      <c r="B1787" s="66" t="s">
        <v>3608</v>
      </c>
      <c r="C1787" s="66" t="s">
        <v>5507</v>
      </c>
      <c r="D1787" s="65">
        <v>101</v>
      </c>
      <c r="E1787" s="65">
        <v>13</v>
      </c>
    </row>
    <row r="1788" spans="1:5">
      <c r="A1788" s="65">
        <v>1920</v>
      </c>
      <c r="B1788" s="66" t="s">
        <v>5508</v>
      </c>
      <c r="C1788" s="66" t="s">
        <v>5509</v>
      </c>
      <c r="D1788" s="65">
        <v>3</v>
      </c>
      <c r="E1788" s="65">
        <v>2</v>
      </c>
    </row>
    <row r="1789" spans="1:5">
      <c r="A1789" s="65">
        <v>1923</v>
      </c>
      <c r="B1789" s="66" t="s">
        <v>5510</v>
      </c>
      <c r="C1789" s="66" t="s">
        <v>5511</v>
      </c>
      <c r="D1789" s="65">
        <v>3</v>
      </c>
      <c r="E1789" s="65">
        <v>2</v>
      </c>
    </row>
    <row r="1790" spans="1:5">
      <c r="A1790" s="65">
        <v>1928</v>
      </c>
      <c r="B1790" s="66" t="s">
        <v>5249</v>
      </c>
      <c r="C1790" s="66" t="s">
        <v>5512</v>
      </c>
      <c r="D1790" s="65">
        <v>12</v>
      </c>
      <c r="E1790" s="65">
        <v>1</v>
      </c>
    </row>
    <row r="1791" spans="1:5">
      <c r="A1791" s="65">
        <v>1929</v>
      </c>
      <c r="B1791" s="66" t="s">
        <v>3866</v>
      </c>
      <c r="C1791" s="66" t="s">
        <v>5513</v>
      </c>
      <c r="D1791" s="65">
        <v>22</v>
      </c>
      <c r="E1791" s="65">
        <v>2</v>
      </c>
    </row>
    <row r="1792" spans="1:5">
      <c r="A1792" s="65">
        <v>1930</v>
      </c>
      <c r="B1792" s="66" t="s">
        <v>3620</v>
      </c>
      <c r="C1792" s="66" t="s">
        <v>5514</v>
      </c>
      <c r="D1792" s="65">
        <v>28</v>
      </c>
      <c r="E1792" s="65">
        <v>6</v>
      </c>
    </row>
    <row r="1793" spans="1:5">
      <c r="A1793" s="65">
        <v>19307</v>
      </c>
      <c r="B1793" s="66" t="s">
        <v>3777</v>
      </c>
      <c r="C1793" s="66" t="s">
        <v>5515</v>
      </c>
      <c r="D1793" s="65">
        <v>2</v>
      </c>
      <c r="E1793" s="65">
        <v>2</v>
      </c>
    </row>
    <row r="1794" spans="1:5">
      <c r="A1794" s="65">
        <v>1931</v>
      </c>
      <c r="B1794" s="66" t="s">
        <v>4712</v>
      </c>
      <c r="C1794" s="66" t="s">
        <v>5516</v>
      </c>
      <c r="D1794" s="65">
        <v>74</v>
      </c>
      <c r="E1794" s="65">
        <v>6</v>
      </c>
    </row>
    <row r="1795" spans="1:5">
      <c r="A1795" s="65">
        <v>1932</v>
      </c>
      <c r="B1795" s="66" t="s">
        <v>3747</v>
      </c>
      <c r="C1795" s="66" t="s">
        <v>5517</v>
      </c>
      <c r="D1795" s="65">
        <v>5</v>
      </c>
      <c r="E1795" s="65">
        <v>1</v>
      </c>
    </row>
    <row r="1796" spans="1:5">
      <c r="A1796" s="65">
        <v>1934</v>
      </c>
      <c r="B1796" s="66" t="s">
        <v>4712</v>
      </c>
      <c r="C1796" s="66" t="s">
        <v>5518</v>
      </c>
      <c r="D1796" s="65">
        <v>50</v>
      </c>
      <c r="E1796" s="65">
        <v>5</v>
      </c>
    </row>
    <row r="1797" spans="1:5">
      <c r="A1797" s="65">
        <v>1935</v>
      </c>
      <c r="B1797" s="66" t="s">
        <v>3635</v>
      </c>
      <c r="C1797" s="66" t="s">
        <v>5519</v>
      </c>
      <c r="D1797" s="65">
        <v>6</v>
      </c>
      <c r="E1797" s="65">
        <v>5</v>
      </c>
    </row>
    <row r="1798" spans="1:5">
      <c r="A1798" s="65">
        <v>1936</v>
      </c>
      <c r="B1798" s="66" t="s">
        <v>3597</v>
      </c>
      <c r="C1798" s="66" t="s">
        <v>5520</v>
      </c>
      <c r="D1798" s="65">
        <v>4</v>
      </c>
      <c r="E1798" s="65">
        <v>3</v>
      </c>
    </row>
    <row r="1799" spans="1:5">
      <c r="A1799" s="65">
        <v>1944</v>
      </c>
      <c r="B1799" s="66" t="s">
        <v>3786</v>
      </c>
      <c r="C1799" s="66" t="s">
        <v>5521</v>
      </c>
      <c r="D1799" s="65">
        <v>25</v>
      </c>
      <c r="E1799" s="65">
        <v>9</v>
      </c>
    </row>
    <row r="1800" spans="1:5">
      <c r="A1800" s="65">
        <v>1950</v>
      </c>
      <c r="B1800" s="66" t="s">
        <v>3665</v>
      </c>
      <c r="C1800" s="66" t="s">
        <v>5522</v>
      </c>
      <c r="D1800" s="65">
        <v>40</v>
      </c>
      <c r="E1800" s="65">
        <v>2</v>
      </c>
    </row>
    <row r="1801" spans="1:5">
      <c r="A1801" s="65">
        <v>19550</v>
      </c>
      <c r="B1801" s="66" t="s">
        <v>3641</v>
      </c>
      <c r="C1801" s="66" t="s">
        <v>5523</v>
      </c>
      <c r="D1801" s="65">
        <v>19</v>
      </c>
      <c r="E1801" s="65">
        <v>7</v>
      </c>
    </row>
    <row r="1802" spans="1:5">
      <c r="A1802" s="65">
        <v>1962</v>
      </c>
      <c r="B1802" s="66" t="s">
        <v>3639</v>
      </c>
      <c r="C1802" s="66" t="s">
        <v>5524</v>
      </c>
      <c r="D1802" s="65">
        <v>3</v>
      </c>
      <c r="E1802" s="65">
        <v>2</v>
      </c>
    </row>
    <row r="1803" spans="1:5">
      <c r="A1803" s="65">
        <v>1963</v>
      </c>
      <c r="B1803" s="66" t="s">
        <v>3620</v>
      </c>
      <c r="C1803" s="66" t="s">
        <v>5525</v>
      </c>
      <c r="D1803" s="65">
        <v>6</v>
      </c>
      <c r="E1803" s="65">
        <v>6</v>
      </c>
    </row>
    <row r="1804" spans="1:5">
      <c r="A1804" s="65">
        <v>1964</v>
      </c>
      <c r="B1804" s="66" t="s">
        <v>3601</v>
      </c>
      <c r="C1804" s="66" t="s">
        <v>5526</v>
      </c>
      <c r="D1804" s="65">
        <v>6640</v>
      </c>
      <c r="E1804" s="65">
        <v>41</v>
      </c>
    </row>
    <row r="1805" spans="1:5">
      <c r="A1805" s="65">
        <v>19649</v>
      </c>
      <c r="B1805" s="66" t="s">
        <v>3629</v>
      </c>
      <c r="C1805" s="66" t="s">
        <v>5527</v>
      </c>
      <c r="D1805" s="65">
        <v>37</v>
      </c>
      <c r="E1805" s="65">
        <v>5</v>
      </c>
    </row>
    <row r="1806" spans="1:5">
      <c r="A1806" s="65">
        <v>1966</v>
      </c>
      <c r="B1806" s="66" t="s">
        <v>3597</v>
      </c>
      <c r="C1806" s="66" t="s">
        <v>5528</v>
      </c>
      <c r="D1806" s="65">
        <v>25</v>
      </c>
      <c r="E1806" s="65">
        <v>19</v>
      </c>
    </row>
    <row r="1807" spans="1:5">
      <c r="A1807" s="65">
        <v>19671</v>
      </c>
      <c r="B1807" s="66" t="s">
        <v>3649</v>
      </c>
      <c r="C1807" s="66" t="s">
        <v>5529</v>
      </c>
      <c r="D1807" s="65">
        <v>90</v>
      </c>
      <c r="E1807" s="65">
        <v>13</v>
      </c>
    </row>
    <row r="1808" spans="1:5">
      <c r="A1808" s="65">
        <v>1969</v>
      </c>
      <c r="B1808" s="66" t="s">
        <v>3593</v>
      </c>
      <c r="C1808" s="66" t="s">
        <v>5530</v>
      </c>
      <c r="D1808" s="65">
        <v>1352</v>
      </c>
      <c r="E1808" s="65">
        <v>103</v>
      </c>
    </row>
    <row r="1809" spans="1:5">
      <c r="A1809" s="65">
        <v>19726</v>
      </c>
      <c r="B1809" s="66" t="s">
        <v>3677</v>
      </c>
      <c r="C1809" s="66" t="s">
        <v>5531</v>
      </c>
      <c r="D1809" s="65">
        <v>136</v>
      </c>
      <c r="E1809" s="65">
        <v>11</v>
      </c>
    </row>
    <row r="1810" spans="1:5">
      <c r="A1810" s="65">
        <v>1974</v>
      </c>
      <c r="B1810" s="66" t="s">
        <v>3601</v>
      </c>
      <c r="C1810" s="66" t="s">
        <v>5532</v>
      </c>
      <c r="D1810" s="65">
        <v>10</v>
      </c>
      <c r="E1810" s="65">
        <v>10</v>
      </c>
    </row>
    <row r="1811" spans="1:5">
      <c r="A1811" s="65">
        <v>1978</v>
      </c>
      <c r="B1811" s="66" t="s">
        <v>3786</v>
      </c>
      <c r="C1811" s="66" t="s">
        <v>5533</v>
      </c>
      <c r="D1811" s="65">
        <v>11</v>
      </c>
      <c r="E1811" s="65">
        <v>3</v>
      </c>
    </row>
    <row r="1812" spans="1:5">
      <c r="A1812" s="65">
        <v>199</v>
      </c>
      <c r="B1812" s="66" t="s">
        <v>3593</v>
      </c>
      <c r="C1812" s="66" t="s">
        <v>5534</v>
      </c>
      <c r="D1812" s="65">
        <v>1796</v>
      </c>
      <c r="E1812" s="65">
        <v>159</v>
      </c>
    </row>
    <row r="1813" spans="1:5">
      <c r="A1813" s="65">
        <v>19956</v>
      </c>
      <c r="B1813" s="66" t="s">
        <v>3649</v>
      </c>
      <c r="C1813" s="66" t="s">
        <v>5535</v>
      </c>
      <c r="D1813" s="65">
        <v>9</v>
      </c>
      <c r="E1813" s="65">
        <v>9</v>
      </c>
    </row>
    <row r="1814" spans="1:5">
      <c r="A1814" s="65">
        <v>1999</v>
      </c>
      <c r="B1814" s="66" t="s">
        <v>3616</v>
      </c>
      <c r="C1814" s="66" t="s">
        <v>5536</v>
      </c>
      <c r="D1814" s="65">
        <v>4700</v>
      </c>
      <c r="E1814" s="65">
        <v>60</v>
      </c>
    </row>
    <row r="1815" spans="1:5">
      <c r="A1815" s="65">
        <v>20</v>
      </c>
      <c r="B1815" s="66" t="s">
        <v>3772</v>
      </c>
      <c r="C1815" s="66" t="s">
        <v>5537</v>
      </c>
      <c r="D1815" s="65">
        <v>16</v>
      </c>
      <c r="E1815" s="65">
        <v>5</v>
      </c>
    </row>
    <row r="1816" spans="1:5">
      <c r="A1816" s="65">
        <v>20001</v>
      </c>
      <c r="B1816" s="66" t="s">
        <v>4610</v>
      </c>
      <c r="C1816" s="66" t="s">
        <v>5538</v>
      </c>
      <c r="D1816" s="65">
        <v>1</v>
      </c>
      <c r="E1816" s="65">
        <v>1</v>
      </c>
    </row>
    <row r="1817" spans="1:5">
      <c r="A1817" s="65">
        <v>20017</v>
      </c>
      <c r="B1817" s="66" t="s">
        <v>4317</v>
      </c>
      <c r="C1817" s="66" t="s">
        <v>5539</v>
      </c>
      <c r="D1817" s="65">
        <v>1</v>
      </c>
      <c r="E1817" s="65">
        <v>1</v>
      </c>
    </row>
    <row r="1818" spans="1:5">
      <c r="A1818" s="65">
        <v>2002</v>
      </c>
      <c r="B1818" s="66" t="s">
        <v>3660</v>
      </c>
      <c r="C1818" s="66" t="s">
        <v>5540</v>
      </c>
      <c r="D1818" s="65">
        <v>19</v>
      </c>
      <c r="E1818" s="65">
        <v>3</v>
      </c>
    </row>
    <row r="1819" spans="1:5">
      <c r="A1819" s="65">
        <v>20032</v>
      </c>
      <c r="B1819" s="66" t="s">
        <v>3649</v>
      </c>
      <c r="C1819" s="66" t="s">
        <v>5541</v>
      </c>
      <c r="D1819" s="65">
        <v>6</v>
      </c>
      <c r="E1819" s="65">
        <v>5</v>
      </c>
    </row>
    <row r="1820" spans="1:5">
      <c r="A1820" s="65">
        <v>20084</v>
      </c>
      <c r="B1820" s="66" t="s">
        <v>3614</v>
      </c>
      <c r="C1820" s="66" t="s">
        <v>4386</v>
      </c>
      <c r="D1820" s="65">
        <v>54</v>
      </c>
      <c r="E1820" s="65">
        <v>5</v>
      </c>
    </row>
    <row r="1821" spans="1:5">
      <c r="A1821" s="65">
        <v>2009</v>
      </c>
      <c r="B1821" s="66" t="s">
        <v>4117</v>
      </c>
      <c r="C1821" s="66" t="s">
        <v>5542</v>
      </c>
      <c r="D1821" s="65">
        <v>31</v>
      </c>
      <c r="E1821" s="65">
        <v>8</v>
      </c>
    </row>
    <row r="1822" spans="1:5">
      <c r="A1822" s="65">
        <v>201</v>
      </c>
      <c r="B1822" s="66" t="s">
        <v>3597</v>
      </c>
      <c r="C1822" s="66" t="s">
        <v>5543</v>
      </c>
      <c r="D1822" s="65">
        <v>133</v>
      </c>
      <c r="E1822" s="65">
        <v>31</v>
      </c>
    </row>
    <row r="1823" spans="1:5">
      <c r="A1823" s="65">
        <v>20100</v>
      </c>
      <c r="B1823" s="66" t="s">
        <v>4020</v>
      </c>
      <c r="C1823" s="66" t="s">
        <v>5544</v>
      </c>
      <c r="D1823" s="65">
        <v>3</v>
      </c>
      <c r="E1823" s="65">
        <v>3</v>
      </c>
    </row>
    <row r="1824" spans="1:5">
      <c r="A1824" s="65">
        <v>20110</v>
      </c>
      <c r="B1824" s="66" t="s">
        <v>3620</v>
      </c>
      <c r="C1824" s="66" t="s">
        <v>5545</v>
      </c>
      <c r="D1824" s="65">
        <v>88</v>
      </c>
      <c r="E1824" s="65">
        <v>27</v>
      </c>
    </row>
    <row r="1825" spans="1:5">
      <c r="A1825" s="65">
        <v>20169</v>
      </c>
      <c r="B1825" s="66" t="s">
        <v>3616</v>
      </c>
      <c r="C1825" s="66" t="s">
        <v>5546</v>
      </c>
      <c r="D1825" s="65">
        <v>202</v>
      </c>
      <c r="E1825" s="65">
        <v>54</v>
      </c>
    </row>
    <row r="1826" spans="1:5">
      <c r="A1826" s="65">
        <v>2017</v>
      </c>
      <c r="B1826" s="66" t="s">
        <v>3593</v>
      </c>
      <c r="C1826" s="66" t="s">
        <v>5547</v>
      </c>
      <c r="D1826" s="65">
        <v>43</v>
      </c>
      <c r="E1826" s="65">
        <v>20</v>
      </c>
    </row>
    <row r="1827" spans="1:5">
      <c r="A1827" s="65">
        <v>2018</v>
      </c>
      <c r="B1827" s="66" t="s">
        <v>3649</v>
      </c>
      <c r="C1827" s="66" t="s">
        <v>5548</v>
      </c>
      <c r="D1827" s="65">
        <v>52</v>
      </c>
      <c r="E1827" s="65">
        <v>37</v>
      </c>
    </row>
    <row r="1828" spans="1:5">
      <c r="A1828" s="65">
        <v>20258</v>
      </c>
      <c r="B1828" s="66" t="s">
        <v>3597</v>
      </c>
      <c r="C1828" s="66" t="s">
        <v>5549</v>
      </c>
      <c r="D1828" s="65">
        <v>110</v>
      </c>
      <c r="E1828" s="65">
        <v>14</v>
      </c>
    </row>
    <row r="1829" spans="1:5">
      <c r="A1829" s="65">
        <v>20309</v>
      </c>
      <c r="B1829" s="66" t="s">
        <v>4191</v>
      </c>
      <c r="C1829" s="66" t="s">
        <v>5550</v>
      </c>
      <c r="D1829" s="65">
        <v>48</v>
      </c>
      <c r="E1829" s="65">
        <v>25</v>
      </c>
    </row>
    <row r="1830" spans="1:5">
      <c r="A1830" s="65">
        <v>204</v>
      </c>
      <c r="B1830" s="66" t="s">
        <v>3593</v>
      </c>
      <c r="C1830" s="66" t="s">
        <v>5551</v>
      </c>
      <c r="D1830" s="65">
        <v>206</v>
      </c>
      <c r="E1830" s="65">
        <v>90</v>
      </c>
    </row>
    <row r="1831" spans="1:5">
      <c r="A1831" s="65">
        <v>20401</v>
      </c>
      <c r="B1831" s="66" t="s">
        <v>3593</v>
      </c>
      <c r="C1831" s="66" t="s">
        <v>5552</v>
      </c>
      <c r="D1831" s="65">
        <v>1350</v>
      </c>
      <c r="E1831" s="65">
        <v>15</v>
      </c>
    </row>
    <row r="1832" spans="1:5">
      <c r="A1832" s="65">
        <v>20417</v>
      </c>
      <c r="B1832" s="66" t="s">
        <v>3667</v>
      </c>
      <c r="C1832" s="66" t="s">
        <v>5553</v>
      </c>
      <c r="D1832" s="65">
        <v>413</v>
      </c>
      <c r="E1832" s="65">
        <v>102</v>
      </c>
    </row>
    <row r="1833" spans="1:5">
      <c r="A1833" s="65">
        <v>20489</v>
      </c>
      <c r="B1833" s="66" t="s">
        <v>3593</v>
      </c>
      <c r="C1833" s="66" t="s">
        <v>5554</v>
      </c>
      <c r="D1833" s="65">
        <v>2</v>
      </c>
      <c r="E1833" s="65">
        <v>1</v>
      </c>
    </row>
    <row r="1834" spans="1:5">
      <c r="A1834" s="65">
        <v>20673</v>
      </c>
      <c r="B1834" s="66" t="s">
        <v>3593</v>
      </c>
      <c r="C1834" s="66" t="s">
        <v>5555</v>
      </c>
      <c r="D1834" s="65">
        <v>30</v>
      </c>
      <c r="E1834" s="65">
        <v>16</v>
      </c>
    </row>
    <row r="1835" spans="1:5">
      <c r="A1835" s="65">
        <v>20674</v>
      </c>
      <c r="B1835" s="66" t="s">
        <v>3593</v>
      </c>
      <c r="C1835" s="66" t="s">
        <v>5556</v>
      </c>
      <c r="D1835" s="65">
        <v>8</v>
      </c>
      <c r="E1835" s="65">
        <v>4</v>
      </c>
    </row>
    <row r="1836" spans="1:5">
      <c r="A1836" s="65">
        <v>20675</v>
      </c>
      <c r="B1836" s="66" t="s">
        <v>3627</v>
      </c>
      <c r="C1836" s="66" t="s">
        <v>5557</v>
      </c>
      <c r="D1836" s="65">
        <v>36</v>
      </c>
      <c r="E1836" s="65">
        <v>19</v>
      </c>
    </row>
    <row r="1837" spans="1:5">
      <c r="A1837" s="65">
        <v>20676</v>
      </c>
      <c r="B1837" s="66" t="s">
        <v>3731</v>
      </c>
      <c r="C1837" s="66" t="s">
        <v>5558</v>
      </c>
      <c r="D1837" s="65">
        <v>10</v>
      </c>
      <c r="E1837" s="65">
        <v>7</v>
      </c>
    </row>
    <row r="1838" spans="1:5">
      <c r="A1838" s="65">
        <v>20727</v>
      </c>
      <c r="B1838" s="66" t="s">
        <v>5078</v>
      </c>
      <c r="C1838" s="66" t="s">
        <v>5559</v>
      </c>
      <c r="D1838" s="65">
        <v>10</v>
      </c>
      <c r="E1838" s="65">
        <v>1</v>
      </c>
    </row>
    <row r="1839" spans="1:5">
      <c r="A1839" s="65">
        <v>20766</v>
      </c>
      <c r="B1839" s="66" t="s">
        <v>4117</v>
      </c>
      <c r="C1839" s="66" t="s">
        <v>5560</v>
      </c>
      <c r="D1839" s="65">
        <v>1</v>
      </c>
      <c r="E1839" s="65">
        <v>1</v>
      </c>
    </row>
    <row r="1840" spans="1:5">
      <c r="A1840" s="65">
        <v>20823</v>
      </c>
      <c r="B1840" s="66" t="s">
        <v>3649</v>
      </c>
      <c r="C1840" s="66" t="s">
        <v>5561</v>
      </c>
      <c r="D1840" s="65">
        <v>830</v>
      </c>
      <c r="E1840" s="65">
        <v>28</v>
      </c>
    </row>
    <row r="1841" spans="1:5">
      <c r="A1841" s="65">
        <v>209</v>
      </c>
      <c r="B1841" s="66" t="s">
        <v>3747</v>
      </c>
      <c r="C1841" s="66" t="s">
        <v>5562</v>
      </c>
      <c r="D1841" s="65">
        <v>21</v>
      </c>
      <c r="E1841" s="65">
        <v>5</v>
      </c>
    </row>
    <row r="1842" spans="1:5">
      <c r="A1842" s="65">
        <v>2092</v>
      </c>
      <c r="B1842" s="66" t="s">
        <v>4304</v>
      </c>
      <c r="C1842" s="66" t="s">
        <v>5563</v>
      </c>
      <c r="D1842" s="65">
        <v>26</v>
      </c>
      <c r="E1842" s="65">
        <v>3</v>
      </c>
    </row>
    <row r="1843" spans="1:5">
      <c r="A1843" s="65">
        <v>21007</v>
      </c>
      <c r="B1843" s="66" t="s">
        <v>3612</v>
      </c>
      <c r="C1843" s="66" t="s">
        <v>5564</v>
      </c>
      <c r="D1843" s="65">
        <v>1</v>
      </c>
      <c r="E1843" s="65">
        <v>1</v>
      </c>
    </row>
    <row r="1844" spans="1:5">
      <c r="A1844" s="65">
        <v>21218</v>
      </c>
      <c r="B1844" s="66" t="s">
        <v>3601</v>
      </c>
      <c r="C1844" s="66" t="s">
        <v>5565</v>
      </c>
      <c r="D1844" s="65">
        <v>637</v>
      </c>
      <c r="E1844" s="65">
        <v>76</v>
      </c>
    </row>
    <row r="1845" spans="1:5">
      <c r="A1845" s="65">
        <v>21318</v>
      </c>
      <c r="B1845" s="66" t="s">
        <v>3876</v>
      </c>
      <c r="C1845" s="66" t="s">
        <v>5566</v>
      </c>
      <c r="D1845" s="65">
        <v>5</v>
      </c>
      <c r="E1845" s="65">
        <v>1</v>
      </c>
    </row>
    <row r="1846" spans="1:5">
      <c r="A1846" s="65">
        <v>214</v>
      </c>
      <c r="B1846" s="66" t="s">
        <v>3649</v>
      </c>
      <c r="C1846" s="66" t="s">
        <v>5567</v>
      </c>
      <c r="D1846" s="65">
        <v>328</v>
      </c>
      <c r="E1846" s="65">
        <v>12</v>
      </c>
    </row>
    <row r="1847" spans="1:5">
      <c r="A1847" s="65">
        <v>21523</v>
      </c>
      <c r="B1847" s="66" t="s">
        <v>3649</v>
      </c>
      <c r="C1847" s="66" t="s">
        <v>5568</v>
      </c>
      <c r="D1847" s="65">
        <v>214</v>
      </c>
      <c r="E1847" s="65">
        <v>33</v>
      </c>
    </row>
    <row r="1848" spans="1:5">
      <c r="A1848" s="65">
        <v>21591</v>
      </c>
      <c r="B1848" s="66" t="s">
        <v>3616</v>
      </c>
      <c r="C1848" s="66" t="s">
        <v>5569</v>
      </c>
      <c r="D1848" s="65">
        <v>121</v>
      </c>
      <c r="E1848" s="65">
        <v>34</v>
      </c>
    </row>
    <row r="1849" spans="1:5">
      <c r="A1849" s="65">
        <v>2160</v>
      </c>
      <c r="B1849" s="66" t="s">
        <v>3597</v>
      </c>
      <c r="C1849" s="66" t="s">
        <v>5570</v>
      </c>
      <c r="D1849" s="65">
        <v>4933</v>
      </c>
      <c r="E1849" s="65">
        <v>120</v>
      </c>
    </row>
    <row r="1850" spans="1:5">
      <c r="A1850" s="65">
        <v>21650</v>
      </c>
      <c r="B1850" s="66" t="s">
        <v>3597</v>
      </c>
      <c r="C1850" s="66" t="s">
        <v>5571</v>
      </c>
      <c r="D1850" s="65">
        <v>22</v>
      </c>
      <c r="E1850" s="65">
        <v>2</v>
      </c>
    </row>
    <row r="1851" spans="1:5">
      <c r="A1851" s="65">
        <v>2191</v>
      </c>
      <c r="B1851" s="66" t="s">
        <v>3599</v>
      </c>
      <c r="C1851" s="66" t="s">
        <v>5572</v>
      </c>
      <c r="D1851" s="65">
        <v>24</v>
      </c>
      <c r="E1851" s="65">
        <v>16</v>
      </c>
    </row>
    <row r="1852" spans="1:5">
      <c r="A1852" s="65">
        <v>2196</v>
      </c>
      <c r="B1852" s="66" t="s">
        <v>3616</v>
      </c>
      <c r="C1852" s="66" t="s">
        <v>5573</v>
      </c>
      <c r="D1852" s="65">
        <v>1433</v>
      </c>
      <c r="E1852" s="65">
        <v>153</v>
      </c>
    </row>
    <row r="1853" spans="1:5">
      <c r="A1853" s="65">
        <v>22102</v>
      </c>
      <c r="B1853" s="66" t="s">
        <v>3625</v>
      </c>
      <c r="C1853" s="66" t="s">
        <v>5574</v>
      </c>
      <c r="D1853" s="65">
        <v>18</v>
      </c>
      <c r="E1853" s="65">
        <v>2</v>
      </c>
    </row>
    <row r="1854" spans="1:5">
      <c r="A1854" s="65">
        <v>22138</v>
      </c>
      <c r="B1854" s="66" t="s">
        <v>3606</v>
      </c>
      <c r="C1854" s="66" t="s">
        <v>5575</v>
      </c>
      <c r="D1854" s="65">
        <v>7</v>
      </c>
      <c r="E1854" s="65">
        <v>7</v>
      </c>
    </row>
    <row r="1855" spans="1:5">
      <c r="A1855" s="65">
        <v>2217</v>
      </c>
      <c r="B1855" s="66" t="s">
        <v>3667</v>
      </c>
      <c r="C1855" s="66" t="s">
        <v>5576</v>
      </c>
      <c r="D1855" s="65">
        <v>13</v>
      </c>
      <c r="E1855" s="65">
        <v>5</v>
      </c>
    </row>
    <row r="1856" spans="1:5">
      <c r="A1856" s="65">
        <v>222</v>
      </c>
      <c r="B1856" s="66" t="s">
        <v>3649</v>
      </c>
      <c r="C1856" s="66" t="s">
        <v>5577</v>
      </c>
      <c r="D1856" s="65">
        <v>47</v>
      </c>
      <c r="E1856" s="65">
        <v>17</v>
      </c>
    </row>
    <row r="1857" spans="1:5">
      <c r="A1857" s="65">
        <v>22322</v>
      </c>
      <c r="B1857" s="66" t="s">
        <v>4237</v>
      </c>
      <c r="C1857" s="66" t="s">
        <v>5578</v>
      </c>
      <c r="D1857" s="65">
        <v>6</v>
      </c>
      <c r="E1857" s="65">
        <v>1</v>
      </c>
    </row>
    <row r="1858" spans="1:5">
      <c r="A1858" s="65">
        <v>22325</v>
      </c>
      <c r="B1858" s="66" t="s">
        <v>3595</v>
      </c>
      <c r="C1858" s="66" t="s">
        <v>5579</v>
      </c>
      <c r="D1858" s="65">
        <v>165</v>
      </c>
      <c r="E1858" s="65">
        <v>3</v>
      </c>
    </row>
    <row r="1859" spans="1:5">
      <c r="A1859" s="65">
        <v>22398</v>
      </c>
      <c r="B1859" s="66" t="s">
        <v>3593</v>
      </c>
      <c r="C1859" s="66" t="s">
        <v>5580</v>
      </c>
      <c r="D1859" s="65">
        <v>80</v>
      </c>
      <c r="E1859" s="65">
        <v>21</v>
      </c>
    </row>
    <row r="1860" spans="1:5">
      <c r="A1860" s="65">
        <v>22414</v>
      </c>
      <c r="B1860" s="66" t="s">
        <v>3612</v>
      </c>
      <c r="C1860" s="66" t="s">
        <v>5581</v>
      </c>
      <c r="D1860" s="65">
        <v>1</v>
      </c>
      <c r="E1860" s="65">
        <v>1</v>
      </c>
    </row>
    <row r="1861" spans="1:5">
      <c r="A1861" s="65">
        <v>22426</v>
      </c>
      <c r="B1861" s="66" t="s">
        <v>3742</v>
      </c>
      <c r="C1861" s="66" t="s">
        <v>5582</v>
      </c>
      <c r="D1861" s="65">
        <v>13</v>
      </c>
      <c r="E1861" s="65">
        <v>6</v>
      </c>
    </row>
    <row r="1862" spans="1:5">
      <c r="A1862" s="65">
        <v>22502</v>
      </c>
      <c r="B1862" s="66" t="s">
        <v>3597</v>
      </c>
      <c r="C1862" s="66" t="s">
        <v>5583</v>
      </c>
      <c r="D1862" s="65">
        <v>5565</v>
      </c>
      <c r="E1862" s="65">
        <v>17</v>
      </c>
    </row>
    <row r="1863" spans="1:5">
      <c r="A1863" s="65">
        <v>22650</v>
      </c>
      <c r="B1863" s="66" t="s">
        <v>3665</v>
      </c>
      <c r="C1863" s="66" t="s">
        <v>5584</v>
      </c>
      <c r="D1863" s="65">
        <v>16</v>
      </c>
      <c r="E1863" s="65">
        <v>3</v>
      </c>
    </row>
    <row r="1864" spans="1:5">
      <c r="A1864" s="65">
        <v>22681</v>
      </c>
      <c r="B1864" s="66" t="s">
        <v>3593</v>
      </c>
      <c r="C1864" s="66" t="s">
        <v>5585</v>
      </c>
      <c r="D1864" s="65">
        <v>343</v>
      </c>
      <c r="E1864" s="65">
        <v>73</v>
      </c>
    </row>
    <row r="1865" spans="1:5">
      <c r="A1865" s="65">
        <v>2269</v>
      </c>
      <c r="B1865" s="66" t="s">
        <v>3820</v>
      </c>
      <c r="C1865" s="66" t="s">
        <v>5586</v>
      </c>
      <c r="D1865" s="65">
        <v>16</v>
      </c>
      <c r="E1865" s="65">
        <v>4</v>
      </c>
    </row>
    <row r="1866" spans="1:5">
      <c r="A1866" s="65">
        <v>22706</v>
      </c>
      <c r="B1866" s="66" t="s">
        <v>4232</v>
      </c>
      <c r="C1866" s="66" t="s">
        <v>5587</v>
      </c>
      <c r="D1866" s="65">
        <v>3</v>
      </c>
      <c r="E1866" s="65">
        <v>2</v>
      </c>
    </row>
    <row r="1867" spans="1:5">
      <c r="A1867" s="65">
        <v>22722</v>
      </c>
      <c r="B1867" s="66" t="s">
        <v>3667</v>
      </c>
      <c r="C1867" s="66" t="s">
        <v>5588</v>
      </c>
      <c r="D1867" s="65">
        <v>66000</v>
      </c>
      <c r="E1867" s="65">
        <v>208</v>
      </c>
    </row>
    <row r="1868" spans="1:5">
      <c r="A1868" s="65">
        <v>228</v>
      </c>
      <c r="B1868" s="66" t="s">
        <v>3904</v>
      </c>
      <c r="C1868" s="66" t="s">
        <v>5589</v>
      </c>
      <c r="D1868" s="65">
        <v>1</v>
      </c>
      <c r="E1868" s="65">
        <v>1</v>
      </c>
    </row>
    <row r="1869" spans="1:5">
      <c r="A1869" s="65">
        <v>2315</v>
      </c>
      <c r="B1869" s="66" t="s">
        <v>3667</v>
      </c>
      <c r="C1869" s="66" t="s">
        <v>5590</v>
      </c>
      <c r="D1869" s="65">
        <v>11</v>
      </c>
      <c r="E1869" s="65">
        <v>5</v>
      </c>
    </row>
    <row r="1870" spans="1:5">
      <c r="A1870" s="65">
        <v>232</v>
      </c>
      <c r="B1870" s="66" t="s">
        <v>3649</v>
      </c>
      <c r="C1870" s="66" t="s">
        <v>5591</v>
      </c>
      <c r="D1870" s="65">
        <v>37</v>
      </c>
      <c r="E1870" s="65">
        <v>26</v>
      </c>
    </row>
    <row r="1871" spans="1:5">
      <c r="A1871" s="65">
        <v>2333</v>
      </c>
      <c r="B1871" s="66" t="s">
        <v>3614</v>
      </c>
      <c r="C1871" s="66" t="s">
        <v>5592</v>
      </c>
      <c r="D1871" s="65">
        <v>110</v>
      </c>
      <c r="E1871" s="65">
        <v>4</v>
      </c>
    </row>
    <row r="1872" spans="1:5">
      <c r="A1872" s="65">
        <v>23361</v>
      </c>
      <c r="B1872" s="66" t="s">
        <v>3597</v>
      </c>
      <c r="C1872" s="66" t="s">
        <v>5593</v>
      </c>
      <c r="D1872" s="65">
        <v>383</v>
      </c>
      <c r="E1872" s="65">
        <v>175</v>
      </c>
    </row>
    <row r="1873" spans="1:5">
      <c r="A1873" s="65">
        <v>23504</v>
      </c>
      <c r="B1873" s="66" t="s">
        <v>3820</v>
      </c>
      <c r="C1873" s="66" t="s">
        <v>5594</v>
      </c>
      <c r="D1873" s="65">
        <v>15</v>
      </c>
      <c r="E1873" s="65">
        <v>3</v>
      </c>
    </row>
    <row r="1874" spans="1:5">
      <c r="A1874" s="65">
        <v>23505</v>
      </c>
      <c r="B1874" s="66" t="s">
        <v>4317</v>
      </c>
      <c r="C1874" s="66" t="s">
        <v>5595</v>
      </c>
      <c r="D1874" s="65">
        <v>10</v>
      </c>
      <c r="E1874" s="65">
        <v>2</v>
      </c>
    </row>
    <row r="1875" spans="1:5">
      <c r="A1875" s="65">
        <v>23533</v>
      </c>
      <c r="B1875" s="66" t="s">
        <v>3606</v>
      </c>
      <c r="C1875" s="66" t="s">
        <v>5596</v>
      </c>
      <c r="D1875" s="65">
        <v>46</v>
      </c>
      <c r="E1875" s="65">
        <v>11</v>
      </c>
    </row>
    <row r="1876" spans="1:5">
      <c r="A1876" s="65">
        <v>23591</v>
      </c>
      <c r="B1876" s="66" t="s">
        <v>3763</v>
      </c>
      <c r="C1876" s="66" t="s">
        <v>5597</v>
      </c>
      <c r="D1876" s="65">
        <v>16</v>
      </c>
      <c r="E1876" s="65">
        <v>3</v>
      </c>
    </row>
    <row r="1877" spans="1:5">
      <c r="A1877" s="65">
        <v>236</v>
      </c>
      <c r="B1877" s="66" t="s">
        <v>3649</v>
      </c>
      <c r="C1877" s="66" t="s">
        <v>5598</v>
      </c>
      <c r="D1877" s="65">
        <v>20</v>
      </c>
      <c r="E1877" s="65">
        <v>7</v>
      </c>
    </row>
    <row r="1878" spans="1:5">
      <c r="A1878" s="65">
        <v>237</v>
      </c>
      <c r="B1878" s="66" t="s">
        <v>3616</v>
      </c>
      <c r="C1878" s="66" t="s">
        <v>5599</v>
      </c>
      <c r="D1878" s="65">
        <v>119</v>
      </c>
      <c r="E1878" s="65">
        <v>39</v>
      </c>
    </row>
    <row r="1879" spans="1:5">
      <c r="A1879" s="65">
        <v>24143</v>
      </c>
      <c r="B1879" s="66" t="s">
        <v>3593</v>
      </c>
      <c r="C1879" s="66" t="s">
        <v>5600</v>
      </c>
      <c r="D1879" s="65">
        <v>4</v>
      </c>
      <c r="E1879" s="65">
        <v>3</v>
      </c>
    </row>
    <row r="1880" spans="1:5">
      <c r="A1880" s="65">
        <v>24156</v>
      </c>
      <c r="B1880" s="66" t="s">
        <v>3665</v>
      </c>
      <c r="C1880" s="66" t="s">
        <v>5601</v>
      </c>
      <c r="D1880" s="65">
        <v>155</v>
      </c>
      <c r="E1880" s="65">
        <v>7</v>
      </c>
    </row>
    <row r="1881" spans="1:5">
      <c r="A1881" s="65">
        <v>244</v>
      </c>
      <c r="B1881" s="66" t="s">
        <v>3625</v>
      </c>
      <c r="C1881" s="66" t="s">
        <v>5602</v>
      </c>
      <c r="D1881" s="65">
        <v>150</v>
      </c>
      <c r="E1881" s="65">
        <v>2</v>
      </c>
    </row>
    <row r="1882" spans="1:5">
      <c r="A1882" s="65">
        <v>24476</v>
      </c>
      <c r="B1882" s="66" t="s">
        <v>3603</v>
      </c>
      <c r="C1882" s="66" t="s">
        <v>5603</v>
      </c>
      <c r="D1882" s="65">
        <v>8</v>
      </c>
      <c r="E1882" s="65">
        <v>4</v>
      </c>
    </row>
    <row r="1883" spans="1:5">
      <c r="A1883" s="65">
        <v>24477</v>
      </c>
      <c r="B1883" s="66" t="s">
        <v>3649</v>
      </c>
      <c r="C1883" s="66" t="s">
        <v>5604</v>
      </c>
      <c r="D1883" s="65">
        <v>6</v>
      </c>
      <c r="E1883" s="65">
        <v>5</v>
      </c>
    </row>
    <row r="1884" spans="1:5">
      <c r="A1884" s="65">
        <v>24478</v>
      </c>
      <c r="B1884" s="66" t="s">
        <v>3649</v>
      </c>
      <c r="C1884" s="66" t="s">
        <v>5605</v>
      </c>
      <c r="D1884" s="65">
        <v>18</v>
      </c>
      <c r="E1884" s="65">
        <v>10</v>
      </c>
    </row>
    <row r="1885" spans="1:5">
      <c r="A1885" s="65">
        <v>2448</v>
      </c>
      <c r="B1885" s="66" t="s">
        <v>3593</v>
      </c>
      <c r="C1885" s="66" t="s">
        <v>5606</v>
      </c>
      <c r="D1885" s="65">
        <v>210</v>
      </c>
      <c r="E1885" s="65">
        <v>47</v>
      </c>
    </row>
    <row r="1886" spans="1:5">
      <c r="A1886" s="65">
        <v>2456</v>
      </c>
      <c r="B1886" s="66" t="s">
        <v>3599</v>
      </c>
      <c r="C1886" s="66" t="s">
        <v>5607</v>
      </c>
      <c r="D1886" s="65">
        <v>7808</v>
      </c>
      <c r="E1886" s="65">
        <v>414</v>
      </c>
    </row>
    <row r="1887" spans="1:5">
      <c r="A1887" s="65">
        <v>24700</v>
      </c>
      <c r="B1887" s="66" t="s">
        <v>3593</v>
      </c>
      <c r="C1887" s="66" t="s">
        <v>5608</v>
      </c>
      <c r="D1887" s="65">
        <v>950</v>
      </c>
      <c r="E1887" s="65">
        <v>7</v>
      </c>
    </row>
    <row r="1888" spans="1:5">
      <c r="A1888" s="65">
        <v>2485</v>
      </c>
      <c r="B1888" s="66" t="s">
        <v>3649</v>
      </c>
      <c r="C1888" s="66" t="s">
        <v>5609</v>
      </c>
      <c r="D1888" s="65">
        <v>8</v>
      </c>
      <c r="E1888" s="65">
        <v>4</v>
      </c>
    </row>
    <row r="1889" spans="1:5">
      <c r="A1889" s="65">
        <v>2489</v>
      </c>
      <c r="B1889" s="66" t="s">
        <v>3667</v>
      </c>
      <c r="C1889" s="66" t="s">
        <v>5610</v>
      </c>
      <c r="D1889" s="65">
        <v>333</v>
      </c>
      <c r="E1889" s="65">
        <v>9</v>
      </c>
    </row>
    <row r="1890" spans="1:5">
      <c r="A1890" s="65">
        <v>2490</v>
      </c>
      <c r="B1890" s="66" t="s">
        <v>3660</v>
      </c>
      <c r="C1890" s="66" t="s">
        <v>5611</v>
      </c>
      <c r="D1890" s="65">
        <v>37</v>
      </c>
      <c r="E1890" s="65">
        <v>4</v>
      </c>
    </row>
    <row r="1891" spans="1:5">
      <c r="A1891" s="65">
        <v>25059</v>
      </c>
      <c r="B1891" s="66" t="s">
        <v>5235</v>
      </c>
      <c r="C1891" s="66" t="s">
        <v>5612</v>
      </c>
      <c r="D1891" s="65">
        <v>8</v>
      </c>
      <c r="E1891" s="65">
        <v>1</v>
      </c>
    </row>
    <row r="1892" spans="1:5">
      <c r="A1892" s="65">
        <v>25067</v>
      </c>
      <c r="B1892" s="66" t="s">
        <v>3601</v>
      </c>
      <c r="C1892" s="66" t="s">
        <v>5613</v>
      </c>
      <c r="D1892" s="65">
        <v>27</v>
      </c>
      <c r="E1892" s="65">
        <v>5</v>
      </c>
    </row>
    <row r="1893" spans="1:5">
      <c r="A1893" s="65">
        <v>2515</v>
      </c>
      <c r="B1893" s="66" t="s">
        <v>3625</v>
      </c>
      <c r="C1893" s="66" t="s">
        <v>5614</v>
      </c>
      <c r="D1893" s="65">
        <v>3</v>
      </c>
      <c r="E1893" s="65">
        <v>1</v>
      </c>
    </row>
    <row r="1894" spans="1:5">
      <c r="A1894" s="65">
        <v>2516</v>
      </c>
      <c r="B1894" s="66" t="s">
        <v>4979</v>
      </c>
      <c r="C1894" s="66" t="s">
        <v>5615</v>
      </c>
      <c r="D1894" s="65">
        <v>20</v>
      </c>
      <c r="E1894" s="65">
        <v>7</v>
      </c>
    </row>
    <row r="1895" spans="1:5">
      <c r="A1895" s="65">
        <v>2518</v>
      </c>
      <c r="B1895" s="66" t="s">
        <v>4191</v>
      </c>
      <c r="C1895" s="66" t="s">
        <v>5616</v>
      </c>
      <c r="D1895" s="65">
        <v>336</v>
      </c>
      <c r="E1895" s="65">
        <v>18</v>
      </c>
    </row>
    <row r="1896" spans="1:5">
      <c r="A1896" s="65">
        <v>2520</v>
      </c>
      <c r="B1896" s="66" t="s">
        <v>3593</v>
      </c>
      <c r="C1896" s="66" t="s">
        <v>5617</v>
      </c>
      <c r="D1896" s="65">
        <v>6</v>
      </c>
      <c r="E1896" s="65">
        <v>1</v>
      </c>
    </row>
    <row r="1897" spans="1:5">
      <c r="A1897" s="65">
        <v>2527</v>
      </c>
      <c r="B1897" s="66" t="s">
        <v>3876</v>
      </c>
      <c r="C1897" s="66" t="s">
        <v>5618</v>
      </c>
      <c r="D1897" s="65">
        <v>3</v>
      </c>
      <c r="E1897" s="65">
        <v>1</v>
      </c>
    </row>
    <row r="1898" spans="1:5">
      <c r="A1898" s="65">
        <v>25384</v>
      </c>
      <c r="B1898" s="66" t="s">
        <v>4191</v>
      </c>
      <c r="C1898" s="66" t="s">
        <v>5619</v>
      </c>
      <c r="D1898" s="65">
        <v>12</v>
      </c>
      <c r="E1898" s="65">
        <v>4</v>
      </c>
    </row>
    <row r="1899" spans="1:5">
      <c r="A1899" s="65">
        <v>25397</v>
      </c>
      <c r="B1899" s="66" t="s">
        <v>4191</v>
      </c>
      <c r="C1899" s="66" t="s">
        <v>5620</v>
      </c>
      <c r="D1899" s="65">
        <v>1</v>
      </c>
      <c r="E1899" s="65">
        <v>1</v>
      </c>
    </row>
    <row r="1900" spans="1:5">
      <c r="A1900" s="65">
        <v>2553</v>
      </c>
      <c r="B1900" s="66" t="s">
        <v>3593</v>
      </c>
      <c r="C1900" s="66" t="s">
        <v>5621</v>
      </c>
      <c r="D1900" s="65">
        <v>15</v>
      </c>
      <c r="E1900" s="65">
        <v>11</v>
      </c>
    </row>
    <row r="1901" spans="1:5">
      <c r="A1901" s="65">
        <v>25535</v>
      </c>
      <c r="B1901" s="66" t="s">
        <v>3601</v>
      </c>
      <c r="C1901" s="66" t="s">
        <v>5622</v>
      </c>
      <c r="D1901" s="65">
        <v>11</v>
      </c>
      <c r="E1901" s="65">
        <v>9</v>
      </c>
    </row>
    <row r="1902" spans="1:5">
      <c r="A1902" s="65">
        <v>2563</v>
      </c>
      <c r="B1902" s="66" t="s">
        <v>3786</v>
      </c>
      <c r="C1902" s="66" t="s">
        <v>5623</v>
      </c>
      <c r="D1902" s="65">
        <v>65</v>
      </c>
      <c r="E1902" s="65">
        <v>4</v>
      </c>
    </row>
    <row r="1903" spans="1:5">
      <c r="A1903" s="65">
        <v>258</v>
      </c>
      <c r="B1903" s="66" t="s">
        <v>3614</v>
      </c>
      <c r="C1903" s="66" t="s">
        <v>5624</v>
      </c>
      <c r="D1903" s="65">
        <v>331</v>
      </c>
      <c r="E1903" s="65">
        <v>21</v>
      </c>
    </row>
    <row r="1904" spans="1:5">
      <c r="A1904" s="65">
        <v>25814</v>
      </c>
      <c r="B1904" s="66" t="s">
        <v>3597</v>
      </c>
      <c r="C1904" s="66" t="s">
        <v>5625</v>
      </c>
      <c r="D1904" s="65">
        <v>46213</v>
      </c>
      <c r="E1904" s="65">
        <v>174</v>
      </c>
    </row>
    <row r="1905" spans="1:5">
      <c r="A1905" s="65">
        <v>25855</v>
      </c>
      <c r="B1905" s="66" t="s">
        <v>3593</v>
      </c>
      <c r="C1905" s="66" t="s">
        <v>5626</v>
      </c>
      <c r="D1905" s="65">
        <v>2694</v>
      </c>
      <c r="E1905" s="65">
        <v>237</v>
      </c>
    </row>
    <row r="1906" spans="1:5">
      <c r="A1906" s="65">
        <v>25961</v>
      </c>
      <c r="B1906" s="66" t="s">
        <v>3677</v>
      </c>
      <c r="C1906" s="66" t="s">
        <v>5627</v>
      </c>
      <c r="D1906" s="65">
        <v>119</v>
      </c>
      <c r="E1906" s="65">
        <v>15</v>
      </c>
    </row>
    <row r="1907" spans="1:5">
      <c r="A1907" s="65">
        <v>261</v>
      </c>
      <c r="B1907" s="66" t="s">
        <v>3593</v>
      </c>
      <c r="C1907" s="66" t="s">
        <v>5628</v>
      </c>
      <c r="D1907" s="65">
        <v>6048</v>
      </c>
      <c r="E1907" s="65">
        <v>33</v>
      </c>
    </row>
    <row r="1908" spans="1:5">
      <c r="A1908" s="65">
        <v>2634</v>
      </c>
      <c r="B1908" s="66" t="s">
        <v>3597</v>
      </c>
      <c r="C1908" s="66" t="s">
        <v>5629</v>
      </c>
      <c r="D1908" s="65">
        <v>59</v>
      </c>
      <c r="E1908" s="65">
        <v>22</v>
      </c>
    </row>
    <row r="1909" spans="1:5">
      <c r="A1909" s="65">
        <v>264</v>
      </c>
      <c r="B1909" s="66" t="s">
        <v>3900</v>
      </c>
      <c r="C1909" s="66" t="s">
        <v>5630</v>
      </c>
      <c r="D1909" s="65">
        <v>376</v>
      </c>
      <c r="E1909" s="65">
        <v>22</v>
      </c>
    </row>
    <row r="1910" spans="1:5">
      <c r="A1910" s="65">
        <v>2645</v>
      </c>
      <c r="B1910" s="66" t="s">
        <v>3627</v>
      </c>
      <c r="C1910" s="66" t="s">
        <v>5631</v>
      </c>
      <c r="D1910" s="65">
        <v>6</v>
      </c>
      <c r="E1910" s="65">
        <v>4</v>
      </c>
    </row>
    <row r="1911" spans="1:5">
      <c r="A1911" s="65">
        <v>26459</v>
      </c>
      <c r="B1911" s="66" t="s">
        <v>3627</v>
      </c>
      <c r="C1911" s="66" t="s">
        <v>5476</v>
      </c>
      <c r="D1911" s="65">
        <v>10</v>
      </c>
      <c r="E1911" s="65">
        <v>8</v>
      </c>
    </row>
    <row r="1912" spans="1:5">
      <c r="A1912" s="65">
        <v>2646</v>
      </c>
      <c r="B1912" s="66" t="s">
        <v>3786</v>
      </c>
      <c r="C1912" s="66" t="s">
        <v>5632</v>
      </c>
      <c r="D1912" s="65">
        <v>121</v>
      </c>
      <c r="E1912" s="65">
        <v>19</v>
      </c>
    </row>
    <row r="1913" spans="1:5">
      <c r="A1913" s="65">
        <v>2647</v>
      </c>
      <c r="B1913" s="66" t="s">
        <v>3593</v>
      </c>
      <c r="C1913" s="66" t="s">
        <v>5633</v>
      </c>
      <c r="D1913" s="65">
        <v>2339</v>
      </c>
      <c r="E1913" s="65">
        <v>83</v>
      </c>
    </row>
    <row r="1914" spans="1:5">
      <c r="A1914" s="65">
        <v>26603</v>
      </c>
      <c r="B1914" s="66" t="s">
        <v>3627</v>
      </c>
      <c r="C1914" s="66" t="s">
        <v>5634</v>
      </c>
      <c r="D1914" s="65">
        <v>23</v>
      </c>
      <c r="E1914" s="65">
        <v>23</v>
      </c>
    </row>
    <row r="1915" spans="1:5">
      <c r="A1915" s="65">
        <v>267</v>
      </c>
      <c r="B1915" s="66" t="s">
        <v>3627</v>
      </c>
      <c r="C1915" s="66" t="s">
        <v>5635</v>
      </c>
      <c r="D1915" s="65">
        <v>60</v>
      </c>
      <c r="E1915" s="65">
        <v>10</v>
      </c>
    </row>
    <row r="1916" spans="1:5">
      <c r="A1916" s="65">
        <v>268</v>
      </c>
      <c r="B1916" s="66" t="s">
        <v>3620</v>
      </c>
      <c r="C1916" s="66" t="s">
        <v>5636</v>
      </c>
      <c r="D1916" s="65">
        <v>11</v>
      </c>
      <c r="E1916" s="65">
        <v>4</v>
      </c>
    </row>
    <row r="1917" spans="1:5">
      <c r="A1917" s="65">
        <v>26814</v>
      </c>
      <c r="B1917" s="66" t="s">
        <v>3616</v>
      </c>
      <c r="C1917" s="66" t="s">
        <v>5637</v>
      </c>
      <c r="D1917" s="65">
        <v>405</v>
      </c>
      <c r="E1917" s="65">
        <v>37</v>
      </c>
    </row>
    <row r="1918" spans="1:5">
      <c r="A1918" s="65">
        <v>2683</v>
      </c>
      <c r="B1918" s="66" t="s">
        <v>3625</v>
      </c>
      <c r="C1918" s="66" t="s">
        <v>5638</v>
      </c>
      <c r="D1918" s="65">
        <v>744</v>
      </c>
      <c r="E1918" s="65">
        <v>36</v>
      </c>
    </row>
    <row r="1919" spans="1:5">
      <c r="A1919" s="65">
        <v>2693</v>
      </c>
      <c r="B1919" s="66" t="s">
        <v>3649</v>
      </c>
      <c r="C1919" s="66" t="s">
        <v>5639</v>
      </c>
      <c r="D1919" s="65">
        <v>94</v>
      </c>
      <c r="E1919" s="65">
        <v>10</v>
      </c>
    </row>
    <row r="1920" spans="1:5">
      <c r="A1920" s="65">
        <v>2698</v>
      </c>
      <c r="B1920" s="66" t="s">
        <v>3616</v>
      </c>
      <c r="C1920" s="66" t="s">
        <v>5640</v>
      </c>
      <c r="D1920" s="65">
        <v>60</v>
      </c>
      <c r="E1920" s="65">
        <v>32</v>
      </c>
    </row>
    <row r="1921" spans="1:5">
      <c r="A1921" s="65">
        <v>2725</v>
      </c>
      <c r="B1921" s="66" t="s">
        <v>3597</v>
      </c>
      <c r="C1921" s="66" t="s">
        <v>5641</v>
      </c>
      <c r="D1921" s="65">
        <v>1728</v>
      </c>
      <c r="E1921" s="65">
        <v>40</v>
      </c>
    </row>
    <row r="1922" spans="1:5">
      <c r="A1922" s="65">
        <v>27272</v>
      </c>
      <c r="B1922" s="66" t="s">
        <v>3820</v>
      </c>
      <c r="C1922" s="66" t="s">
        <v>5642</v>
      </c>
      <c r="D1922" s="65">
        <v>33</v>
      </c>
      <c r="E1922" s="65">
        <v>13</v>
      </c>
    </row>
    <row r="1923" spans="1:5">
      <c r="A1923" s="65">
        <v>274</v>
      </c>
      <c r="B1923" s="66" t="s">
        <v>4020</v>
      </c>
      <c r="C1923" s="66" t="s">
        <v>5643</v>
      </c>
      <c r="D1923" s="65">
        <v>6</v>
      </c>
      <c r="E1923" s="65">
        <v>3</v>
      </c>
    </row>
    <row r="1924" spans="1:5">
      <c r="A1924" s="65">
        <v>275</v>
      </c>
      <c r="B1924" s="66" t="s">
        <v>3599</v>
      </c>
      <c r="C1924" s="66" t="s">
        <v>5644</v>
      </c>
      <c r="D1924" s="65">
        <v>20</v>
      </c>
      <c r="E1924" s="65">
        <v>10</v>
      </c>
    </row>
    <row r="1925" spans="1:5">
      <c r="A1925" s="65">
        <v>27574</v>
      </c>
      <c r="B1925" s="66" t="s">
        <v>3597</v>
      </c>
      <c r="C1925" s="66" t="s">
        <v>5645</v>
      </c>
      <c r="D1925" s="65">
        <v>20</v>
      </c>
      <c r="E1925" s="65">
        <v>14</v>
      </c>
    </row>
    <row r="1926" spans="1:5">
      <c r="A1926" s="65">
        <v>27575</v>
      </c>
      <c r="B1926" s="66" t="s">
        <v>3627</v>
      </c>
      <c r="C1926" s="66" t="s">
        <v>5646</v>
      </c>
      <c r="D1926" s="65">
        <v>3</v>
      </c>
      <c r="E1926" s="65">
        <v>3</v>
      </c>
    </row>
    <row r="1927" spans="1:5">
      <c r="A1927" s="65">
        <v>27576</v>
      </c>
      <c r="B1927" s="66" t="s">
        <v>3625</v>
      </c>
      <c r="C1927" s="66" t="s">
        <v>5647</v>
      </c>
      <c r="D1927" s="65">
        <v>9</v>
      </c>
      <c r="E1927" s="65">
        <v>4</v>
      </c>
    </row>
    <row r="1928" spans="1:5">
      <c r="A1928" s="65">
        <v>27577</v>
      </c>
      <c r="B1928" s="66" t="s">
        <v>3625</v>
      </c>
      <c r="C1928" s="66" t="s">
        <v>5648</v>
      </c>
      <c r="D1928" s="65">
        <v>10</v>
      </c>
      <c r="E1928" s="65">
        <v>7</v>
      </c>
    </row>
    <row r="1929" spans="1:5">
      <c r="A1929" s="65">
        <v>27578</v>
      </c>
      <c r="B1929" s="66" t="s">
        <v>3593</v>
      </c>
      <c r="C1929" s="66" t="s">
        <v>5649</v>
      </c>
      <c r="D1929" s="65">
        <v>35</v>
      </c>
      <c r="E1929" s="65">
        <v>18</v>
      </c>
    </row>
    <row r="1930" spans="1:5">
      <c r="A1930" s="65">
        <v>2778</v>
      </c>
      <c r="B1930" s="66" t="s">
        <v>3641</v>
      </c>
      <c r="C1930" s="66" t="s">
        <v>5650</v>
      </c>
      <c r="D1930" s="65">
        <v>6</v>
      </c>
      <c r="E1930" s="65">
        <v>3</v>
      </c>
    </row>
    <row r="1931" spans="1:5">
      <c r="A1931" s="65">
        <v>278</v>
      </c>
      <c r="B1931" s="66" t="s">
        <v>3593</v>
      </c>
      <c r="C1931" s="66" t="s">
        <v>5651</v>
      </c>
      <c r="D1931" s="65">
        <v>357</v>
      </c>
      <c r="E1931" s="65">
        <v>81</v>
      </c>
    </row>
    <row r="1932" spans="1:5">
      <c r="A1932" s="65">
        <v>27863</v>
      </c>
      <c r="B1932" s="66" t="s">
        <v>3667</v>
      </c>
      <c r="C1932" s="66" t="s">
        <v>5652</v>
      </c>
      <c r="D1932" s="65">
        <v>10</v>
      </c>
      <c r="E1932" s="65">
        <v>5</v>
      </c>
    </row>
    <row r="1933" spans="1:5">
      <c r="A1933" s="65">
        <v>28410</v>
      </c>
      <c r="B1933" s="66" t="s">
        <v>3597</v>
      </c>
      <c r="C1933" s="66" t="s">
        <v>5653</v>
      </c>
      <c r="D1933" s="65">
        <v>93</v>
      </c>
      <c r="E1933" s="65">
        <v>51</v>
      </c>
    </row>
    <row r="1934" spans="1:5">
      <c r="A1934" s="65">
        <v>28472</v>
      </c>
      <c r="B1934" s="66" t="s">
        <v>5654</v>
      </c>
      <c r="C1934" s="66" t="s">
        <v>5655</v>
      </c>
      <c r="D1934" s="65">
        <v>48</v>
      </c>
      <c r="E1934" s="65">
        <v>7</v>
      </c>
    </row>
    <row r="1935" spans="1:5">
      <c r="A1935" s="65">
        <v>28492</v>
      </c>
      <c r="B1935" s="66" t="s">
        <v>3625</v>
      </c>
      <c r="C1935" s="66" t="s">
        <v>5656</v>
      </c>
      <c r="D1935" s="65">
        <v>5</v>
      </c>
      <c r="E1935" s="65">
        <v>4</v>
      </c>
    </row>
    <row r="1936" spans="1:5">
      <c r="A1936" s="65">
        <v>285</v>
      </c>
      <c r="B1936" s="66" t="s">
        <v>3646</v>
      </c>
      <c r="C1936" s="66" t="s">
        <v>5657</v>
      </c>
      <c r="D1936" s="65">
        <v>259</v>
      </c>
      <c r="E1936" s="65">
        <v>35</v>
      </c>
    </row>
    <row r="1937" spans="1:5">
      <c r="A1937" s="65">
        <v>28560</v>
      </c>
      <c r="B1937" s="66" t="s">
        <v>3606</v>
      </c>
      <c r="C1937" s="66" t="s">
        <v>5658</v>
      </c>
      <c r="D1937" s="65">
        <v>33</v>
      </c>
      <c r="E1937" s="65">
        <v>5</v>
      </c>
    </row>
    <row r="1938" spans="1:5">
      <c r="A1938" s="65">
        <v>28728</v>
      </c>
      <c r="B1938" s="66" t="s">
        <v>3667</v>
      </c>
      <c r="C1938" s="66" t="s">
        <v>5659</v>
      </c>
      <c r="D1938" s="65">
        <v>25</v>
      </c>
      <c r="E1938" s="65">
        <v>8</v>
      </c>
    </row>
    <row r="1939" spans="1:5">
      <c r="A1939" s="65">
        <v>28740</v>
      </c>
      <c r="B1939" s="66" t="s">
        <v>3639</v>
      </c>
      <c r="C1939" s="66" t="s">
        <v>5660</v>
      </c>
      <c r="D1939" s="65">
        <v>22</v>
      </c>
      <c r="E1939" s="65">
        <v>16</v>
      </c>
    </row>
    <row r="1940" spans="1:5">
      <c r="A1940" s="65">
        <v>288</v>
      </c>
      <c r="B1940" s="66" t="s">
        <v>3646</v>
      </c>
      <c r="C1940" s="66" t="s">
        <v>5661</v>
      </c>
      <c r="D1940" s="65">
        <v>1204</v>
      </c>
      <c r="E1940" s="65">
        <v>54</v>
      </c>
    </row>
    <row r="1941" spans="1:5">
      <c r="A1941" s="65">
        <v>2896</v>
      </c>
      <c r="B1941" s="66" t="s">
        <v>3593</v>
      </c>
      <c r="C1941" s="66" t="s">
        <v>5662</v>
      </c>
      <c r="D1941" s="65">
        <v>3</v>
      </c>
      <c r="E1941" s="65">
        <v>3</v>
      </c>
    </row>
    <row r="1942" spans="1:5">
      <c r="A1942" s="65">
        <v>2905</v>
      </c>
      <c r="B1942" s="66" t="s">
        <v>3643</v>
      </c>
      <c r="C1942" s="66" t="s">
        <v>5663</v>
      </c>
      <c r="D1942" s="65">
        <v>29</v>
      </c>
      <c r="E1942" s="65">
        <v>3</v>
      </c>
    </row>
    <row r="1943" spans="1:5">
      <c r="A1943" s="65">
        <v>2909</v>
      </c>
      <c r="B1943" s="66" t="s">
        <v>3804</v>
      </c>
      <c r="C1943" s="66" t="s">
        <v>5664</v>
      </c>
      <c r="D1943" s="65">
        <v>2</v>
      </c>
      <c r="E1943" s="65">
        <v>1</v>
      </c>
    </row>
    <row r="1944" spans="1:5">
      <c r="A1944" s="65">
        <v>2921</v>
      </c>
      <c r="B1944" s="66" t="s">
        <v>3597</v>
      </c>
      <c r="C1944" s="66" t="s">
        <v>5665</v>
      </c>
      <c r="D1944" s="65">
        <v>2387</v>
      </c>
      <c r="E1944" s="65">
        <v>175</v>
      </c>
    </row>
    <row r="1945" spans="1:5">
      <c r="A1945" s="65">
        <v>29422</v>
      </c>
      <c r="B1945" s="66" t="s">
        <v>3597</v>
      </c>
      <c r="C1945" s="66" t="s">
        <v>5666</v>
      </c>
      <c r="D1945" s="65">
        <v>2160</v>
      </c>
      <c r="E1945" s="65">
        <v>6</v>
      </c>
    </row>
    <row r="1946" spans="1:5">
      <c r="A1946" s="65">
        <v>2948</v>
      </c>
      <c r="B1946" s="66" t="s">
        <v>3641</v>
      </c>
      <c r="C1946" s="66" t="s">
        <v>5667</v>
      </c>
      <c r="D1946" s="65">
        <v>120</v>
      </c>
      <c r="E1946" s="65">
        <v>10</v>
      </c>
    </row>
    <row r="1947" spans="1:5">
      <c r="A1947" s="65">
        <v>29510</v>
      </c>
      <c r="B1947" s="66" t="s">
        <v>3625</v>
      </c>
      <c r="C1947" s="66" t="s">
        <v>5668</v>
      </c>
      <c r="D1947" s="65">
        <v>210</v>
      </c>
      <c r="E1947" s="65">
        <v>8</v>
      </c>
    </row>
    <row r="1948" spans="1:5">
      <c r="A1948" s="65">
        <v>3009</v>
      </c>
      <c r="B1948" s="66" t="s">
        <v>3599</v>
      </c>
      <c r="C1948" s="66" t="s">
        <v>5669</v>
      </c>
      <c r="D1948" s="65">
        <v>100</v>
      </c>
      <c r="E1948" s="65">
        <v>6</v>
      </c>
    </row>
    <row r="1949" spans="1:5">
      <c r="A1949" s="65">
        <v>30233</v>
      </c>
      <c r="B1949" s="66" t="s">
        <v>3731</v>
      </c>
      <c r="C1949" s="66" t="s">
        <v>5670</v>
      </c>
      <c r="D1949" s="65">
        <v>5</v>
      </c>
      <c r="E1949" s="65">
        <v>5</v>
      </c>
    </row>
    <row r="1950" spans="1:5">
      <c r="A1950" s="65">
        <v>30241</v>
      </c>
      <c r="B1950" s="66" t="s">
        <v>3601</v>
      </c>
      <c r="C1950" s="66" t="s">
        <v>5671</v>
      </c>
      <c r="D1950" s="65">
        <v>156</v>
      </c>
      <c r="E1950" s="65">
        <v>71</v>
      </c>
    </row>
    <row r="1951" spans="1:5">
      <c r="A1951" s="65">
        <v>30248</v>
      </c>
      <c r="B1951" s="66" t="s">
        <v>3667</v>
      </c>
      <c r="C1951" s="66" t="s">
        <v>5672</v>
      </c>
      <c r="D1951" s="65">
        <v>252</v>
      </c>
      <c r="E1951" s="65">
        <v>115</v>
      </c>
    </row>
    <row r="1952" spans="1:5">
      <c r="A1952" s="65">
        <v>3042</v>
      </c>
      <c r="B1952" s="66" t="s">
        <v>3593</v>
      </c>
      <c r="C1952" s="66" t="s">
        <v>5673</v>
      </c>
      <c r="D1952" s="65">
        <v>5006</v>
      </c>
      <c r="E1952" s="65">
        <v>63</v>
      </c>
    </row>
    <row r="1953" spans="1:5">
      <c r="A1953" s="65">
        <v>3043</v>
      </c>
      <c r="B1953" s="66" t="s">
        <v>3597</v>
      </c>
      <c r="C1953" s="66" t="s">
        <v>5674</v>
      </c>
      <c r="D1953" s="65">
        <v>1579</v>
      </c>
      <c r="E1953" s="65">
        <v>478</v>
      </c>
    </row>
    <row r="1954" spans="1:5">
      <c r="A1954" s="65">
        <v>30596</v>
      </c>
      <c r="B1954" s="66" t="s">
        <v>3593</v>
      </c>
      <c r="C1954" s="66" t="s">
        <v>5675</v>
      </c>
      <c r="D1954" s="65">
        <v>1</v>
      </c>
      <c r="E1954" s="65">
        <v>1</v>
      </c>
    </row>
    <row r="1955" spans="1:5">
      <c r="A1955" s="65">
        <v>30597</v>
      </c>
      <c r="B1955" s="66" t="s">
        <v>3593</v>
      </c>
      <c r="C1955" s="66" t="s">
        <v>5676</v>
      </c>
      <c r="D1955" s="65">
        <v>5</v>
      </c>
      <c r="E1955" s="65">
        <v>2</v>
      </c>
    </row>
    <row r="1956" spans="1:5">
      <c r="A1956" s="65">
        <v>306</v>
      </c>
      <c r="B1956" s="66" t="s">
        <v>3649</v>
      </c>
      <c r="C1956" s="66" t="s">
        <v>5677</v>
      </c>
      <c r="D1956" s="65">
        <v>33</v>
      </c>
      <c r="E1956" s="65">
        <v>13</v>
      </c>
    </row>
    <row r="1957" spans="1:5">
      <c r="A1957" s="65">
        <v>30691</v>
      </c>
      <c r="B1957" s="66" t="s">
        <v>3904</v>
      </c>
      <c r="C1957" s="66" t="s">
        <v>5678</v>
      </c>
      <c r="D1957" s="65">
        <v>12</v>
      </c>
      <c r="E1957" s="65">
        <v>2</v>
      </c>
    </row>
    <row r="1958" spans="1:5">
      <c r="A1958" s="65">
        <v>30692</v>
      </c>
      <c r="B1958" s="66" t="s">
        <v>3620</v>
      </c>
      <c r="C1958" s="66" t="s">
        <v>5679</v>
      </c>
      <c r="D1958" s="65">
        <v>1</v>
      </c>
      <c r="E1958" s="65">
        <v>1</v>
      </c>
    </row>
    <row r="1959" spans="1:5">
      <c r="A1959" s="65">
        <v>30694</v>
      </c>
      <c r="B1959" s="66" t="s">
        <v>3620</v>
      </c>
      <c r="C1959" s="66" t="s">
        <v>5680</v>
      </c>
      <c r="D1959" s="65">
        <v>60</v>
      </c>
      <c r="E1959" s="65">
        <v>9</v>
      </c>
    </row>
    <row r="1960" spans="1:5">
      <c r="A1960" s="65">
        <v>30695</v>
      </c>
      <c r="B1960" s="66" t="s">
        <v>3616</v>
      </c>
      <c r="C1960" s="66" t="s">
        <v>5681</v>
      </c>
      <c r="D1960" s="65">
        <v>101</v>
      </c>
      <c r="E1960" s="65">
        <v>15</v>
      </c>
    </row>
    <row r="1961" spans="1:5">
      <c r="A1961" s="65">
        <v>30696</v>
      </c>
      <c r="B1961" s="66" t="s">
        <v>3620</v>
      </c>
      <c r="C1961" s="66" t="s">
        <v>5682</v>
      </c>
      <c r="D1961" s="65">
        <v>77</v>
      </c>
      <c r="E1961" s="65">
        <v>9</v>
      </c>
    </row>
    <row r="1962" spans="1:5">
      <c r="A1962" s="65">
        <v>30697</v>
      </c>
      <c r="B1962" s="66" t="s">
        <v>3876</v>
      </c>
      <c r="C1962" s="66" t="s">
        <v>5683</v>
      </c>
      <c r="D1962" s="65">
        <v>22</v>
      </c>
      <c r="E1962" s="65">
        <v>3</v>
      </c>
    </row>
    <row r="1963" spans="1:5">
      <c r="A1963" s="65">
        <v>30704</v>
      </c>
      <c r="B1963" s="66" t="s">
        <v>3904</v>
      </c>
      <c r="C1963" s="66" t="s">
        <v>5684</v>
      </c>
      <c r="D1963" s="65">
        <v>12</v>
      </c>
      <c r="E1963" s="65">
        <v>1</v>
      </c>
    </row>
    <row r="1964" spans="1:5">
      <c r="A1964" s="65">
        <v>30774</v>
      </c>
      <c r="B1964" s="66" t="s">
        <v>3804</v>
      </c>
      <c r="C1964" s="66" t="s">
        <v>5685</v>
      </c>
      <c r="D1964" s="65">
        <v>65</v>
      </c>
      <c r="E1964" s="65">
        <v>11</v>
      </c>
    </row>
    <row r="1965" spans="1:5">
      <c r="A1965" s="65">
        <v>30777</v>
      </c>
      <c r="B1965" s="66" t="s">
        <v>3804</v>
      </c>
      <c r="C1965" s="66" t="s">
        <v>5686</v>
      </c>
      <c r="D1965" s="65">
        <v>5</v>
      </c>
      <c r="E1965" s="65">
        <v>1</v>
      </c>
    </row>
    <row r="1966" spans="1:5">
      <c r="A1966" s="65">
        <v>308</v>
      </c>
      <c r="B1966" s="66" t="s">
        <v>3747</v>
      </c>
      <c r="C1966" s="66" t="s">
        <v>5687</v>
      </c>
      <c r="D1966" s="65">
        <v>3</v>
      </c>
      <c r="E1966" s="65">
        <v>3</v>
      </c>
    </row>
    <row r="1967" spans="1:5">
      <c r="A1967" s="65">
        <v>30967</v>
      </c>
      <c r="B1967" s="66" t="s">
        <v>3599</v>
      </c>
      <c r="C1967" s="66" t="s">
        <v>5688</v>
      </c>
      <c r="D1967" s="65">
        <v>36</v>
      </c>
      <c r="E1967" s="65">
        <v>2</v>
      </c>
    </row>
    <row r="1968" spans="1:5">
      <c r="A1968" s="65">
        <v>310</v>
      </c>
      <c r="B1968" s="66" t="s">
        <v>3593</v>
      </c>
      <c r="C1968" s="66" t="s">
        <v>5689</v>
      </c>
      <c r="D1968" s="65">
        <v>227</v>
      </c>
      <c r="E1968" s="65">
        <v>43</v>
      </c>
    </row>
    <row r="1969" spans="1:5">
      <c r="A1969" s="65">
        <v>31007</v>
      </c>
      <c r="B1969" s="66" t="s">
        <v>3876</v>
      </c>
      <c r="C1969" s="66" t="s">
        <v>5690</v>
      </c>
      <c r="D1969" s="65">
        <v>80</v>
      </c>
      <c r="E1969" s="65">
        <v>8</v>
      </c>
    </row>
    <row r="1970" spans="1:5">
      <c r="A1970" s="65">
        <v>3119</v>
      </c>
      <c r="B1970" s="66" t="s">
        <v>4227</v>
      </c>
      <c r="C1970" s="66" t="s">
        <v>5691</v>
      </c>
      <c r="D1970" s="65">
        <v>26</v>
      </c>
      <c r="E1970" s="65">
        <v>8</v>
      </c>
    </row>
    <row r="1971" spans="1:5">
      <c r="A1971" s="65">
        <v>31246</v>
      </c>
      <c r="B1971" s="66" t="s">
        <v>3649</v>
      </c>
      <c r="C1971" s="66" t="s">
        <v>5692</v>
      </c>
      <c r="D1971" s="65">
        <v>154</v>
      </c>
      <c r="E1971" s="65">
        <v>42</v>
      </c>
    </row>
    <row r="1972" spans="1:5">
      <c r="A1972" s="65">
        <v>31247</v>
      </c>
      <c r="B1972" s="66" t="s">
        <v>3620</v>
      </c>
      <c r="C1972" s="66" t="s">
        <v>5693</v>
      </c>
      <c r="D1972" s="65">
        <v>8</v>
      </c>
      <c r="E1972" s="65">
        <v>5</v>
      </c>
    </row>
    <row r="1973" spans="1:5">
      <c r="A1973" s="65">
        <v>31248</v>
      </c>
      <c r="B1973" s="66" t="s">
        <v>5085</v>
      </c>
      <c r="C1973" s="66" t="s">
        <v>5694</v>
      </c>
      <c r="D1973" s="65">
        <v>13</v>
      </c>
      <c r="E1973" s="65">
        <v>9</v>
      </c>
    </row>
    <row r="1974" spans="1:5">
      <c r="A1974" s="65">
        <v>31251</v>
      </c>
      <c r="B1974" s="66" t="s">
        <v>3620</v>
      </c>
      <c r="C1974" s="66" t="s">
        <v>5695</v>
      </c>
      <c r="D1974" s="65">
        <v>19</v>
      </c>
      <c r="E1974" s="65">
        <v>12</v>
      </c>
    </row>
    <row r="1975" spans="1:5">
      <c r="A1975" s="65">
        <v>314</v>
      </c>
      <c r="B1975" s="66" t="s">
        <v>3904</v>
      </c>
      <c r="C1975" s="66" t="s">
        <v>5696</v>
      </c>
      <c r="D1975" s="65">
        <v>6</v>
      </c>
      <c r="E1975" s="65">
        <v>3</v>
      </c>
    </row>
    <row r="1976" spans="1:5">
      <c r="A1976" s="65">
        <v>31426</v>
      </c>
      <c r="B1976" s="66" t="s">
        <v>3597</v>
      </c>
      <c r="C1976" s="66" t="s">
        <v>5697</v>
      </c>
      <c r="D1976" s="65">
        <v>363</v>
      </c>
      <c r="E1976" s="65">
        <v>28</v>
      </c>
    </row>
    <row r="1977" spans="1:5">
      <c r="A1977" s="65">
        <v>31435</v>
      </c>
      <c r="B1977" s="66" t="s">
        <v>3593</v>
      </c>
      <c r="C1977" s="66" t="s">
        <v>5698</v>
      </c>
      <c r="D1977" s="65">
        <v>903</v>
      </c>
      <c r="E1977" s="65">
        <v>54</v>
      </c>
    </row>
    <row r="1978" spans="1:5">
      <c r="A1978" s="65">
        <v>31446</v>
      </c>
      <c r="B1978" s="66" t="s">
        <v>3639</v>
      </c>
      <c r="C1978" s="66" t="s">
        <v>5699</v>
      </c>
      <c r="D1978" s="65">
        <v>150</v>
      </c>
      <c r="E1978" s="65">
        <v>2</v>
      </c>
    </row>
    <row r="1979" spans="1:5">
      <c r="A1979" s="65">
        <v>31450</v>
      </c>
      <c r="B1979" s="66" t="s">
        <v>3597</v>
      </c>
      <c r="C1979" s="66" t="s">
        <v>5700</v>
      </c>
      <c r="D1979" s="65">
        <v>242</v>
      </c>
      <c r="E1979" s="65">
        <v>21</v>
      </c>
    </row>
    <row r="1980" spans="1:5">
      <c r="A1980" s="65">
        <v>31453</v>
      </c>
      <c r="B1980" s="66" t="s">
        <v>3593</v>
      </c>
      <c r="C1980" s="66" t="s">
        <v>5701</v>
      </c>
      <c r="D1980" s="65">
        <v>338</v>
      </c>
      <c r="E1980" s="65">
        <v>17</v>
      </c>
    </row>
    <row r="1981" spans="1:5">
      <c r="A1981" s="65">
        <v>31456</v>
      </c>
      <c r="B1981" s="66" t="s">
        <v>3599</v>
      </c>
      <c r="C1981" s="66" t="s">
        <v>5702</v>
      </c>
      <c r="D1981" s="65">
        <v>60</v>
      </c>
      <c r="E1981" s="65">
        <v>5</v>
      </c>
    </row>
    <row r="1982" spans="1:5">
      <c r="A1982" s="65">
        <v>31457</v>
      </c>
      <c r="B1982" s="66" t="s">
        <v>3649</v>
      </c>
      <c r="C1982" s="66" t="s">
        <v>5703</v>
      </c>
      <c r="D1982" s="65">
        <v>94</v>
      </c>
      <c r="E1982" s="65">
        <v>63</v>
      </c>
    </row>
    <row r="1983" spans="1:5">
      <c r="A1983" s="65">
        <v>31459</v>
      </c>
      <c r="B1983" s="66" t="s">
        <v>5085</v>
      </c>
      <c r="C1983" s="66" t="s">
        <v>5704</v>
      </c>
      <c r="D1983" s="65">
        <v>815</v>
      </c>
      <c r="E1983" s="65">
        <v>25</v>
      </c>
    </row>
    <row r="1984" spans="1:5">
      <c r="A1984" s="65">
        <v>31486</v>
      </c>
      <c r="B1984" s="66" t="s">
        <v>3614</v>
      </c>
      <c r="C1984" s="66" t="s">
        <v>5705</v>
      </c>
      <c r="D1984" s="65">
        <v>44</v>
      </c>
      <c r="E1984" s="65">
        <v>7</v>
      </c>
    </row>
    <row r="1985" spans="1:5">
      <c r="A1985" s="65">
        <v>31490</v>
      </c>
      <c r="B1985" s="66" t="s">
        <v>3616</v>
      </c>
      <c r="C1985" s="66" t="s">
        <v>5706</v>
      </c>
      <c r="D1985" s="65">
        <v>29550</v>
      </c>
      <c r="E1985" s="65">
        <v>130</v>
      </c>
    </row>
    <row r="1986" spans="1:5">
      <c r="A1986" s="65">
        <v>31491</v>
      </c>
      <c r="B1986" s="66" t="s">
        <v>4610</v>
      </c>
      <c r="C1986" s="66" t="s">
        <v>5707</v>
      </c>
      <c r="D1986" s="65">
        <v>13</v>
      </c>
      <c r="E1986" s="65">
        <v>4</v>
      </c>
    </row>
    <row r="1987" spans="1:5">
      <c r="A1987" s="65">
        <v>31494</v>
      </c>
      <c r="B1987" s="66" t="s">
        <v>3616</v>
      </c>
      <c r="C1987" s="66" t="s">
        <v>5708</v>
      </c>
      <c r="D1987" s="65">
        <v>11</v>
      </c>
      <c r="E1987" s="65">
        <v>5</v>
      </c>
    </row>
    <row r="1988" spans="1:5">
      <c r="A1988" s="65">
        <v>31505</v>
      </c>
      <c r="B1988" s="66" t="s">
        <v>3597</v>
      </c>
      <c r="C1988" s="66" t="s">
        <v>5709</v>
      </c>
      <c r="D1988" s="65">
        <v>1839</v>
      </c>
      <c r="E1988" s="65">
        <v>118</v>
      </c>
    </row>
    <row r="1989" spans="1:5">
      <c r="A1989" s="65">
        <v>31518</v>
      </c>
      <c r="B1989" s="66" t="s">
        <v>3639</v>
      </c>
      <c r="C1989" s="66" t="s">
        <v>5710</v>
      </c>
      <c r="D1989" s="65">
        <v>5</v>
      </c>
      <c r="E1989" s="65">
        <v>3</v>
      </c>
    </row>
    <row r="1990" spans="1:5">
      <c r="A1990" s="65">
        <v>3156</v>
      </c>
      <c r="B1990" s="66" t="s">
        <v>3639</v>
      </c>
      <c r="C1990" s="66" t="s">
        <v>5711</v>
      </c>
      <c r="D1990" s="65">
        <v>1</v>
      </c>
      <c r="E1990" s="65">
        <v>1</v>
      </c>
    </row>
    <row r="1991" spans="1:5">
      <c r="A1991" s="65">
        <v>31580</v>
      </c>
      <c r="B1991" s="66" t="s">
        <v>3639</v>
      </c>
      <c r="C1991" s="66" t="s">
        <v>5712</v>
      </c>
      <c r="D1991" s="65">
        <v>2</v>
      </c>
      <c r="E1991" s="65">
        <v>2</v>
      </c>
    </row>
    <row r="1992" spans="1:5">
      <c r="A1992" s="65">
        <v>31595</v>
      </c>
      <c r="B1992" s="66" t="s">
        <v>4117</v>
      </c>
      <c r="C1992" s="66" t="s">
        <v>5713</v>
      </c>
      <c r="D1992" s="65">
        <v>6</v>
      </c>
      <c r="E1992" s="65">
        <v>5</v>
      </c>
    </row>
    <row r="1993" spans="1:5">
      <c r="A1993" s="65">
        <v>316</v>
      </c>
      <c r="B1993" s="66" t="s">
        <v>3593</v>
      </c>
      <c r="C1993" s="66" t="s">
        <v>5714</v>
      </c>
      <c r="D1993" s="65">
        <v>5</v>
      </c>
      <c r="E1993" s="65">
        <v>3</v>
      </c>
    </row>
    <row r="1994" spans="1:5">
      <c r="A1994" s="65">
        <v>31650</v>
      </c>
      <c r="B1994" s="66" t="s">
        <v>3597</v>
      </c>
      <c r="C1994" s="66" t="s">
        <v>5715</v>
      </c>
      <c r="D1994" s="65">
        <v>195</v>
      </c>
      <c r="E1994" s="65">
        <v>29</v>
      </c>
    </row>
    <row r="1995" spans="1:5">
      <c r="A1995" s="65">
        <v>31685</v>
      </c>
      <c r="B1995" s="66" t="s">
        <v>3601</v>
      </c>
      <c r="C1995" s="66" t="s">
        <v>5716</v>
      </c>
      <c r="D1995" s="65">
        <v>61</v>
      </c>
      <c r="E1995" s="65">
        <v>4</v>
      </c>
    </row>
    <row r="1996" spans="1:5">
      <c r="A1996" s="65">
        <v>31693</v>
      </c>
      <c r="B1996" s="66" t="s">
        <v>5287</v>
      </c>
      <c r="C1996" s="66" t="s">
        <v>5717</v>
      </c>
      <c r="D1996" s="65">
        <v>15</v>
      </c>
      <c r="E1996" s="65">
        <v>1</v>
      </c>
    </row>
    <row r="1997" spans="1:5">
      <c r="A1997" s="65">
        <v>31696</v>
      </c>
      <c r="B1997" s="66" t="s">
        <v>4870</v>
      </c>
      <c r="C1997" s="66" t="s">
        <v>5718</v>
      </c>
      <c r="D1997" s="65">
        <v>2</v>
      </c>
      <c r="E1997" s="65">
        <v>1</v>
      </c>
    </row>
    <row r="1998" spans="1:5">
      <c r="A1998" s="65">
        <v>31716</v>
      </c>
      <c r="B1998" s="66" t="s">
        <v>3593</v>
      </c>
      <c r="C1998" s="66" t="s">
        <v>5719</v>
      </c>
      <c r="D1998" s="65">
        <v>16</v>
      </c>
      <c r="E1998" s="65">
        <v>1</v>
      </c>
    </row>
    <row r="1999" spans="1:5">
      <c r="A1999" s="65">
        <v>31720</v>
      </c>
      <c r="B1999" s="66" t="s">
        <v>3777</v>
      </c>
      <c r="C1999" s="66" t="s">
        <v>5720</v>
      </c>
      <c r="D1999" s="65">
        <v>13</v>
      </c>
      <c r="E1999" s="65">
        <v>6</v>
      </c>
    </row>
    <row r="2000" spans="1:5">
      <c r="A2000" s="65">
        <v>31724</v>
      </c>
      <c r="B2000" s="66" t="s">
        <v>3616</v>
      </c>
      <c r="C2000" s="66" t="s">
        <v>5721</v>
      </c>
      <c r="D2000" s="65">
        <v>6</v>
      </c>
      <c r="E2000" s="65">
        <v>2</v>
      </c>
    </row>
    <row r="2001" spans="1:5">
      <c r="A2001" s="65">
        <v>31746</v>
      </c>
      <c r="B2001" s="66" t="s">
        <v>4822</v>
      </c>
      <c r="C2001" s="66" t="s">
        <v>5722</v>
      </c>
      <c r="D2001" s="65">
        <v>66</v>
      </c>
      <c r="E2001" s="65">
        <v>21</v>
      </c>
    </row>
    <row r="2002" spans="1:5">
      <c r="A2002" s="65">
        <v>31874</v>
      </c>
      <c r="B2002" s="66" t="s">
        <v>5078</v>
      </c>
      <c r="C2002" s="66" t="s">
        <v>5723</v>
      </c>
      <c r="D2002" s="65">
        <v>6</v>
      </c>
      <c r="E2002" s="65">
        <v>2</v>
      </c>
    </row>
    <row r="2003" spans="1:5">
      <c r="A2003" s="65">
        <v>319</v>
      </c>
      <c r="B2003" s="66" t="s">
        <v>3649</v>
      </c>
      <c r="C2003" s="66" t="s">
        <v>5724</v>
      </c>
      <c r="D2003" s="65">
        <v>32</v>
      </c>
      <c r="E2003" s="65">
        <v>13</v>
      </c>
    </row>
    <row r="2004" spans="1:5">
      <c r="A2004" s="65">
        <v>32</v>
      </c>
      <c r="B2004" s="66" t="s">
        <v>3601</v>
      </c>
      <c r="C2004" s="66" t="s">
        <v>5725</v>
      </c>
      <c r="D2004" s="65">
        <v>115</v>
      </c>
      <c r="E2004" s="65">
        <v>19</v>
      </c>
    </row>
    <row r="2005" spans="1:5">
      <c r="A2005" s="65">
        <v>32011</v>
      </c>
      <c r="B2005" s="66" t="s">
        <v>4467</v>
      </c>
      <c r="C2005" s="66" t="s">
        <v>5726</v>
      </c>
      <c r="D2005" s="65">
        <v>2</v>
      </c>
      <c r="E2005" s="65">
        <v>1</v>
      </c>
    </row>
    <row r="2006" spans="1:5">
      <c r="A2006" s="65">
        <v>32014</v>
      </c>
      <c r="B2006" s="66" t="s">
        <v>3608</v>
      </c>
      <c r="C2006" s="66" t="s">
        <v>5727</v>
      </c>
      <c r="D2006" s="65">
        <v>386</v>
      </c>
      <c r="E2006" s="65">
        <v>41</v>
      </c>
    </row>
    <row r="2007" spans="1:5">
      <c r="A2007" s="65">
        <v>32015</v>
      </c>
      <c r="B2007" s="66" t="s">
        <v>3595</v>
      </c>
      <c r="C2007" s="66" t="s">
        <v>5728</v>
      </c>
      <c r="D2007" s="65">
        <v>872</v>
      </c>
      <c r="E2007" s="65">
        <v>17</v>
      </c>
    </row>
    <row r="2008" spans="1:5">
      <c r="A2008" s="65">
        <v>32064</v>
      </c>
      <c r="B2008" s="66" t="s">
        <v>3786</v>
      </c>
      <c r="C2008" s="66" t="s">
        <v>5729</v>
      </c>
      <c r="D2008" s="65">
        <v>50</v>
      </c>
      <c r="E2008" s="65">
        <v>4</v>
      </c>
    </row>
    <row r="2009" spans="1:5">
      <c r="A2009" s="65">
        <v>321</v>
      </c>
      <c r="B2009" s="66" t="s">
        <v>3649</v>
      </c>
      <c r="C2009" s="66" t="s">
        <v>5730</v>
      </c>
      <c r="D2009" s="65">
        <v>64</v>
      </c>
      <c r="E2009" s="65">
        <v>22</v>
      </c>
    </row>
    <row r="2010" spans="1:5">
      <c r="A2010" s="65">
        <v>3225</v>
      </c>
      <c r="B2010" s="66" t="s">
        <v>3904</v>
      </c>
      <c r="C2010" s="66" t="s">
        <v>5731</v>
      </c>
      <c r="D2010" s="65">
        <v>2</v>
      </c>
      <c r="E2010" s="65">
        <v>2</v>
      </c>
    </row>
    <row r="2011" spans="1:5">
      <c r="A2011" s="65">
        <v>323</v>
      </c>
      <c r="B2011" s="66" t="s">
        <v>3649</v>
      </c>
      <c r="C2011" s="66" t="s">
        <v>5732</v>
      </c>
      <c r="D2011" s="65">
        <v>36</v>
      </c>
      <c r="E2011" s="65">
        <v>22</v>
      </c>
    </row>
    <row r="2012" spans="1:5">
      <c r="A2012" s="65">
        <v>324</v>
      </c>
      <c r="B2012" s="66" t="s">
        <v>3649</v>
      </c>
      <c r="C2012" s="66" t="s">
        <v>5733</v>
      </c>
      <c r="D2012" s="65">
        <v>36</v>
      </c>
      <c r="E2012" s="65">
        <v>15</v>
      </c>
    </row>
    <row r="2013" spans="1:5">
      <c r="A2013" s="65">
        <v>32440</v>
      </c>
      <c r="B2013" s="66" t="s">
        <v>3689</v>
      </c>
      <c r="C2013" s="66" t="s">
        <v>5734</v>
      </c>
      <c r="D2013" s="65">
        <v>7</v>
      </c>
      <c r="E2013" s="65">
        <v>4</v>
      </c>
    </row>
    <row r="2014" spans="1:5">
      <c r="A2014" s="65">
        <v>325</v>
      </c>
      <c r="B2014" s="66" t="s">
        <v>3649</v>
      </c>
      <c r="C2014" s="66" t="s">
        <v>5735</v>
      </c>
      <c r="D2014" s="65">
        <v>48</v>
      </c>
      <c r="E2014" s="65">
        <v>18</v>
      </c>
    </row>
    <row r="2015" spans="1:5">
      <c r="A2015" s="65">
        <v>326</v>
      </c>
      <c r="B2015" s="66" t="s">
        <v>3667</v>
      </c>
      <c r="C2015" s="66" t="s">
        <v>5736</v>
      </c>
      <c r="D2015" s="65">
        <v>13</v>
      </c>
      <c r="E2015" s="65">
        <v>4</v>
      </c>
    </row>
    <row r="2016" spans="1:5">
      <c r="A2016" s="65">
        <v>327</v>
      </c>
      <c r="B2016" s="66" t="s">
        <v>4097</v>
      </c>
      <c r="C2016" s="66" t="s">
        <v>5737</v>
      </c>
      <c r="D2016" s="65">
        <v>3</v>
      </c>
      <c r="E2016" s="65">
        <v>1</v>
      </c>
    </row>
    <row r="2017" spans="1:5">
      <c r="A2017" s="65">
        <v>328</v>
      </c>
      <c r="B2017" s="66" t="s">
        <v>3639</v>
      </c>
      <c r="C2017" s="66" t="s">
        <v>5738</v>
      </c>
      <c r="D2017" s="65">
        <v>37</v>
      </c>
      <c r="E2017" s="65">
        <v>7</v>
      </c>
    </row>
    <row r="2018" spans="1:5">
      <c r="A2018" s="65">
        <v>32827</v>
      </c>
      <c r="B2018" s="66" t="s">
        <v>3616</v>
      </c>
      <c r="C2018" s="66" t="s">
        <v>5739</v>
      </c>
      <c r="D2018" s="65">
        <v>38</v>
      </c>
      <c r="E2018" s="65">
        <v>35</v>
      </c>
    </row>
    <row r="2019" spans="1:5">
      <c r="A2019" s="65">
        <v>32912</v>
      </c>
      <c r="B2019" s="66" t="s">
        <v>4253</v>
      </c>
      <c r="C2019" s="66" t="s">
        <v>5740</v>
      </c>
      <c r="D2019" s="65">
        <v>10</v>
      </c>
      <c r="E2019" s="65">
        <v>1</v>
      </c>
    </row>
    <row r="2020" spans="1:5">
      <c r="A2020" s="65">
        <v>3295</v>
      </c>
      <c r="B2020" s="66" t="s">
        <v>3606</v>
      </c>
      <c r="C2020" s="66" t="s">
        <v>5741</v>
      </c>
      <c r="D2020" s="65">
        <v>46</v>
      </c>
      <c r="E2020" s="65">
        <v>10</v>
      </c>
    </row>
    <row r="2021" spans="1:5">
      <c r="A2021" s="65">
        <v>331</v>
      </c>
      <c r="B2021" s="66" t="s">
        <v>3597</v>
      </c>
      <c r="C2021" s="66" t="s">
        <v>5742</v>
      </c>
      <c r="D2021" s="65">
        <v>21</v>
      </c>
      <c r="E2021" s="65">
        <v>14</v>
      </c>
    </row>
    <row r="2022" spans="1:5">
      <c r="A2022" s="65">
        <v>332</v>
      </c>
      <c r="B2022" s="66" t="s">
        <v>3677</v>
      </c>
      <c r="C2022" s="66" t="s">
        <v>5743</v>
      </c>
      <c r="D2022" s="65">
        <v>2</v>
      </c>
      <c r="E2022" s="65">
        <v>1</v>
      </c>
    </row>
    <row r="2023" spans="1:5">
      <c r="A2023" s="65">
        <v>33279</v>
      </c>
      <c r="B2023" s="66" t="s">
        <v>4580</v>
      </c>
      <c r="C2023" s="66" t="s">
        <v>5744</v>
      </c>
      <c r="D2023" s="65">
        <v>4</v>
      </c>
      <c r="E2023" s="65">
        <v>4</v>
      </c>
    </row>
    <row r="2024" spans="1:5">
      <c r="A2024" s="65">
        <v>33299</v>
      </c>
      <c r="B2024" s="66" t="s">
        <v>3641</v>
      </c>
      <c r="C2024" s="66" t="s">
        <v>5745</v>
      </c>
      <c r="D2024" s="65">
        <v>29</v>
      </c>
      <c r="E2024" s="65">
        <v>4</v>
      </c>
    </row>
    <row r="2025" spans="1:5">
      <c r="A2025" s="65">
        <v>333</v>
      </c>
      <c r="B2025" s="66" t="s">
        <v>3677</v>
      </c>
      <c r="C2025" s="66" t="s">
        <v>5746</v>
      </c>
      <c r="D2025" s="65">
        <v>2</v>
      </c>
      <c r="E2025" s="65">
        <v>1</v>
      </c>
    </row>
    <row r="2026" spans="1:5">
      <c r="A2026" s="65">
        <v>33312</v>
      </c>
      <c r="B2026" s="66" t="s">
        <v>3593</v>
      </c>
      <c r="C2026" s="66" t="s">
        <v>5747</v>
      </c>
      <c r="D2026" s="65">
        <v>12</v>
      </c>
      <c r="E2026" s="65">
        <v>10</v>
      </c>
    </row>
    <row r="2027" spans="1:5">
      <c r="A2027" s="65">
        <v>33336</v>
      </c>
      <c r="B2027" s="66" t="s">
        <v>3616</v>
      </c>
      <c r="C2027" s="66" t="s">
        <v>5748</v>
      </c>
      <c r="D2027" s="65">
        <v>784</v>
      </c>
      <c r="E2027" s="65">
        <v>106</v>
      </c>
    </row>
    <row r="2028" spans="1:5">
      <c r="A2028" s="65">
        <v>33449</v>
      </c>
      <c r="B2028" s="66" t="s">
        <v>4020</v>
      </c>
      <c r="C2028" s="66" t="s">
        <v>5201</v>
      </c>
      <c r="D2028" s="65">
        <v>203</v>
      </c>
      <c r="E2028" s="65">
        <v>4</v>
      </c>
    </row>
    <row r="2029" spans="1:5">
      <c r="A2029" s="65">
        <v>33450</v>
      </c>
      <c r="B2029" s="66" t="s">
        <v>3677</v>
      </c>
      <c r="C2029" s="66" t="s">
        <v>5749</v>
      </c>
      <c r="D2029" s="65">
        <v>47</v>
      </c>
      <c r="E2029" s="65">
        <v>8</v>
      </c>
    </row>
    <row r="2030" spans="1:5">
      <c r="A2030" s="65">
        <v>335</v>
      </c>
      <c r="B2030" s="66" t="s">
        <v>3599</v>
      </c>
      <c r="C2030" s="66" t="s">
        <v>5750</v>
      </c>
      <c r="D2030" s="65">
        <v>19</v>
      </c>
      <c r="E2030" s="65">
        <v>7</v>
      </c>
    </row>
    <row r="2031" spans="1:5">
      <c r="A2031" s="65">
        <v>33595</v>
      </c>
      <c r="B2031" s="66" t="s">
        <v>3597</v>
      </c>
      <c r="C2031" s="66" t="s">
        <v>5751</v>
      </c>
      <c r="D2031" s="65">
        <v>352</v>
      </c>
      <c r="E2031" s="65">
        <v>33</v>
      </c>
    </row>
    <row r="2032" spans="1:5">
      <c r="A2032" s="65">
        <v>336</v>
      </c>
      <c r="B2032" s="66" t="s">
        <v>3620</v>
      </c>
      <c r="C2032" s="66" t="s">
        <v>5752</v>
      </c>
      <c r="D2032" s="65">
        <v>12</v>
      </c>
      <c r="E2032" s="65">
        <v>6</v>
      </c>
    </row>
    <row r="2033" spans="1:5">
      <c r="A2033" s="65">
        <v>33601</v>
      </c>
      <c r="B2033" s="66" t="s">
        <v>3608</v>
      </c>
      <c r="C2033" s="66" t="s">
        <v>5753</v>
      </c>
      <c r="D2033" s="65">
        <v>50</v>
      </c>
      <c r="E2033" s="65">
        <v>2</v>
      </c>
    </row>
    <row r="2034" spans="1:5">
      <c r="A2034" s="65">
        <v>33699</v>
      </c>
      <c r="B2034" s="66" t="s">
        <v>3597</v>
      </c>
      <c r="C2034" s="66" t="s">
        <v>5754</v>
      </c>
      <c r="D2034" s="65">
        <v>69</v>
      </c>
      <c r="E2034" s="65">
        <v>9</v>
      </c>
    </row>
    <row r="2035" spans="1:5">
      <c r="A2035" s="65">
        <v>337</v>
      </c>
      <c r="B2035" s="66" t="s">
        <v>3620</v>
      </c>
      <c r="C2035" s="66" t="s">
        <v>5755</v>
      </c>
      <c r="D2035" s="65">
        <v>11</v>
      </c>
      <c r="E2035" s="65">
        <v>6</v>
      </c>
    </row>
    <row r="2036" spans="1:5">
      <c r="A2036" s="65">
        <v>33796</v>
      </c>
      <c r="B2036" s="66" t="s">
        <v>3597</v>
      </c>
      <c r="C2036" s="66" t="s">
        <v>5756</v>
      </c>
      <c r="D2036" s="65">
        <v>77</v>
      </c>
      <c r="E2036" s="65">
        <v>27</v>
      </c>
    </row>
    <row r="2037" spans="1:5">
      <c r="A2037" s="65">
        <v>33800</v>
      </c>
      <c r="B2037" s="66" t="s">
        <v>3677</v>
      </c>
      <c r="C2037" s="66" t="s">
        <v>5757</v>
      </c>
      <c r="D2037" s="65">
        <v>9</v>
      </c>
      <c r="E2037" s="65">
        <v>2</v>
      </c>
    </row>
    <row r="2038" spans="1:5">
      <c r="A2038" s="65">
        <v>33833</v>
      </c>
      <c r="B2038" s="66" t="s">
        <v>3593</v>
      </c>
      <c r="C2038" s="66" t="s">
        <v>5758</v>
      </c>
      <c r="D2038" s="65">
        <v>127</v>
      </c>
      <c r="E2038" s="65">
        <v>10</v>
      </c>
    </row>
    <row r="2039" spans="1:5">
      <c r="A2039" s="65">
        <v>3394</v>
      </c>
      <c r="B2039" s="66" t="s">
        <v>3820</v>
      </c>
      <c r="C2039" s="66" t="s">
        <v>5759</v>
      </c>
      <c r="D2039" s="65">
        <v>3</v>
      </c>
      <c r="E2039" s="65">
        <v>3</v>
      </c>
    </row>
    <row r="2040" spans="1:5">
      <c r="A2040" s="65">
        <v>340</v>
      </c>
      <c r="B2040" s="66" t="s">
        <v>3620</v>
      </c>
      <c r="C2040" s="66" t="s">
        <v>5760</v>
      </c>
      <c r="D2040" s="65">
        <v>27</v>
      </c>
      <c r="E2040" s="65">
        <v>13</v>
      </c>
    </row>
    <row r="2041" spans="1:5">
      <c r="A2041" s="65">
        <v>342</v>
      </c>
      <c r="B2041" s="66" t="s">
        <v>5761</v>
      </c>
      <c r="C2041" s="66" t="s">
        <v>5762</v>
      </c>
      <c r="D2041" s="65">
        <v>4</v>
      </c>
      <c r="E2041" s="65">
        <v>2</v>
      </c>
    </row>
    <row r="2042" spans="1:5">
      <c r="A2042" s="65">
        <v>3424</v>
      </c>
      <c r="B2042" s="66" t="s">
        <v>3597</v>
      </c>
      <c r="C2042" s="66" t="s">
        <v>5763</v>
      </c>
      <c r="D2042" s="65">
        <v>11</v>
      </c>
      <c r="E2042" s="65">
        <v>2</v>
      </c>
    </row>
    <row r="2043" spans="1:5">
      <c r="A2043" s="65">
        <v>346</v>
      </c>
      <c r="B2043" s="66" t="s">
        <v>4020</v>
      </c>
      <c r="C2043" s="66" t="s">
        <v>5764</v>
      </c>
      <c r="D2043" s="65">
        <v>2</v>
      </c>
      <c r="E2043" s="65">
        <v>2</v>
      </c>
    </row>
    <row r="2044" spans="1:5">
      <c r="A2044" s="65">
        <v>348</v>
      </c>
      <c r="B2044" s="66" t="s">
        <v>3625</v>
      </c>
      <c r="C2044" s="66" t="s">
        <v>5765</v>
      </c>
      <c r="D2044" s="65">
        <v>1</v>
      </c>
      <c r="E2044" s="65">
        <v>1</v>
      </c>
    </row>
    <row r="2045" spans="1:5">
      <c r="A2045" s="65">
        <v>34868</v>
      </c>
      <c r="B2045" s="66" t="s">
        <v>4237</v>
      </c>
      <c r="C2045" s="66" t="s">
        <v>5766</v>
      </c>
      <c r="D2045" s="65">
        <v>20</v>
      </c>
      <c r="E2045" s="65">
        <v>1</v>
      </c>
    </row>
    <row r="2046" spans="1:5">
      <c r="A2046" s="65">
        <v>34882</v>
      </c>
      <c r="B2046" s="66" t="s">
        <v>3614</v>
      </c>
      <c r="C2046" s="66" t="s">
        <v>5767</v>
      </c>
      <c r="D2046" s="65">
        <v>2</v>
      </c>
      <c r="E2046" s="65">
        <v>2</v>
      </c>
    </row>
    <row r="2047" spans="1:5">
      <c r="A2047" s="65">
        <v>35047</v>
      </c>
      <c r="B2047" s="66" t="s">
        <v>3649</v>
      </c>
      <c r="C2047" s="66" t="s">
        <v>5768</v>
      </c>
      <c r="D2047" s="65">
        <v>10125</v>
      </c>
      <c r="E2047" s="65">
        <v>30</v>
      </c>
    </row>
    <row r="2048" spans="1:5">
      <c r="A2048" s="65">
        <v>35053</v>
      </c>
      <c r="B2048" s="66" t="s">
        <v>4317</v>
      </c>
      <c r="C2048" s="66" t="s">
        <v>5769</v>
      </c>
      <c r="D2048" s="65">
        <v>5</v>
      </c>
      <c r="E2048" s="65">
        <v>5</v>
      </c>
    </row>
    <row r="2049" spans="1:5">
      <c r="A2049" s="65">
        <v>35067</v>
      </c>
      <c r="B2049" s="66" t="s">
        <v>4537</v>
      </c>
      <c r="C2049" s="66" t="s">
        <v>5770</v>
      </c>
      <c r="D2049" s="65">
        <v>169</v>
      </c>
      <c r="E2049" s="65">
        <v>7</v>
      </c>
    </row>
    <row r="2050" spans="1:5">
      <c r="A2050" s="65">
        <v>35070</v>
      </c>
      <c r="B2050" s="66" t="s">
        <v>3597</v>
      </c>
      <c r="C2050" s="66" t="s">
        <v>5771</v>
      </c>
      <c r="D2050" s="65">
        <v>3041</v>
      </c>
      <c r="E2050" s="65">
        <v>116</v>
      </c>
    </row>
    <row r="2051" spans="1:5">
      <c r="A2051" s="65">
        <v>35073</v>
      </c>
      <c r="B2051" s="66" t="s">
        <v>3649</v>
      </c>
      <c r="C2051" s="66" t="s">
        <v>5772</v>
      </c>
      <c r="D2051" s="65">
        <v>348</v>
      </c>
      <c r="E2051" s="65">
        <v>32</v>
      </c>
    </row>
    <row r="2052" spans="1:5">
      <c r="A2052" s="65">
        <v>35098</v>
      </c>
      <c r="B2052" s="66" t="s">
        <v>3904</v>
      </c>
      <c r="C2052" s="66" t="s">
        <v>5773</v>
      </c>
      <c r="D2052" s="65">
        <v>43</v>
      </c>
      <c r="E2052" s="65">
        <v>8</v>
      </c>
    </row>
    <row r="2053" spans="1:5">
      <c r="A2053" s="65">
        <v>35100</v>
      </c>
      <c r="B2053" s="66" t="s">
        <v>4317</v>
      </c>
      <c r="C2053" s="66" t="s">
        <v>5774</v>
      </c>
      <c r="D2053" s="65">
        <v>10</v>
      </c>
      <c r="E2053" s="65">
        <v>2</v>
      </c>
    </row>
    <row r="2054" spans="1:5">
      <c r="A2054" s="65">
        <v>35103</v>
      </c>
      <c r="B2054" s="66" t="s">
        <v>3775</v>
      </c>
      <c r="C2054" s="66" t="s">
        <v>5775</v>
      </c>
      <c r="D2054" s="65">
        <v>37</v>
      </c>
      <c r="E2054" s="65">
        <v>22</v>
      </c>
    </row>
    <row r="2055" spans="1:5">
      <c r="A2055" s="65">
        <v>35104</v>
      </c>
      <c r="B2055" s="66" t="s">
        <v>3616</v>
      </c>
      <c r="C2055" s="66" t="s">
        <v>5776</v>
      </c>
      <c r="D2055" s="65">
        <v>137</v>
      </c>
      <c r="E2055" s="65">
        <v>33</v>
      </c>
    </row>
    <row r="2056" spans="1:5">
      <c r="A2056" s="65">
        <v>35111</v>
      </c>
      <c r="B2056" s="66" t="s">
        <v>3616</v>
      </c>
      <c r="C2056" s="66" t="s">
        <v>5777</v>
      </c>
      <c r="D2056" s="65">
        <v>62</v>
      </c>
      <c r="E2056" s="65">
        <v>47</v>
      </c>
    </row>
    <row r="2057" spans="1:5">
      <c r="A2057" s="65">
        <v>35112</v>
      </c>
      <c r="B2057" s="66" t="s">
        <v>4175</v>
      </c>
      <c r="C2057" s="66" t="s">
        <v>5778</v>
      </c>
      <c r="D2057" s="65">
        <v>25</v>
      </c>
      <c r="E2057" s="65">
        <v>2</v>
      </c>
    </row>
    <row r="2058" spans="1:5">
      <c r="A2058" s="65">
        <v>35113</v>
      </c>
      <c r="B2058" s="66" t="s">
        <v>4175</v>
      </c>
      <c r="C2058" s="66" t="s">
        <v>5779</v>
      </c>
      <c r="D2058" s="65">
        <v>60</v>
      </c>
      <c r="E2058" s="65">
        <v>7</v>
      </c>
    </row>
    <row r="2059" spans="1:5">
      <c r="A2059" s="65">
        <v>35117</v>
      </c>
      <c r="B2059" s="66" t="s">
        <v>3601</v>
      </c>
      <c r="C2059" s="66" t="s">
        <v>5780</v>
      </c>
      <c r="D2059" s="65">
        <v>57</v>
      </c>
      <c r="E2059" s="65">
        <v>11</v>
      </c>
    </row>
    <row r="2060" spans="1:5">
      <c r="A2060" s="65">
        <v>35123</v>
      </c>
      <c r="B2060" s="66" t="s">
        <v>3599</v>
      </c>
      <c r="C2060" s="66" t="s">
        <v>5781</v>
      </c>
      <c r="D2060" s="65">
        <v>92</v>
      </c>
      <c r="E2060" s="65">
        <v>5</v>
      </c>
    </row>
    <row r="2061" spans="1:5">
      <c r="A2061" s="65">
        <v>35137</v>
      </c>
      <c r="B2061" s="66" t="s">
        <v>3597</v>
      </c>
      <c r="C2061" s="66" t="s">
        <v>5782</v>
      </c>
      <c r="D2061" s="65">
        <v>1509</v>
      </c>
      <c r="E2061" s="65">
        <v>225</v>
      </c>
    </row>
    <row r="2062" spans="1:5">
      <c r="A2062" s="65">
        <v>35140</v>
      </c>
      <c r="B2062" s="66" t="s">
        <v>4191</v>
      </c>
      <c r="C2062" s="66" t="s">
        <v>5783</v>
      </c>
      <c r="D2062" s="65">
        <v>10</v>
      </c>
      <c r="E2062" s="65">
        <v>6</v>
      </c>
    </row>
    <row r="2063" spans="1:5">
      <c r="A2063" s="65">
        <v>35148</v>
      </c>
      <c r="B2063" s="66" t="s">
        <v>3616</v>
      </c>
      <c r="C2063" s="66" t="s">
        <v>5784</v>
      </c>
      <c r="D2063" s="65">
        <v>12410</v>
      </c>
      <c r="E2063" s="65">
        <v>443</v>
      </c>
    </row>
    <row r="2064" spans="1:5">
      <c r="A2064" s="65">
        <v>35153</v>
      </c>
      <c r="B2064" s="66" t="s">
        <v>3616</v>
      </c>
      <c r="C2064" s="66" t="s">
        <v>5785</v>
      </c>
      <c r="D2064" s="65">
        <v>15480</v>
      </c>
      <c r="E2064" s="65">
        <v>250</v>
      </c>
    </row>
    <row r="2065" spans="1:5">
      <c r="A2065" s="65">
        <v>35156</v>
      </c>
      <c r="B2065" s="66" t="s">
        <v>3649</v>
      </c>
      <c r="C2065" s="66" t="s">
        <v>5786</v>
      </c>
      <c r="D2065" s="65">
        <v>291</v>
      </c>
      <c r="E2065" s="65">
        <v>16</v>
      </c>
    </row>
    <row r="2066" spans="1:5">
      <c r="A2066" s="65">
        <v>35161</v>
      </c>
      <c r="B2066" s="66" t="s">
        <v>4317</v>
      </c>
      <c r="C2066" s="66" t="s">
        <v>5787</v>
      </c>
      <c r="D2066" s="65">
        <v>19</v>
      </c>
      <c r="E2066" s="65">
        <v>4</v>
      </c>
    </row>
    <row r="2067" spans="1:5">
      <c r="A2067" s="65">
        <v>35162</v>
      </c>
      <c r="B2067" s="66" t="s">
        <v>3649</v>
      </c>
      <c r="C2067" s="66" t="s">
        <v>5788</v>
      </c>
      <c r="D2067" s="65">
        <v>50</v>
      </c>
      <c r="E2067" s="65">
        <v>12</v>
      </c>
    </row>
    <row r="2068" spans="1:5">
      <c r="A2068" s="65">
        <v>35165</v>
      </c>
      <c r="B2068" s="66" t="s">
        <v>4253</v>
      </c>
      <c r="C2068" s="66" t="s">
        <v>5789</v>
      </c>
      <c r="D2068" s="65">
        <v>13</v>
      </c>
      <c r="E2068" s="65">
        <v>2</v>
      </c>
    </row>
    <row r="2069" spans="1:5">
      <c r="A2069" s="65">
        <v>35178</v>
      </c>
      <c r="B2069" s="66" t="s">
        <v>3599</v>
      </c>
      <c r="C2069" s="66" t="s">
        <v>5790</v>
      </c>
      <c r="D2069" s="65">
        <v>10</v>
      </c>
      <c r="E2069" s="65">
        <v>1</v>
      </c>
    </row>
    <row r="2070" spans="1:5">
      <c r="A2070" s="65">
        <v>35193</v>
      </c>
      <c r="B2070" s="66" t="s">
        <v>3677</v>
      </c>
      <c r="C2070" s="66" t="s">
        <v>5791</v>
      </c>
      <c r="D2070" s="65">
        <v>11</v>
      </c>
      <c r="E2070" s="65">
        <v>5</v>
      </c>
    </row>
    <row r="2071" spans="1:5">
      <c r="A2071" s="65">
        <v>35195</v>
      </c>
      <c r="B2071" s="66" t="s">
        <v>3775</v>
      </c>
      <c r="C2071" s="66" t="s">
        <v>5792</v>
      </c>
      <c r="D2071" s="65">
        <v>5</v>
      </c>
      <c r="E2071" s="65">
        <v>4</v>
      </c>
    </row>
    <row r="2072" spans="1:5">
      <c r="A2072" s="65">
        <v>35196</v>
      </c>
      <c r="B2072" s="66" t="s">
        <v>3998</v>
      </c>
      <c r="C2072" s="66" t="s">
        <v>5793</v>
      </c>
      <c r="D2072" s="65">
        <v>290</v>
      </c>
      <c r="E2072" s="65">
        <v>7</v>
      </c>
    </row>
    <row r="2073" spans="1:5">
      <c r="A2073" s="65">
        <v>35221</v>
      </c>
      <c r="B2073" s="66" t="s">
        <v>5794</v>
      </c>
      <c r="C2073" s="66" t="s">
        <v>5795</v>
      </c>
      <c r="D2073" s="65">
        <v>17</v>
      </c>
      <c r="E2073" s="65">
        <v>3</v>
      </c>
    </row>
    <row r="2074" spans="1:5">
      <c r="A2074" s="65">
        <v>35247</v>
      </c>
      <c r="B2074" s="66" t="s">
        <v>3627</v>
      </c>
      <c r="C2074" s="66" t="s">
        <v>5796</v>
      </c>
      <c r="D2074" s="65">
        <v>373</v>
      </c>
      <c r="E2074" s="65">
        <v>46</v>
      </c>
    </row>
    <row r="2075" spans="1:5">
      <c r="A2075" s="65">
        <v>35251</v>
      </c>
      <c r="B2075" s="66" t="s">
        <v>5761</v>
      </c>
      <c r="C2075" s="66" t="s">
        <v>5797</v>
      </c>
      <c r="D2075" s="65">
        <v>9</v>
      </c>
      <c r="E2075" s="65">
        <v>3</v>
      </c>
    </row>
    <row r="2076" spans="1:5">
      <c r="A2076" s="65">
        <v>35254</v>
      </c>
      <c r="B2076" s="66" t="s">
        <v>4097</v>
      </c>
      <c r="C2076" s="66" t="s">
        <v>5798</v>
      </c>
      <c r="D2076" s="65">
        <v>12</v>
      </c>
      <c r="E2076" s="65">
        <v>6</v>
      </c>
    </row>
    <row r="2077" spans="1:5">
      <c r="A2077" s="65">
        <v>35255</v>
      </c>
      <c r="B2077" s="66" t="s">
        <v>3649</v>
      </c>
      <c r="C2077" s="66" t="s">
        <v>5799</v>
      </c>
      <c r="D2077" s="65">
        <v>20</v>
      </c>
      <c r="E2077" s="65">
        <v>9</v>
      </c>
    </row>
    <row r="2078" spans="1:5">
      <c r="A2078" s="65">
        <v>35258</v>
      </c>
      <c r="B2078" s="66" t="s">
        <v>4097</v>
      </c>
      <c r="C2078" s="66" t="s">
        <v>5800</v>
      </c>
      <c r="D2078" s="65">
        <v>8</v>
      </c>
      <c r="E2078" s="65">
        <v>6</v>
      </c>
    </row>
    <row r="2079" spans="1:5">
      <c r="A2079" s="65">
        <v>35266</v>
      </c>
      <c r="B2079" s="66" t="s">
        <v>3599</v>
      </c>
      <c r="C2079" s="66" t="s">
        <v>5801</v>
      </c>
      <c r="D2079" s="65">
        <v>67</v>
      </c>
      <c r="E2079" s="65">
        <v>16</v>
      </c>
    </row>
    <row r="2080" spans="1:5">
      <c r="A2080" s="65">
        <v>35267</v>
      </c>
      <c r="B2080" s="66" t="s">
        <v>3599</v>
      </c>
      <c r="C2080" s="66" t="s">
        <v>5802</v>
      </c>
      <c r="D2080" s="65">
        <v>61</v>
      </c>
      <c r="E2080" s="65">
        <v>15</v>
      </c>
    </row>
    <row r="2081" spans="1:5">
      <c r="A2081" s="65">
        <v>35268</v>
      </c>
      <c r="B2081" s="66" t="s">
        <v>3620</v>
      </c>
      <c r="C2081" s="66" t="s">
        <v>5803</v>
      </c>
      <c r="D2081" s="65">
        <v>3</v>
      </c>
      <c r="E2081" s="65">
        <v>2</v>
      </c>
    </row>
    <row r="2082" spans="1:5">
      <c r="A2082" s="65">
        <v>35270</v>
      </c>
      <c r="B2082" s="66" t="s">
        <v>3593</v>
      </c>
      <c r="C2082" s="66" t="s">
        <v>5804</v>
      </c>
      <c r="D2082" s="65">
        <v>456</v>
      </c>
      <c r="E2082" s="65">
        <v>48</v>
      </c>
    </row>
    <row r="2083" spans="1:5">
      <c r="A2083" s="65">
        <v>35274</v>
      </c>
      <c r="B2083" s="66" t="s">
        <v>3593</v>
      </c>
      <c r="C2083" s="66" t="s">
        <v>5805</v>
      </c>
      <c r="D2083" s="65">
        <v>293</v>
      </c>
      <c r="E2083" s="65">
        <v>27</v>
      </c>
    </row>
    <row r="2084" spans="1:5">
      <c r="A2084" s="65">
        <v>35275</v>
      </c>
      <c r="B2084" s="66" t="s">
        <v>3620</v>
      </c>
      <c r="C2084" s="66" t="s">
        <v>5806</v>
      </c>
      <c r="D2084" s="65">
        <v>4</v>
      </c>
      <c r="E2084" s="65">
        <v>2</v>
      </c>
    </row>
    <row r="2085" spans="1:5">
      <c r="A2085" s="65">
        <v>35276</v>
      </c>
      <c r="B2085" s="66" t="s">
        <v>3597</v>
      </c>
      <c r="C2085" s="66" t="s">
        <v>5807</v>
      </c>
      <c r="D2085" s="65">
        <v>171</v>
      </c>
      <c r="E2085" s="65">
        <v>19</v>
      </c>
    </row>
    <row r="2086" spans="1:5">
      <c r="A2086" s="65">
        <v>35277</v>
      </c>
      <c r="B2086" s="66" t="s">
        <v>3608</v>
      </c>
      <c r="C2086" s="66" t="s">
        <v>5808</v>
      </c>
      <c r="D2086" s="65">
        <v>32</v>
      </c>
      <c r="E2086" s="65">
        <v>5</v>
      </c>
    </row>
    <row r="2087" spans="1:5">
      <c r="A2087" s="65">
        <v>35280</v>
      </c>
      <c r="B2087" s="66" t="s">
        <v>3616</v>
      </c>
      <c r="C2087" s="66" t="s">
        <v>5809</v>
      </c>
      <c r="D2087" s="65">
        <v>93</v>
      </c>
      <c r="E2087" s="65">
        <v>13</v>
      </c>
    </row>
    <row r="2088" spans="1:5">
      <c r="A2088" s="65">
        <v>35286</v>
      </c>
      <c r="B2088" s="66" t="s">
        <v>3597</v>
      </c>
      <c r="C2088" s="66" t="s">
        <v>5810</v>
      </c>
      <c r="D2088" s="65">
        <v>3539</v>
      </c>
      <c r="E2088" s="65">
        <v>415</v>
      </c>
    </row>
    <row r="2089" spans="1:5">
      <c r="A2089" s="65">
        <v>35287</v>
      </c>
      <c r="B2089" s="66" t="s">
        <v>3649</v>
      </c>
      <c r="C2089" s="66" t="s">
        <v>5811</v>
      </c>
      <c r="D2089" s="65">
        <v>611</v>
      </c>
      <c r="E2089" s="65">
        <v>32</v>
      </c>
    </row>
    <row r="2090" spans="1:5">
      <c r="A2090" s="65">
        <v>35293</v>
      </c>
      <c r="B2090" s="66" t="s">
        <v>5085</v>
      </c>
      <c r="C2090" s="66" t="s">
        <v>5812</v>
      </c>
      <c r="D2090" s="65">
        <v>10</v>
      </c>
      <c r="E2090" s="65">
        <v>10</v>
      </c>
    </row>
    <row r="2091" spans="1:5">
      <c r="A2091" s="65">
        <v>35294</v>
      </c>
      <c r="B2091" s="66" t="s">
        <v>4276</v>
      </c>
      <c r="C2091" s="66" t="s">
        <v>5813</v>
      </c>
      <c r="D2091" s="65">
        <v>66</v>
      </c>
      <c r="E2091" s="65">
        <v>5</v>
      </c>
    </row>
    <row r="2092" spans="1:5">
      <c r="A2092" s="65">
        <v>35297</v>
      </c>
      <c r="B2092" s="66" t="s">
        <v>3665</v>
      </c>
      <c r="C2092" s="66" t="s">
        <v>5814</v>
      </c>
      <c r="D2092" s="65">
        <v>205</v>
      </c>
      <c r="E2092" s="65">
        <v>9</v>
      </c>
    </row>
    <row r="2093" spans="1:5">
      <c r="A2093" s="65">
        <v>35299</v>
      </c>
      <c r="B2093" s="66" t="s">
        <v>3792</v>
      </c>
      <c r="C2093" s="66" t="s">
        <v>5815</v>
      </c>
      <c r="D2093" s="65">
        <v>153</v>
      </c>
      <c r="E2093" s="65">
        <v>9</v>
      </c>
    </row>
    <row r="2094" spans="1:5">
      <c r="A2094" s="65">
        <v>35317</v>
      </c>
      <c r="B2094" s="66" t="s">
        <v>3649</v>
      </c>
      <c r="C2094" s="66" t="s">
        <v>5816</v>
      </c>
      <c r="D2094" s="65">
        <v>440</v>
      </c>
      <c r="E2094" s="65">
        <v>36</v>
      </c>
    </row>
    <row r="2095" spans="1:5">
      <c r="A2095" s="65">
        <v>35372</v>
      </c>
      <c r="B2095" s="66" t="s">
        <v>3783</v>
      </c>
      <c r="C2095" s="66" t="s">
        <v>5817</v>
      </c>
      <c r="D2095" s="65">
        <v>45</v>
      </c>
      <c r="E2095" s="65">
        <v>17</v>
      </c>
    </row>
    <row r="2096" spans="1:5">
      <c r="A2096" s="65">
        <v>35392</v>
      </c>
      <c r="B2096" s="66" t="s">
        <v>3786</v>
      </c>
      <c r="C2096" s="66" t="s">
        <v>5818</v>
      </c>
      <c r="D2096" s="65">
        <v>3</v>
      </c>
      <c r="E2096" s="65">
        <v>2</v>
      </c>
    </row>
    <row r="2097" spans="1:5">
      <c r="A2097" s="65">
        <v>35395</v>
      </c>
      <c r="B2097" s="66" t="s">
        <v>3649</v>
      </c>
      <c r="C2097" s="66" t="s">
        <v>5819</v>
      </c>
      <c r="D2097" s="65">
        <v>648</v>
      </c>
      <c r="E2097" s="65">
        <v>44</v>
      </c>
    </row>
    <row r="2098" spans="1:5">
      <c r="A2098" s="65">
        <v>35398</v>
      </c>
      <c r="B2098" s="66" t="s">
        <v>3627</v>
      </c>
      <c r="C2098" s="66" t="s">
        <v>5820</v>
      </c>
      <c r="D2098" s="65">
        <v>18</v>
      </c>
      <c r="E2098" s="65">
        <v>2</v>
      </c>
    </row>
    <row r="2099" spans="1:5">
      <c r="A2099" s="65">
        <v>35399</v>
      </c>
      <c r="B2099" s="66" t="s">
        <v>3593</v>
      </c>
      <c r="C2099" s="66" t="s">
        <v>5821</v>
      </c>
      <c r="D2099" s="65">
        <v>46</v>
      </c>
      <c r="E2099" s="65">
        <v>4</v>
      </c>
    </row>
    <row r="2100" spans="1:5">
      <c r="A2100" s="65">
        <v>354</v>
      </c>
      <c r="B2100" s="66" t="s">
        <v>5761</v>
      </c>
      <c r="C2100" s="66" t="s">
        <v>5822</v>
      </c>
      <c r="D2100" s="65">
        <v>12</v>
      </c>
      <c r="E2100" s="65">
        <v>6</v>
      </c>
    </row>
    <row r="2101" spans="1:5">
      <c r="A2101" s="65">
        <v>35400</v>
      </c>
      <c r="B2101" s="66" t="s">
        <v>3593</v>
      </c>
      <c r="C2101" s="66" t="s">
        <v>5823</v>
      </c>
      <c r="D2101" s="65">
        <v>62</v>
      </c>
      <c r="E2101" s="65">
        <v>11</v>
      </c>
    </row>
    <row r="2102" spans="1:5">
      <c r="A2102" s="65">
        <v>35402</v>
      </c>
      <c r="B2102" s="66" t="s">
        <v>3593</v>
      </c>
      <c r="C2102" s="66" t="s">
        <v>5824</v>
      </c>
      <c r="D2102" s="65">
        <v>213</v>
      </c>
      <c r="E2102" s="65">
        <v>19</v>
      </c>
    </row>
    <row r="2103" spans="1:5">
      <c r="A2103" s="65">
        <v>355</v>
      </c>
      <c r="B2103" s="66" t="s">
        <v>3601</v>
      </c>
      <c r="C2103" s="66" t="s">
        <v>5825</v>
      </c>
      <c r="D2103" s="65">
        <v>7</v>
      </c>
      <c r="E2103" s="65">
        <v>3</v>
      </c>
    </row>
    <row r="2104" spans="1:5">
      <c r="A2104" s="65">
        <v>35566</v>
      </c>
      <c r="B2104" s="66" t="s">
        <v>3639</v>
      </c>
      <c r="C2104" s="66" t="s">
        <v>5826</v>
      </c>
      <c r="D2104" s="65">
        <v>23</v>
      </c>
      <c r="E2104" s="65">
        <v>3</v>
      </c>
    </row>
    <row r="2105" spans="1:5">
      <c r="A2105" s="65">
        <v>35582</v>
      </c>
      <c r="B2105" s="66" t="s">
        <v>3783</v>
      </c>
      <c r="C2105" s="66" t="s">
        <v>5827</v>
      </c>
      <c r="D2105" s="65">
        <v>36</v>
      </c>
      <c r="E2105" s="65">
        <v>8</v>
      </c>
    </row>
    <row r="2106" spans="1:5">
      <c r="A2106" s="65">
        <v>35587</v>
      </c>
      <c r="B2106" s="66" t="s">
        <v>3662</v>
      </c>
      <c r="C2106" s="66" t="s">
        <v>5828</v>
      </c>
      <c r="D2106" s="65">
        <v>20</v>
      </c>
      <c r="E2106" s="65">
        <v>3</v>
      </c>
    </row>
    <row r="2107" spans="1:5">
      <c r="A2107" s="65">
        <v>35588</v>
      </c>
      <c r="B2107" s="66" t="s">
        <v>3783</v>
      </c>
      <c r="C2107" s="66" t="s">
        <v>5829</v>
      </c>
      <c r="D2107" s="65">
        <v>31</v>
      </c>
      <c r="E2107" s="65">
        <v>8</v>
      </c>
    </row>
    <row r="2108" spans="1:5">
      <c r="A2108" s="65">
        <v>356</v>
      </c>
      <c r="B2108" s="66" t="s">
        <v>3620</v>
      </c>
      <c r="C2108" s="66" t="s">
        <v>5830</v>
      </c>
      <c r="D2108" s="65">
        <v>8</v>
      </c>
      <c r="E2108" s="65">
        <v>3</v>
      </c>
    </row>
    <row r="2109" spans="1:5">
      <c r="A2109" s="65">
        <v>360</v>
      </c>
      <c r="B2109" s="66" t="s">
        <v>5831</v>
      </c>
      <c r="C2109" s="66" t="s">
        <v>5832</v>
      </c>
      <c r="D2109" s="65">
        <v>6</v>
      </c>
      <c r="E2109" s="65">
        <v>1</v>
      </c>
    </row>
    <row r="2110" spans="1:5">
      <c r="A2110" s="65">
        <v>364</v>
      </c>
      <c r="B2110" s="66" t="s">
        <v>3625</v>
      </c>
      <c r="C2110" s="66" t="s">
        <v>5833</v>
      </c>
      <c r="D2110" s="65">
        <v>5</v>
      </c>
      <c r="E2110" s="65">
        <v>1</v>
      </c>
    </row>
    <row r="2111" spans="1:5">
      <c r="A2111" s="65">
        <v>365</v>
      </c>
      <c r="B2111" s="66" t="s">
        <v>5761</v>
      </c>
      <c r="C2111" s="66" t="s">
        <v>5834</v>
      </c>
      <c r="D2111" s="65">
        <v>62</v>
      </c>
      <c r="E2111" s="65">
        <v>9</v>
      </c>
    </row>
    <row r="2112" spans="1:5">
      <c r="A2112" s="65">
        <v>36501</v>
      </c>
      <c r="B2112" s="66" t="s">
        <v>3597</v>
      </c>
      <c r="C2112" s="66" t="s">
        <v>5835</v>
      </c>
      <c r="D2112" s="65">
        <v>9</v>
      </c>
      <c r="E2112" s="65">
        <v>8</v>
      </c>
    </row>
    <row r="2113" spans="1:5">
      <c r="A2113" s="65">
        <v>3653</v>
      </c>
      <c r="B2113" s="66" t="s">
        <v>3904</v>
      </c>
      <c r="C2113" s="66" t="s">
        <v>5836</v>
      </c>
      <c r="D2113" s="65">
        <v>61</v>
      </c>
      <c r="E2113" s="65">
        <v>9</v>
      </c>
    </row>
    <row r="2114" spans="1:5">
      <c r="A2114" s="65">
        <v>3662</v>
      </c>
      <c r="B2114" s="66" t="s">
        <v>4317</v>
      </c>
      <c r="C2114" s="66" t="s">
        <v>5837</v>
      </c>
      <c r="D2114" s="65">
        <v>1</v>
      </c>
      <c r="E2114" s="65">
        <v>1</v>
      </c>
    </row>
    <row r="2115" spans="1:5">
      <c r="A2115" s="65">
        <v>36854</v>
      </c>
      <c r="B2115" s="66" t="s">
        <v>4020</v>
      </c>
      <c r="C2115" s="66" t="s">
        <v>5838</v>
      </c>
      <c r="D2115" s="65">
        <v>14</v>
      </c>
      <c r="E2115" s="65">
        <v>8</v>
      </c>
    </row>
    <row r="2116" spans="1:5">
      <c r="A2116" s="65">
        <v>3693</v>
      </c>
      <c r="B2116" s="66" t="s">
        <v>3597</v>
      </c>
      <c r="C2116" s="66" t="s">
        <v>5839</v>
      </c>
      <c r="D2116" s="65">
        <v>56</v>
      </c>
      <c r="E2116" s="65">
        <v>12</v>
      </c>
    </row>
    <row r="2117" spans="1:5">
      <c r="A2117" s="65">
        <v>36992</v>
      </c>
      <c r="B2117" s="66" t="s">
        <v>3627</v>
      </c>
      <c r="C2117" s="66" t="s">
        <v>5840</v>
      </c>
      <c r="D2117" s="65">
        <v>24</v>
      </c>
      <c r="E2117" s="65">
        <v>6</v>
      </c>
    </row>
    <row r="2118" spans="1:5">
      <c r="A2118" s="65">
        <v>370</v>
      </c>
      <c r="B2118" s="66" t="s">
        <v>3620</v>
      </c>
      <c r="C2118" s="66" t="s">
        <v>5841</v>
      </c>
      <c r="D2118" s="65">
        <v>142</v>
      </c>
      <c r="E2118" s="65">
        <v>17</v>
      </c>
    </row>
    <row r="2119" spans="1:5">
      <c r="A2119" s="65">
        <v>37051</v>
      </c>
      <c r="B2119" s="66" t="s">
        <v>3973</v>
      </c>
      <c r="C2119" s="66" t="s">
        <v>5842</v>
      </c>
      <c r="D2119" s="65">
        <v>12</v>
      </c>
      <c r="E2119" s="65">
        <v>1</v>
      </c>
    </row>
    <row r="2120" spans="1:5">
      <c r="A2120" s="65">
        <v>3710</v>
      </c>
      <c r="B2120" s="66" t="s">
        <v>3614</v>
      </c>
      <c r="C2120" s="66" t="s">
        <v>5843</v>
      </c>
      <c r="D2120" s="65">
        <v>158</v>
      </c>
      <c r="E2120" s="65">
        <v>29</v>
      </c>
    </row>
    <row r="2121" spans="1:5">
      <c r="A2121" s="65">
        <v>37154</v>
      </c>
      <c r="B2121" s="66" t="s">
        <v>3804</v>
      </c>
      <c r="C2121" s="66" t="s">
        <v>3877</v>
      </c>
      <c r="D2121" s="65">
        <v>25</v>
      </c>
      <c r="E2121" s="65">
        <v>5</v>
      </c>
    </row>
    <row r="2122" spans="1:5">
      <c r="A2122" s="65">
        <v>37209</v>
      </c>
      <c r="B2122" s="66" t="s">
        <v>5220</v>
      </c>
      <c r="C2122" s="66" t="s">
        <v>5844</v>
      </c>
      <c r="D2122" s="65">
        <v>38</v>
      </c>
      <c r="E2122" s="65">
        <v>16</v>
      </c>
    </row>
    <row r="2123" spans="1:5">
      <c r="A2123" s="65">
        <v>37211</v>
      </c>
      <c r="B2123" s="66" t="s">
        <v>3649</v>
      </c>
      <c r="C2123" s="66" t="s">
        <v>5845</v>
      </c>
      <c r="D2123" s="65">
        <v>22</v>
      </c>
      <c r="E2123" s="65">
        <v>17</v>
      </c>
    </row>
    <row r="2124" spans="1:5">
      <c r="A2124" s="65">
        <v>3731</v>
      </c>
      <c r="B2124" s="66" t="s">
        <v>4317</v>
      </c>
      <c r="C2124" s="66" t="s">
        <v>5846</v>
      </c>
      <c r="D2124" s="65">
        <v>32</v>
      </c>
      <c r="E2124" s="65">
        <v>3</v>
      </c>
    </row>
    <row r="2125" spans="1:5">
      <c r="A2125" s="65">
        <v>3738</v>
      </c>
      <c r="B2125" s="66" t="s">
        <v>4467</v>
      </c>
      <c r="C2125" s="66" t="s">
        <v>5847</v>
      </c>
      <c r="D2125" s="65">
        <v>1</v>
      </c>
      <c r="E2125" s="65">
        <v>1</v>
      </c>
    </row>
    <row r="2126" spans="1:5">
      <c r="A2126" s="65">
        <v>37393</v>
      </c>
      <c r="B2126" s="66" t="s">
        <v>3649</v>
      </c>
      <c r="C2126" s="66" t="s">
        <v>5848</v>
      </c>
      <c r="D2126" s="65">
        <v>6</v>
      </c>
      <c r="E2126" s="65">
        <v>3</v>
      </c>
    </row>
    <row r="2127" spans="1:5">
      <c r="A2127" s="65">
        <v>37456</v>
      </c>
      <c r="B2127" s="66" t="s">
        <v>3593</v>
      </c>
      <c r="C2127" s="66" t="s">
        <v>5849</v>
      </c>
      <c r="D2127" s="65">
        <v>24</v>
      </c>
      <c r="E2127" s="65">
        <v>4</v>
      </c>
    </row>
    <row r="2128" spans="1:5">
      <c r="A2128" s="65">
        <v>37641</v>
      </c>
      <c r="B2128" s="66" t="s">
        <v>3606</v>
      </c>
      <c r="C2128" s="66" t="s">
        <v>5850</v>
      </c>
      <c r="D2128" s="65">
        <v>127</v>
      </c>
      <c r="E2128" s="65">
        <v>54</v>
      </c>
    </row>
    <row r="2129" spans="1:5">
      <c r="A2129" s="65">
        <v>37687</v>
      </c>
      <c r="B2129" s="66" t="s">
        <v>5851</v>
      </c>
      <c r="C2129" s="66" t="s">
        <v>5852</v>
      </c>
      <c r="D2129" s="65">
        <v>42</v>
      </c>
      <c r="E2129" s="65">
        <v>3</v>
      </c>
    </row>
    <row r="2130" spans="1:5">
      <c r="A2130" s="65">
        <v>37697</v>
      </c>
      <c r="B2130" s="66" t="s">
        <v>4502</v>
      </c>
      <c r="C2130" s="66" t="s">
        <v>5853</v>
      </c>
      <c r="D2130" s="65">
        <v>11</v>
      </c>
      <c r="E2130" s="65">
        <v>2</v>
      </c>
    </row>
    <row r="2131" spans="1:5">
      <c r="A2131" s="65">
        <v>37716</v>
      </c>
      <c r="B2131" s="66" t="s">
        <v>3616</v>
      </c>
      <c r="C2131" s="66" t="s">
        <v>5854</v>
      </c>
      <c r="D2131" s="65">
        <v>13</v>
      </c>
      <c r="E2131" s="65">
        <v>10</v>
      </c>
    </row>
    <row r="2132" spans="1:5">
      <c r="A2132" s="65">
        <v>37764</v>
      </c>
      <c r="B2132" s="66" t="s">
        <v>3649</v>
      </c>
      <c r="C2132" s="66" t="s">
        <v>5855</v>
      </c>
      <c r="D2132" s="65">
        <v>121</v>
      </c>
      <c r="E2132" s="65">
        <v>19</v>
      </c>
    </row>
    <row r="2133" spans="1:5">
      <c r="A2133" s="65">
        <v>37765</v>
      </c>
      <c r="B2133" s="66" t="s">
        <v>3627</v>
      </c>
      <c r="C2133" s="66" t="s">
        <v>5856</v>
      </c>
      <c r="D2133" s="65">
        <v>403</v>
      </c>
      <c r="E2133" s="65">
        <v>26</v>
      </c>
    </row>
    <row r="2134" spans="1:5">
      <c r="A2134" s="65">
        <v>3778</v>
      </c>
      <c r="B2134" s="66" t="s">
        <v>5654</v>
      </c>
      <c r="C2134" s="66" t="s">
        <v>5857</v>
      </c>
      <c r="D2134" s="65">
        <v>6</v>
      </c>
      <c r="E2134" s="65">
        <v>5</v>
      </c>
    </row>
    <row r="2135" spans="1:5">
      <c r="A2135" s="65">
        <v>37804</v>
      </c>
      <c r="B2135" s="66" t="s">
        <v>3627</v>
      </c>
      <c r="C2135" s="66" t="s">
        <v>5858</v>
      </c>
      <c r="D2135" s="65">
        <v>1</v>
      </c>
      <c r="E2135" s="65">
        <v>1</v>
      </c>
    </row>
    <row r="2136" spans="1:5">
      <c r="A2136" s="65">
        <v>37810</v>
      </c>
      <c r="B2136" s="66" t="s">
        <v>3649</v>
      </c>
      <c r="C2136" s="66" t="s">
        <v>5859</v>
      </c>
      <c r="D2136" s="65">
        <v>13</v>
      </c>
      <c r="E2136" s="65">
        <v>5</v>
      </c>
    </row>
    <row r="2137" spans="1:5">
      <c r="A2137" s="65">
        <v>37831</v>
      </c>
      <c r="B2137" s="66" t="s">
        <v>3904</v>
      </c>
      <c r="C2137" s="66" t="s">
        <v>5860</v>
      </c>
      <c r="D2137" s="65">
        <v>6</v>
      </c>
      <c r="E2137" s="65">
        <v>2</v>
      </c>
    </row>
    <row r="2138" spans="1:5">
      <c r="A2138" s="65">
        <v>37892</v>
      </c>
      <c r="B2138" s="66" t="s">
        <v>3593</v>
      </c>
      <c r="C2138" s="66" t="s">
        <v>5861</v>
      </c>
      <c r="D2138" s="65">
        <v>50</v>
      </c>
      <c r="E2138" s="65">
        <v>5</v>
      </c>
    </row>
    <row r="2139" spans="1:5">
      <c r="A2139" s="65">
        <v>37917</v>
      </c>
      <c r="B2139" s="66" t="s">
        <v>3783</v>
      </c>
      <c r="C2139" s="66" t="s">
        <v>5862</v>
      </c>
      <c r="D2139" s="65">
        <v>15</v>
      </c>
      <c r="E2139" s="65">
        <v>3</v>
      </c>
    </row>
    <row r="2140" spans="1:5">
      <c r="A2140" s="65">
        <v>37918</v>
      </c>
      <c r="B2140" s="66" t="s">
        <v>3593</v>
      </c>
      <c r="C2140" s="66" t="s">
        <v>5863</v>
      </c>
      <c r="D2140" s="65">
        <v>33</v>
      </c>
      <c r="E2140" s="65">
        <v>7</v>
      </c>
    </row>
    <row r="2141" spans="1:5">
      <c r="A2141" s="65">
        <v>37932</v>
      </c>
      <c r="B2141" s="66" t="s">
        <v>3625</v>
      </c>
      <c r="C2141" s="66" t="s">
        <v>5864</v>
      </c>
      <c r="D2141" s="65">
        <v>24</v>
      </c>
      <c r="E2141" s="65">
        <v>10</v>
      </c>
    </row>
    <row r="2142" spans="1:5">
      <c r="A2142" s="65">
        <v>37944</v>
      </c>
      <c r="B2142" s="66" t="s">
        <v>3597</v>
      </c>
      <c r="C2142" s="66" t="s">
        <v>5865</v>
      </c>
      <c r="D2142" s="65">
        <v>1244</v>
      </c>
      <c r="E2142" s="65">
        <v>75</v>
      </c>
    </row>
    <row r="2143" spans="1:5">
      <c r="A2143" s="65">
        <v>38186</v>
      </c>
      <c r="B2143" s="66" t="s">
        <v>4253</v>
      </c>
      <c r="C2143" s="66" t="s">
        <v>5866</v>
      </c>
      <c r="D2143" s="65">
        <v>3</v>
      </c>
      <c r="E2143" s="65">
        <v>1</v>
      </c>
    </row>
    <row r="2144" spans="1:5">
      <c r="A2144" s="65">
        <v>38191</v>
      </c>
      <c r="B2144" s="66" t="s">
        <v>3649</v>
      </c>
      <c r="C2144" s="66" t="s">
        <v>5867</v>
      </c>
      <c r="D2144" s="65">
        <v>60</v>
      </c>
      <c r="E2144" s="65">
        <v>5</v>
      </c>
    </row>
    <row r="2145" spans="1:5">
      <c r="A2145" s="65">
        <v>3822</v>
      </c>
      <c r="B2145" s="66" t="s">
        <v>3593</v>
      </c>
      <c r="C2145" s="66" t="s">
        <v>5868</v>
      </c>
      <c r="D2145" s="65">
        <v>3</v>
      </c>
      <c r="E2145" s="65">
        <v>1</v>
      </c>
    </row>
    <row r="2146" spans="1:5">
      <c r="A2146" s="65">
        <v>38297</v>
      </c>
      <c r="B2146" s="66" t="s">
        <v>3639</v>
      </c>
      <c r="C2146" s="66" t="s">
        <v>5869</v>
      </c>
      <c r="D2146" s="65">
        <v>6</v>
      </c>
      <c r="E2146" s="65">
        <v>6</v>
      </c>
    </row>
    <row r="2147" spans="1:5">
      <c r="A2147" s="65">
        <v>3857</v>
      </c>
      <c r="B2147" s="66" t="s">
        <v>3612</v>
      </c>
      <c r="C2147" s="66" t="s">
        <v>5870</v>
      </c>
      <c r="D2147" s="65">
        <v>6</v>
      </c>
      <c r="E2147" s="65">
        <v>1</v>
      </c>
    </row>
    <row r="2148" spans="1:5">
      <c r="A2148" s="65">
        <v>388</v>
      </c>
      <c r="B2148" s="66" t="s">
        <v>3597</v>
      </c>
      <c r="C2148" s="66" t="s">
        <v>5871</v>
      </c>
      <c r="D2148" s="65">
        <v>2576</v>
      </c>
      <c r="E2148" s="65">
        <v>345</v>
      </c>
    </row>
    <row r="2149" spans="1:5">
      <c r="A2149" s="65">
        <v>392</v>
      </c>
      <c r="B2149" s="66" t="s">
        <v>4197</v>
      </c>
      <c r="C2149" s="66" t="s">
        <v>5872</v>
      </c>
      <c r="D2149" s="65">
        <v>47</v>
      </c>
      <c r="E2149" s="65">
        <v>10</v>
      </c>
    </row>
    <row r="2150" spans="1:5">
      <c r="A2150" s="65">
        <v>39345</v>
      </c>
      <c r="B2150" s="66" t="s">
        <v>3593</v>
      </c>
      <c r="C2150" s="66" t="s">
        <v>5873</v>
      </c>
      <c r="D2150" s="65">
        <v>86</v>
      </c>
      <c r="E2150" s="65">
        <v>5</v>
      </c>
    </row>
    <row r="2151" spans="1:5">
      <c r="A2151" s="65">
        <v>39527</v>
      </c>
      <c r="B2151" s="66" t="s">
        <v>3625</v>
      </c>
      <c r="C2151" s="66" t="s">
        <v>5874</v>
      </c>
      <c r="D2151" s="65">
        <v>45</v>
      </c>
      <c r="E2151" s="65">
        <v>17</v>
      </c>
    </row>
    <row r="2152" spans="1:5">
      <c r="A2152" s="65">
        <v>39529</v>
      </c>
      <c r="B2152" s="66" t="s">
        <v>3649</v>
      </c>
      <c r="C2152" s="66" t="s">
        <v>5875</v>
      </c>
      <c r="D2152" s="65">
        <v>799</v>
      </c>
      <c r="E2152" s="65">
        <v>12</v>
      </c>
    </row>
    <row r="2153" spans="1:5">
      <c r="A2153" s="65">
        <v>39537</v>
      </c>
      <c r="B2153" s="66" t="s">
        <v>3777</v>
      </c>
      <c r="C2153" s="66" t="s">
        <v>5876</v>
      </c>
      <c r="D2153" s="65">
        <v>8</v>
      </c>
      <c r="E2153" s="65">
        <v>7</v>
      </c>
    </row>
    <row r="2154" spans="1:5">
      <c r="A2154" s="65">
        <v>39564</v>
      </c>
      <c r="B2154" s="66" t="s">
        <v>3616</v>
      </c>
      <c r="C2154" s="66" t="s">
        <v>5877</v>
      </c>
      <c r="D2154" s="65">
        <v>224</v>
      </c>
      <c r="E2154" s="65">
        <v>51</v>
      </c>
    </row>
    <row r="2155" spans="1:5">
      <c r="A2155" s="65">
        <v>39603</v>
      </c>
      <c r="B2155" s="66" t="s">
        <v>3593</v>
      </c>
      <c r="C2155" s="66" t="s">
        <v>5878</v>
      </c>
      <c r="D2155" s="65">
        <v>43</v>
      </c>
      <c r="E2155" s="65">
        <v>29</v>
      </c>
    </row>
    <row r="2156" spans="1:5">
      <c r="A2156" s="65">
        <v>39604</v>
      </c>
      <c r="B2156" s="66" t="s">
        <v>3635</v>
      </c>
      <c r="C2156" s="66" t="s">
        <v>5879</v>
      </c>
      <c r="D2156" s="65">
        <v>6</v>
      </c>
      <c r="E2156" s="65">
        <v>5</v>
      </c>
    </row>
    <row r="2157" spans="1:5">
      <c r="A2157" s="65">
        <v>39621</v>
      </c>
      <c r="B2157" s="66" t="s">
        <v>3597</v>
      </c>
      <c r="C2157" s="66" t="s">
        <v>5880</v>
      </c>
      <c r="D2157" s="65">
        <v>161</v>
      </c>
      <c r="E2157" s="65">
        <v>75</v>
      </c>
    </row>
    <row r="2158" spans="1:5">
      <c r="A2158" s="65">
        <v>39624</v>
      </c>
      <c r="B2158" s="66" t="s">
        <v>3689</v>
      </c>
      <c r="C2158" s="66" t="s">
        <v>5881</v>
      </c>
      <c r="D2158" s="65">
        <v>3</v>
      </c>
      <c r="E2158" s="65">
        <v>3</v>
      </c>
    </row>
    <row r="2159" spans="1:5">
      <c r="A2159" s="65">
        <v>39663</v>
      </c>
      <c r="B2159" s="66" t="s">
        <v>3627</v>
      </c>
      <c r="C2159" s="66" t="s">
        <v>5882</v>
      </c>
      <c r="D2159" s="65">
        <v>44</v>
      </c>
      <c r="E2159" s="65">
        <v>7</v>
      </c>
    </row>
    <row r="2160" spans="1:5">
      <c r="A2160" s="65">
        <v>39710</v>
      </c>
      <c r="B2160" s="66" t="s">
        <v>3713</v>
      </c>
      <c r="C2160" s="66" t="s">
        <v>5883</v>
      </c>
      <c r="D2160" s="65">
        <v>4</v>
      </c>
      <c r="E2160" s="65">
        <v>2</v>
      </c>
    </row>
    <row r="2161" spans="1:5">
      <c r="A2161" s="65">
        <v>39717</v>
      </c>
      <c r="B2161" s="66" t="s">
        <v>3616</v>
      </c>
      <c r="C2161" s="66" t="s">
        <v>5884</v>
      </c>
      <c r="D2161" s="65">
        <v>8475</v>
      </c>
      <c r="E2161" s="65">
        <v>170</v>
      </c>
    </row>
    <row r="2162" spans="1:5">
      <c r="A2162" s="65">
        <v>39735</v>
      </c>
      <c r="B2162" s="66" t="s">
        <v>3597</v>
      </c>
      <c r="C2162" s="66" t="s">
        <v>5885</v>
      </c>
      <c r="D2162" s="65">
        <v>870</v>
      </c>
      <c r="E2162" s="65">
        <v>45</v>
      </c>
    </row>
    <row r="2163" spans="1:5">
      <c r="A2163" s="65">
        <v>39736</v>
      </c>
      <c r="B2163" s="66" t="s">
        <v>3597</v>
      </c>
      <c r="C2163" s="66" t="s">
        <v>5886</v>
      </c>
      <c r="D2163" s="65">
        <v>935</v>
      </c>
      <c r="E2163" s="65">
        <v>50</v>
      </c>
    </row>
    <row r="2164" spans="1:5">
      <c r="A2164" s="65">
        <v>39737</v>
      </c>
      <c r="B2164" s="66" t="s">
        <v>3608</v>
      </c>
      <c r="C2164" s="66" t="s">
        <v>5887</v>
      </c>
      <c r="D2164" s="65">
        <v>234</v>
      </c>
      <c r="E2164" s="65">
        <v>15</v>
      </c>
    </row>
    <row r="2165" spans="1:5">
      <c r="A2165" s="65">
        <v>39779</v>
      </c>
      <c r="B2165" s="66" t="s">
        <v>3998</v>
      </c>
      <c r="C2165" s="66" t="s">
        <v>5888</v>
      </c>
      <c r="D2165" s="65">
        <v>1</v>
      </c>
      <c r="E2165" s="65">
        <v>1</v>
      </c>
    </row>
    <row r="2166" spans="1:5">
      <c r="A2166" s="65">
        <v>398</v>
      </c>
      <c r="B2166" s="66" t="s">
        <v>3606</v>
      </c>
      <c r="C2166" s="66" t="s">
        <v>5889</v>
      </c>
      <c r="D2166" s="65">
        <v>16</v>
      </c>
      <c r="E2166" s="65">
        <v>6</v>
      </c>
    </row>
    <row r="2167" spans="1:5">
      <c r="A2167" s="65">
        <v>40</v>
      </c>
      <c r="B2167" s="66" t="s">
        <v>3599</v>
      </c>
      <c r="C2167" s="66" t="s">
        <v>5890</v>
      </c>
      <c r="D2167" s="65">
        <v>5</v>
      </c>
      <c r="E2167" s="65">
        <v>5</v>
      </c>
    </row>
    <row r="2168" spans="1:5">
      <c r="A2168" s="65">
        <v>400</v>
      </c>
      <c r="B2168" s="66" t="s">
        <v>3597</v>
      </c>
      <c r="C2168" s="66" t="s">
        <v>5891</v>
      </c>
      <c r="D2168" s="65">
        <v>1326</v>
      </c>
      <c r="E2168" s="65">
        <v>58</v>
      </c>
    </row>
    <row r="2169" spans="1:5">
      <c r="A2169" s="65">
        <v>40075</v>
      </c>
      <c r="B2169" s="66" t="s">
        <v>3649</v>
      </c>
      <c r="C2169" s="66" t="s">
        <v>5892</v>
      </c>
      <c r="D2169" s="65">
        <v>79</v>
      </c>
      <c r="E2169" s="65">
        <v>40</v>
      </c>
    </row>
    <row r="2170" spans="1:5">
      <c r="A2170" s="65">
        <v>401</v>
      </c>
      <c r="B2170" s="66" t="s">
        <v>3786</v>
      </c>
      <c r="C2170" s="66" t="s">
        <v>5893</v>
      </c>
      <c r="D2170" s="65">
        <v>186</v>
      </c>
      <c r="E2170" s="65">
        <v>79</v>
      </c>
    </row>
    <row r="2171" spans="1:5">
      <c r="A2171" s="65">
        <v>4048</v>
      </c>
      <c r="B2171" s="66" t="s">
        <v>3665</v>
      </c>
      <c r="C2171" s="66" t="s">
        <v>5894</v>
      </c>
      <c r="D2171" s="65">
        <v>1</v>
      </c>
      <c r="E2171" s="65">
        <v>1</v>
      </c>
    </row>
    <row r="2172" spans="1:5">
      <c r="A2172" s="65">
        <v>4074</v>
      </c>
      <c r="B2172" s="66" t="s">
        <v>3625</v>
      </c>
      <c r="C2172" s="66" t="s">
        <v>5895</v>
      </c>
      <c r="D2172" s="65">
        <v>3</v>
      </c>
      <c r="E2172" s="65">
        <v>2</v>
      </c>
    </row>
    <row r="2173" spans="1:5">
      <c r="A2173" s="65">
        <v>4083</v>
      </c>
      <c r="B2173" s="66" t="s">
        <v>3593</v>
      </c>
      <c r="C2173" s="66" t="s">
        <v>5896</v>
      </c>
      <c r="D2173" s="65">
        <v>160</v>
      </c>
      <c r="E2173" s="65">
        <v>11</v>
      </c>
    </row>
    <row r="2174" spans="1:5">
      <c r="A2174" s="65">
        <v>4133</v>
      </c>
      <c r="B2174" s="66" t="s">
        <v>3614</v>
      </c>
      <c r="C2174" s="66" t="s">
        <v>5897</v>
      </c>
      <c r="D2174" s="65">
        <v>108</v>
      </c>
      <c r="E2174" s="65">
        <v>10</v>
      </c>
    </row>
    <row r="2175" spans="1:5">
      <c r="A2175" s="65">
        <v>4154</v>
      </c>
      <c r="B2175" s="66" t="s">
        <v>3593</v>
      </c>
      <c r="C2175" s="66" t="s">
        <v>5898</v>
      </c>
      <c r="D2175" s="65">
        <v>21</v>
      </c>
      <c r="E2175" s="65">
        <v>9</v>
      </c>
    </row>
    <row r="2176" spans="1:5">
      <c r="A2176" s="65">
        <v>41959</v>
      </c>
      <c r="B2176" s="66" t="s">
        <v>4707</v>
      </c>
      <c r="C2176" s="66" t="s">
        <v>5899</v>
      </c>
      <c r="D2176" s="65">
        <v>2</v>
      </c>
      <c r="E2176" s="65">
        <v>2</v>
      </c>
    </row>
    <row r="2177" spans="1:5">
      <c r="A2177" s="65">
        <v>41969</v>
      </c>
      <c r="B2177" s="66" t="s">
        <v>3597</v>
      </c>
      <c r="C2177" s="66" t="s">
        <v>5900</v>
      </c>
      <c r="D2177" s="65">
        <v>2</v>
      </c>
      <c r="E2177" s="65">
        <v>1</v>
      </c>
    </row>
    <row r="2178" spans="1:5">
      <c r="A2178" s="65">
        <v>42001</v>
      </c>
      <c r="B2178" s="66" t="s">
        <v>4317</v>
      </c>
      <c r="C2178" s="66" t="s">
        <v>5901</v>
      </c>
      <c r="D2178" s="65">
        <v>20</v>
      </c>
      <c r="E2178" s="65">
        <v>2</v>
      </c>
    </row>
    <row r="2179" spans="1:5">
      <c r="A2179" s="65">
        <v>42039</v>
      </c>
      <c r="B2179" s="66" t="s">
        <v>3608</v>
      </c>
      <c r="C2179" s="66" t="s">
        <v>5902</v>
      </c>
      <c r="D2179" s="65">
        <v>24</v>
      </c>
      <c r="E2179" s="65">
        <v>15</v>
      </c>
    </row>
    <row r="2180" spans="1:5">
      <c r="A2180" s="65">
        <v>42040</v>
      </c>
      <c r="B2180" s="66" t="s">
        <v>3597</v>
      </c>
      <c r="C2180" s="66" t="s">
        <v>5903</v>
      </c>
      <c r="D2180" s="65">
        <v>1764</v>
      </c>
      <c r="E2180" s="65">
        <v>237</v>
      </c>
    </row>
    <row r="2181" spans="1:5">
      <c r="A2181" s="65">
        <v>42042</v>
      </c>
      <c r="B2181" s="66" t="s">
        <v>5904</v>
      </c>
      <c r="C2181" s="66" t="s">
        <v>5905</v>
      </c>
      <c r="D2181" s="65">
        <v>3</v>
      </c>
      <c r="E2181" s="65">
        <v>3</v>
      </c>
    </row>
    <row r="2182" spans="1:5">
      <c r="A2182" s="65">
        <v>42048</v>
      </c>
      <c r="B2182" s="66" t="s">
        <v>3635</v>
      </c>
      <c r="C2182" s="66" t="s">
        <v>5906</v>
      </c>
      <c r="D2182" s="65">
        <v>5</v>
      </c>
      <c r="E2182" s="65">
        <v>1</v>
      </c>
    </row>
    <row r="2183" spans="1:5">
      <c r="A2183" s="65">
        <v>4256</v>
      </c>
      <c r="B2183" s="66" t="s">
        <v>3820</v>
      </c>
      <c r="C2183" s="66" t="s">
        <v>5907</v>
      </c>
      <c r="D2183" s="65">
        <v>10</v>
      </c>
      <c r="E2183" s="65">
        <v>4</v>
      </c>
    </row>
    <row r="2184" spans="1:5">
      <c r="A2184" s="65">
        <v>428</v>
      </c>
      <c r="B2184" s="66" t="s">
        <v>3597</v>
      </c>
      <c r="C2184" s="66" t="s">
        <v>5908</v>
      </c>
      <c r="D2184" s="65">
        <v>6324</v>
      </c>
      <c r="E2184" s="65">
        <v>340</v>
      </c>
    </row>
    <row r="2185" spans="1:5">
      <c r="A2185" s="65">
        <v>42859</v>
      </c>
      <c r="B2185" s="66" t="s">
        <v>3597</v>
      </c>
      <c r="C2185" s="66" t="s">
        <v>5909</v>
      </c>
      <c r="D2185" s="65">
        <v>26257</v>
      </c>
      <c r="E2185" s="65">
        <v>241</v>
      </c>
    </row>
    <row r="2186" spans="1:5">
      <c r="A2186" s="65">
        <v>42860</v>
      </c>
      <c r="B2186" s="66" t="s">
        <v>3597</v>
      </c>
      <c r="C2186" s="66" t="s">
        <v>5910</v>
      </c>
      <c r="D2186" s="65">
        <v>37452</v>
      </c>
      <c r="E2186" s="65">
        <v>433</v>
      </c>
    </row>
    <row r="2187" spans="1:5">
      <c r="A2187" s="65">
        <v>42861</v>
      </c>
      <c r="B2187" s="66" t="s">
        <v>3601</v>
      </c>
      <c r="C2187" s="66" t="s">
        <v>5911</v>
      </c>
      <c r="D2187" s="65">
        <v>4595</v>
      </c>
      <c r="E2187" s="65">
        <v>62</v>
      </c>
    </row>
    <row r="2188" spans="1:5">
      <c r="A2188" s="65">
        <v>42862</v>
      </c>
      <c r="B2188" s="66" t="s">
        <v>3677</v>
      </c>
      <c r="C2188" s="66" t="s">
        <v>5912</v>
      </c>
      <c r="D2188" s="65">
        <v>45</v>
      </c>
      <c r="E2188" s="65">
        <v>5</v>
      </c>
    </row>
    <row r="2189" spans="1:5">
      <c r="A2189" s="65">
        <v>429</v>
      </c>
      <c r="B2189" s="66" t="s">
        <v>3597</v>
      </c>
      <c r="C2189" s="66" t="s">
        <v>5913</v>
      </c>
      <c r="D2189" s="65">
        <v>197</v>
      </c>
      <c r="E2189" s="65">
        <v>25</v>
      </c>
    </row>
    <row r="2190" spans="1:5">
      <c r="A2190" s="65">
        <v>43</v>
      </c>
      <c r="B2190" s="66" t="s">
        <v>3620</v>
      </c>
      <c r="C2190" s="66" t="s">
        <v>5914</v>
      </c>
      <c r="D2190" s="65">
        <v>89</v>
      </c>
      <c r="E2190" s="65">
        <v>4</v>
      </c>
    </row>
    <row r="2191" spans="1:5">
      <c r="A2191" s="65">
        <v>430</v>
      </c>
      <c r="B2191" s="66" t="s">
        <v>3620</v>
      </c>
      <c r="C2191" s="66" t="s">
        <v>5915</v>
      </c>
      <c r="D2191" s="65">
        <v>6915</v>
      </c>
      <c r="E2191" s="65">
        <v>20</v>
      </c>
    </row>
    <row r="2192" spans="1:5">
      <c r="A2192" s="65">
        <v>435</v>
      </c>
      <c r="B2192" s="66" t="s">
        <v>3660</v>
      </c>
      <c r="C2192" s="66" t="s">
        <v>5916</v>
      </c>
      <c r="D2192" s="65">
        <v>7</v>
      </c>
      <c r="E2192" s="65">
        <v>3</v>
      </c>
    </row>
    <row r="2193" spans="1:5">
      <c r="A2193" s="65">
        <v>436</v>
      </c>
      <c r="B2193" s="66" t="s">
        <v>3597</v>
      </c>
      <c r="C2193" s="66" t="s">
        <v>5917</v>
      </c>
      <c r="D2193" s="65">
        <v>4113</v>
      </c>
      <c r="E2193" s="65">
        <v>134</v>
      </c>
    </row>
    <row r="2194" spans="1:5">
      <c r="A2194" s="65">
        <v>437</v>
      </c>
      <c r="B2194" s="66" t="s">
        <v>3616</v>
      </c>
      <c r="C2194" s="66" t="s">
        <v>5918</v>
      </c>
      <c r="D2194" s="65">
        <v>4</v>
      </c>
      <c r="E2194" s="65">
        <v>1</v>
      </c>
    </row>
    <row r="2195" spans="1:5">
      <c r="A2195" s="65">
        <v>439</v>
      </c>
      <c r="B2195" s="66" t="s">
        <v>3597</v>
      </c>
      <c r="C2195" s="66" t="s">
        <v>5919</v>
      </c>
      <c r="D2195" s="65">
        <v>1165</v>
      </c>
      <c r="E2195" s="65">
        <v>66</v>
      </c>
    </row>
    <row r="2196" spans="1:5">
      <c r="A2196" s="65">
        <v>4410</v>
      </c>
      <c r="B2196" s="66" t="s">
        <v>3620</v>
      </c>
      <c r="C2196" s="66" t="s">
        <v>5920</v>
      </c>
      <c r="D2196" s="65">
        <v>15</v>
      </c>
      <c r="E2196" s="65">
        <v>8</v>
      </c>
    </row>
    <row r="2197" spans="1:5">
      <c r="A2197" s="65">
        <v>4411</v>
      </c>
      <c r="B2197" s="66" t="s">
        <v>3620</v>
      </c>
      <c r="C2197" s="66" t="s">
        <v>5921</v>
      </c>
      <c r="D2197" s="65">
        <v>12</v>
      </c>
      <c r="E2197" s="65">
        <v>6</v>
      </c>
    </row>
    <row r="2198" spans="1:5">
      <c r="A2198" s="65">
        <v>4412</v>
      </c>
      <c r="B2198" s="66" t="s">
        <v>3599</v>
      </c>
      <c r="C2198" s="66" t="s">
        <v>5922</v>
      </c>
      <c r="D2198" s="65">
        <v>7</v>
      </c>
      <c r="E2198" s="65">
        <v>4</v>
      </c>
    </row>
    <row r="2199" spans="1:5">
      <c r="A2199" s="65">
        <v>443</v>
      </c>
      <c r="B2199" s="66" t="s">
        <v>3597</v>
      </c>
      <c r="C2199" s="66" t="s">
        <v>5923</v>
      </c>
      <c r="D2199" s="65">
        <v>33</v>
      </c>
      <c r="E2199" s="65">
        <v>12</v>
      </c>
    </row>
    <row r="2200" spans="1:5">
      <c r="A2200" s="65">
        <v>450</v>
      </c>
      <c r="B2200" s="66" t="s">
        <v>3973</v>
      </c>
      <c r="C2200" s="66" t="s">
        <v>5924</v>
      </c>
      <c r="D2200" s="65">
        <v>8</v>
      </c>
      <c r="E2200" s="65">
        <v>4</v>
      </c>
    </row>
    <row r="2201" spans="1:5">
      <c r="A2201" s="65">
        <v>451</v>
      </c>
      <c r="B2201" s="66" t="s">
        <v>3900</v>
      </c>
      <c r="C2201" s="66" t="s">
        <v>5925</v>
      </c>
      <c r="D2201" s="65">
        <v>31</v>
      </c>
      <c r="E2201" s="65">
        <v>13</v>
      </c>
    </row>
    <row r="2202" spans="1:5">
      <c r="A2202" s="65">
        <v>453</v>
      </c>
      <c r="B2202" s="66" t="s">
        <v>4467</v>
      </c>
      <c r="C2202" s="66" t="s">
        <v>5926</v>
      </c>
      <c r="D2202" s="65">
        <v>12</v>
      </c>
      <c r="E2202" s="65">
        <v>4</v>
      </c>
    </row>
    <row r="2203" spans="1:5">
      <c r="A2203" s="65">
        <v>4531</v>
      </c>
      <c r="B2203" s="66" t="s">
        <v>5831</v>
      </c>
      <c r="C2203" s="66" t="s">
        <v>5927</v>
      </c>
      <c r="D2203" s="65">
        <v>93</v>
      </c>
      <c r="E2203" s="65">
        <v>6</v>
      </c>
    </row>
    <row r="2204" spans="1:5">
      <c r="A2204" s="65">
        <v>46</v>
      </c>
      <c r="B2204" s="66" t="s">
        <v>3597</v>
      </c>
      <c r="C2204" s="66" t="s">
        <v>5928</v>
      </c>
      <c r="D2204" s="65">
        <v>63600</v>
      </c>
      <c r="E2204" s="65">
        <v>222</v>
      </c>
    </row>
    <row r="2205" spans="1:5">
      <c r="A2205" s="65">
        <v>46069</v>
      </c>
      <c r="B2205" s="66" t="s">
        <v>5222</v>
      </c>
      <c r="C2205" s="66" t="s">
        <v>5929</v>
      </c>
      <c r="D2205" s="65">
        <v>1</v>
      </c>
      <c r="E2205" s="65">
        <v>1</v>
      </c>
    </row>
    <row r="2206" spans="1:5">
      <c r="A2206" s="65">
        <v>4617</v>
      </c>
      <c r="B2206" s="66" t="s">
        <v>3606</v>
      </c>
      <c r="C2206" s="66" t="s">
        <v>5930</v>
      </c>
      <c r="D2206" s="65">
        <v>80</v>
      </c>
      <c r="E2206" s="65">
        <v>15</v>
      </c>
    </row>
    <row r="2207" spans="1:5">
      <c r="A2207" s="65">
        <v>4643</v>
      </c>
      <c r="B2207" s="66" t="s">
        <v>3625</v>
      </c>
      <c r="C2207" s="66" t="s">
        <v>5931</v>
      </c>
      <c r="D2207" s="65">
        <v>4</v>
      </c>
      <c r="E2207" s="65">
        <v>4</v>
      </c>
    </row>
    <row r="2208" spans="1:5">
      <c r="A2208" s="65">
        <v>465</v>
      </c>
      <c r="B2208" s="66" t="s">
        <v>3599</v>
      </c>
      <c r="C2208" s="66" t="s">
        <v>5932</v>
      </c>
      <c r="D2208" s="65">
        <v>32</v>
      </c>
      <c r="E2208" s="65">
        <v>13</v>
      </c>
    </row>
    <row r="2209" spans="1:5">
      <c r="A2209" s="65">
        <v>466</v>
      </c>
      <c r="B2209" s="66" t="s">
        <v>3593</v>
      </c>
      <c r="C2209" s="66" t="s">
        <v>5933</v>
      </c>
      <c r="D2209" s="65">
        <v>76</v>
      </c>
      <c r="E2209" s="65">
        <v>20</v>
      </c>
    </row>
    <row r="2210" spans="1:5">
      <c r="A2210" s="65">
        <v>467</v>
      </c>
      <c r="B2210" s="66" t="s">
        <v>3593</v>
      </c>
      <c r="C2210" s="66" t="s">
        <v>5934</v>
      </c>
      <c r="D2210" s="65">
        <v>83</v>
      </c>
      <c r="E2210" s="65">
        <v>37</v>
      </c>
    </row>
    <row r="2211" spans="1:5">
      <c r="A2211" s="65">
        <v>468</v>
      </c>
      <c r="B2211" s="66" t="s">
        <v>3627</v>
      </c>
      <c r="C2211" s="66" t="s">
        <v>5935</v>
      </c>
      <c r="D2211" s="65">
        <v>21</v>
      </c>
      <c r="E2211" s="65">
        <v>10</v>
      </c>
    </row>
    <row r="2212" spans="1:5">
      <c r="A2212" s="65">
        <v>47</v>
      </c>
      <c r="B2212" s="66" t="s">
        <v>3616</v>
      </c>
      <c r="C2212" s="66" t="s">
        <v>5936</v>
      </c>
      <c r="D2212" s="65">
        <v>61</v>
      </c>
      <c r="E2212" s="65">
        <v>48</v>
      </c>
    </row>
    <row r="2213" spans="1:5">
      <c r="A2213" s="65">
        <v>472</v>
      </c>
      <c r="B2213" s="66" t="s">
        <v>3593</v>
      </c>
      <c r="C2213" s="66" t="s">
        <v>5937</v>
      </c>
      <c r="D2213" s="65">
        <v>112</v>
      </c>
      <c r="E2213" s="65">
        <v>25</v>
      </c>
    </row>
    <row r="2214" spans="1:5">
      <c r="A2214" s="65">
        <v>4724</v>
      </c>
      <c r="B2214" s="66" t="s">
        <v>3765</v>
      </c>
      <c r="C2214" s="66" t="s">
        <v>5938</v>
      </c>
      <c r="D2214" s="65">
        <v>1</v>
      </c>
      <c r="E2214" s="65">
        <v>1</v>
      </c>
    </row>
    <row r="2215" spans="1:5">
      <c r="A2215" s="65">
        <v>473</v>
      </c>
      <c r="B2215" s="66" t="s">
        <v>3593</v>
      </c>
      <c r="C2215" s="66" t="s">
        <v>5939</v>
      </c>
      <c r="D2215" s="65">
        <v>268</v>
      </c>
      <c r="E2215" s="65">
        <v>47</v>
      </c>
    </row>
    <row r="2216" spans="1:5">
      <c r="A2216" s="65">
        <v>47353</v>
      </c>
      <c r="B2216" s="66" t="s">
        <v>3627</v>
      </c>
      <c r="C2216" s="66" t="s">
        <v>5940</v>
      </c>
      <c r="D2216" s="65">
        <v>43</v>
      </c>
      <c r="E2216" s="65">
        <v>22</v>
      </c>
    </row>
    <row r="2217" spans="1:5">
      <c r="A2217" s="65">
        <v>474</v>
      </c>
      <c r="B2217" s="66" t="s">
        <v>3593</v>
      </c>
      <c r="C2217" s="66" t="s">
        <v>5941</v>
      </c>
      <c r="D2217" s="65">
        <v>228</v>
      </c>
      <c r="E2217" s="65">
        <v>44</v>
      </c>
    </row>
    <row r="2218" spans="1:5">
      <c r="A2218" s="65">
        <v>47420</v>
      </c>
      <c r="B2218" s="66" t="s">
        <v>3593</v>
      </c>
      <c r="C2218" s="66" t="s">
        <v>5942</v>
      </c>
      <c r="D2218" s="65">
        <v>622</v>
      </c>
      <c r="E2218" s="65">
        <v>50</v>
      </c>
    </row>
    <row r="2219" spans="1:5">
      <c r="A2219" s="65">
        <v>476</v>
      </c>
      <c r="B2219" s="66" t="s">
        <v>3667</v>
      </c>
      <c r="C2219" s="66" t="s">
        <v>5943</v>
      </c>
      <c r="D2219" s="65">
        <v>21</v>
      </c>
      <c r="E2219" s="65">
        <v>6</v>
      </c>
    </row>
    <row r="2220" spans="1:5">
      <c r="A2220" s="65">
        <v>47600</v>
      </c>
      <c r="B2220" s="66" t="s">
        <v>4304</v>
      </c>
      <c r="C2220" s="66" t="s">
        <v>5944</v>
      </c>
      <c r="D2220" s="65">
        <v>3</v>
      </c>
      <c r="E2220" s="65">
        <v>3</v>
      </c>
    </row>
    <row r="2221" spans="1:5">
      <c r="A2221" s="65">
        <v>47658</v>
      </c>
      <c r="B2221" s="66" t="s">
        <v>3649</v>
      </c>
      <c r="C2221" s="66" t="s">
        <v>5945</v>
      </c>
      <c r="D2221" s="65">
        <v>19</v>
      </c>
      <c r="E2221" s="65">
        <v>3</v>
      </c>
    </row>
    <row r="2222" spans="1:5">
      <c r="A2222" s="65">
        <v>477</v>
      </c>
      <c r="B2222" s="66" t="s">
        <v>3667</v>
      </c>
      <c r="C2222" s="66" t="s">
        <v>5946</v>
      </c>
      <c r="D2222" s="65">
        <v>25</v>
      </c>
      <c r="E2222" s="65">
        <v>9</v>
      </c>
    </row>
    <row r="2223" spans="1:5">
      <c r="A2223" s="65">
        <v>47842</v>
      </c>
      <c r="B2223" s="66" t="s">
        <v>3820</v>
      </c>
      <c r="C2223" s="66" t="s">
        <v>5947</v>
      </c>
      <c r="D2223" s="65">
        <v>72</v>
      </c>
      <c r="E2223" s="65">
        <v>1</v>
      </c>
    </row>
    <row r="2224" spans="1:5">
      <c r="A2224" s="65">
        <v>480</v>
      </c>
      <c r="B2224" s="66" t="s">
        <v>3677</v>
      </c>
      <c r="C2224" s="66" t="s">
        <v>5948</v>
      </c>
      <c r="D2224" s="65">
        <v>5</v>
      </c>
      <c r="E2224" s="65">
        <v>4</v>
      </c>
    </row>
    <row r="2225" spans="1:5">
      <c r="A2225" s="65">
        <v>481</v>
      </c>
      <c r="B2225" s="66" t="s">
        <v>3677</v>
      </c>
      <c r="C2225" s="66" t="s">
        <v>5949</v>
      </c>
      <c r="D2225" s="65">
        <v>4</v>
      </c>
      <c r="E2225" s="65">
        <v>2</v>
      </c>
    </row>
    <row r="2226" spans="1:5">
      <c r="A2226" s="65">
        <v>48265</v>
      </c>
      <c r="B2226" s="66" t="s">
        <v>3597</v>
      </c>
      <c r="C2226" s="66" t="s">
        <v>5950</v>
      </c>
      <c r="D2226" s="65">
        <v>3600</v>
      </c>
      <c r="E2226" s="65">
        <v>44</v>
      </c>
    </row>
    <row r="2227" spans="1:5">
      <c r="A2227" s="65">
        <v>48699</v>
      </c>
      <c r="B2227" s="66" t="s">
        <v>3612</v>
      </c>
      <c r="C2227" s="66" t="s">
        <v>5951</v>
      </c>
      <c r="D2227" s="65">
        <v>3</v>
      </c>
      <c r="E2227" s="65">
        <v>3</v>
      </c>
    </row>
    <row r="2228" spans="1:5">
      <c r="A2228" s="65">
        <v>48780</v>
      </c>
      <c r="B2228" s="66" t="s">
        <v>4304</v>
      </c>
      <c r="C2228" s="66" t="s">
        <v>5952</v>
      </c>
      <c r="D2228" s="65">
        <v>10</v>
      </c>
      <c r="E2228" s="65">
        <v>1</v>
      </c>
    </row>
    <row r="2229" spans="1:5">
      <c r="A2229" s="65">
        <v>48850</v>
      </c>
      <c r="B2229" s="66" t="s">
        <v>3627</v>
      </c>
      <c r="C2229" s="66" t="s">
        <v>5953</v>
      </c>
      <c r="D2229" s="65">
        <v>9</v>
      </c>
      <c r="E2229" s="65">
        <v>9</v>
      </c>
    </row>
    <row r="2230" spans="1:5">
      <c r="A2230" s="65">
        <v>4887</v>
      </c>
      <c r="B2230" s="66" t="s">
        <v>3614</v>
      </c>
      <c r="C2230" s="66" t="s">
        <v>5954</v>
      </c>
      <c r="D2230" s="65">
        <v>172</v>
      </c>
      <c r="E2230" s="65">
        <v>47</v>
      </c>
    </row>
    <row r="2231" spans="1:5">
      <c r="A2231" s="65">
        <v>48877</v>
      </c>
      <c r="B2231" s="66" t="s">
        <v>3597</v>
      </c>
      <c r="C2231" s="66" t="s">
        <v>5955</v>
      </c>
      <c r="D2231" s="65">
        <v>1030</v>
      </c>
      <c r="E2231" s="65">
        <v>24</v>
      </c>
    </row>
    <row r="2232" spans="1:5">
      <c r="A2232" s="65">
        <v>48938</v>
      </c>
      <c r="B2232" s="66" t="s">
        <v>3597</v>
      </c>
      <c r="C2232" s="66" t="s">
        <v>5956</v>
      </c>
      <c r="D2232" s="65">
        <v>5</v>
      </c>
      <c r="E2232" s="65">
        <v>4</v>
      </c>
    </row>
    <row r="2233" spans="1:5">
      <c r="A2233" s="65">
        <v>48939</v>
      </c>
      <c r="B2233" s="66" t="s">
        <v>3597</v>
      </c>
      <c r="C2233" s="66" t="s">
        <v>5957</v>
      </c>
      <c r="D2233" s="65">
        <v>2</v>
      </c>
      <c r="E2233" s="65">
        <v>1</v>
      </c>
    </row>
    <row r="2234" spans="1:5">
      <c r="A2234" s="65">
        <v>48962</v>
      </c>
      <c r="B2234" s="66" t="s">
        <v>3601</v>
      </c>
      <c r="C2234" s="66" t="s">
        <v>5958</v>
      </c>
      <c r="D2234" s="65">
        <v>1217</v>
      </c>
      <c r="E2234" s="65">
        <v>71</v>
      </c>
    </row>
    <row r="2235" spans="1:5">
      <c r="A2235" s="65">
        <v>48964</v>
      </c>
      <c r="B2235" s="66" t="s">
        <v>3649</v>
      </c>
      <c r="C2235" s="66" t="s">
        <v>5959</v>
      </c>
      <c r="D2235" s="65">
        <v>333</v>
      </c>
      <c r="E2235" s="65">
        <v>28</v>
      </c>
    </row>
    <row r="2236" spans="1:5">
      <c r="A2236" s="65">
        <v>49</v>
      </c>
      <c r="B2236" s="66" t="s">
        <v>3597</v>
      </c>
      <c r="C2236" s="66" t="s">
        <v>5960</v>
      </c>
      <c r="D2236" s="65">
        <v>1442</v>
      </c>
      <c r="E2236" s="65">
        <v>35</v>
      </c>
    </row>
    <row r="2237" spans="1:5">
      <c r="A2237" s="65">
        <v>49167</v>
      </c>
      <c r="B2237" s="66" t="s">
        <v>3900</v>
      </c>
      <c r="C2237" s="66" t="s">
        <v>5961</v>
      </c>
      <c r="D2237" s="65">
        <v>52</v>
      </c>
      <c r="E2237" s="65">
        <v>11</v>
      </c>
    </row>
    <row r="2238" spans="1:5">
      <c r="A2238" s="65">
        <v>49168</v>
      </c>
      <c r="B2238" s="66" t="s">
        <v>3900</v>
      </c>
      <c r="C2238" s="66" t="s">
        <v>5962</v>
      </c>
      <c r="D2238" s="65">
        <v>57</v>
      </c>
      <c r="E2238" s="65">
        <v>12</v>
      </c>
    </row>
    <row r="2239" spans="1:5">
      <c r="A2239" s="65">
        <v>49170</v>
      </c>
      <c r="B2239" s="66" t="s">
        <v>4502</v>
      </c>
      <c r="C2239" s="66" t="s">
        <v>5963</v>
      </c>
      <c r="D2239" s="65">
        <v>12</v>
      </c>
      <c r="E2239" s="65">
        <v>2</v>
      </c>
    </row>
    <row r="2240" spans="1:5">
      <c r="A2240" s="65">
        <v>49200</v>
      </c>
      <c r="B2240" s="66" t="s">
        <v>3970</v>
      </c>
      <c r="C2240" s="66" t="s">
        <v>5964</v>
      </c>
      <c r="D2240" s="65">
        <v>835</v>
      </c>
      <c r="E2240" s="65">
        <v>42</v>
      </c>
    </row>
    <row r="2241" spans="1:5">
      <c r="A2241" s="65">
        <v>49464</v>
      </c>
      <c r="B2241" s="66" t="s">
        <v>4472</v>
      </c>
      <c r="C2241" s="66" t="s">
        <v>5965</v>
      </c>
      <c r="D2241" s="65">
        <v>6</v>
      </c>
      <c r="E2241" s="65">
        <v>6</v>
      </c>
    </row>
    <row r="2242" spans="1:5">
      <c r="A2242" s="65">
        <v>495</v>
      </c>
      <c r="B2242" s="66" t="s">
        <v>3627</v>
      </c>
      <c r="C2242" s="66" t="s">
        <v>5966</v>
      </c>
      <c r="D2242" s="65">
        <v>3</v>
      </c>
      <c r="E2242" s="65">
        <v>2</v>
      </c>
    </row>
    <row r="2243" spans="1:5">
      <c r="A2243" s="65">
        <v>49530</v>
      </c>
      <c r="B2243" s="66" t="s">
        <v>4197</v>
      </c>
      <c r="C2243" s="66" t="s">
        <v>5967</v>
      </c>
      <c r="D2243" s="65">
        <v>2</v>
      </c>
      <c r="E2243" s="65">
        <v>1</v>
      </c>
    </row>
    <row r="2244" spans="1:5">
      <c r="A2244" s="65">
        <v>49659</v>
      </c>
      <c r="B2244" s="66" t="s">
        <v>3593</v>
      </c>
      <c r="C2244" s="66" t="s">
        <v>5968</v>
      </c>
      <c r="D2244" s="65">
        <v>1300</v>
      </c>
      <c r="E2244" s="65">
        <v>56</v>
      </c>
    </row>
    <row r="2245" spans="1:5">
      <c r="A2245" s="65">
        <v>49660</v>
      </c>
      <c r="B2245" s="66" t="s">
        <v>5969</v>
      </c>
      <c r="C2245" s="66" t="s">
        <v>5970</v>
      </c>
      <c r="D2245" s="65">
        <v>171</v>
      </c>
      <c r="E2245" s="65">
        <v>18</v>
      </c>
    </row>
    <row r="2246" spans="1:5">
      <c r="A2246" s="65">
        <v>5</v>
      </c>
      <c r="B2246" s="66" t="s">
        <v>3662</v>
      </c>
      <c r="C2246" s="66" t="s">
        <v>5971</v>
      </c>
      <c r="D2246" s="65">
        <v>10</v>
      </c>
      <c r="E2246" s="65">
        <v>1</v>
      </c>
    </row>
    <row r="2247" spans="1:5">
      <c r="A2247" s="65">
        <v>50054</v>
      </c>
      <c r="B2247" s="66" t="s">
        <v>3786</v>
      </c>
      <c r="C2247" s="66" t="s">
        <v>5972</v>
      </c>
      <c r="D2247" s="65">
        <v>166</v>
      </c>
      <c r="E2247" s="65">
        <v>35</v>
      </c>
    </row>
    <row r="2248" spans="1:5">
      <c r="A2248" s="65">
        <v>50165</v>
      </c>
      <c r="B2248" s="66" t="s">
        <v>3614</v>
      </c>
      <c r="C2248" s="66" t="s">
        <v>5973</v>
      </c>
      <c r="D2248" s="65">
        <v>3090</v>
      </c>
      <c r="E2248" s="65">
        <v>154</v>
      </c>
    </row>
    <row r="2249" spans="1:5">
      <c r="A2249" s="65">
        <v>50718</v>
      </c>
      <c r="B2249" s="66" t="s">
        <v>5794</v>
      </c>
      <c r="C2249" s="66" t="s">
        <v>5974</v>
      </c>
      <c r="D2249" s="65">
        <v>4</v>
      </c>
      <c r="E2249" s="65">
        <v>3</v>
      </c>
    </row>
    <row r="2250" spans="1:5">
      <c r="A2250" s="65">
        <v>5081</v>
      </c>
      <c r="B2250" s="66" t="s">
        <v>3649</v>
      </c>
      <c r="C2250" s="66" t="s">
        <v>5975</v>
      </c>
      <c r="D2250" s="65">
        <v>47</v>
      </c>
      <c r="E2250" s="65">
        <v>12</v>
      </c>
    </row>
    <row r="2251" spans="1:5">
      <c r="A2251" s="65">
        <v>5082</v>
      </c>
      <c r="B2251" s="66" t="s">
        <v>3593</v>
      </c>
      <c r="C2251" s="66" t="s">
        <v>5976</v>
      </c>
      <c r="D2251" s="65">
        <v>160</v>
      </c>
      <c r="E2251" s="65">
        <v>32</v>
      </c>
    </row>
    <row r="2252" spans="1:5">
      <c r="A2252" s="65">
        <v>5083</v>
      </c>
      <c r="B2252" s="66" t="s">
        <v>3593</v>
      </c>
      <c r="C2252" s="66" t="s">
        <v>5977</v>
      </c>
      <c r="D2252" s="65">
        <v>404</v>
      </c>
      <c r="E2252" s="65">
        <v>68</v>
      </c>
    </row>
    <row r="2253" spans="1:5">
      <c r="A2253" s="65">
        <v>50890</v>
      </c>
      <c r="B2253" s="66" t="s">
        <v>3625</v>
      </c>
      <c r="C2253" s="66" t="s">
        <v>5978</v>
      </c>
      <c r="D2253" s="65">
        <v>1</v>
      </c>
      <c r="E2253" s="65">
        <v>1</v>
      </c>
    </row>
    <row r="2254" spans="1:5">
      <c r="A2254" s="65">
        <v>51104</v>
      </c>
      <c r="B2254" s="66" t="s">
        <v>3876</v>
      </c>
      <c r="C2254" s="66" t="s">
        <v>5979</v>
      </c>
      <c r="D2254" s="65">
        <v>10</v>
      </c>
      <c r="E2254" s="65">
        <v>2</v>
      </c>
    </row>
    <row r="2255" spans="1:5">
      <c r="A2255" s="65">
        <v>51244</v>
      </c>
      <c r="B2255" s="66" t="s">
        <v>4326</v>
      </c>
      <c r="C2255" s="66" t="s">
        <v>5980</v>
      </c>
      <c r="D2255" s="65">
        <v>3</v>
      </c>
      <c r="E2255" s="65">
        <v>2</v>
      </c>
    </row>
    <row r="2256" spans="1:5">
      <c r="A2256" s="65">
        <v>51492</v>
      </c>
      <c r="B2256" s="66" t="s">
        <v>3904</v>
      </c>
      <c r="C2256" s="66" t="s">
        <v>5981</v>
      </c>
      <c r="D2256" s="65">
        <v>2</v>
      </c>
      <c r="E2256" s="65">
        <v>2</v>
      </c>
    </row>
    <row r="2257" spans="1:5">
      <c r="A2257" s="65">
        <v>517</v>
      </c>
      <c r="B2257" s="66" t="s">
        <v>3616</v>
      </c>
      <c r="C2257" s="66" t="s">
        <v>5982</v>
      </c>
      <c r="D2257" s="65">
        <v>56</v>
      </c>
      <c r="E2257" s="65">
        <v>33</v>
      </c>
    </row>
    <row r="2258" spans="1:5">
      <c r="A2258" s="65">
        <v>51895</v>
      </c>
      <c r="B2258" s="66" t="s">
        <v>3641</v>
      </c>
      <c r="C2258" s="66" t="s">
        <v>5983</v>
      </c>
      <c r="D2258" s="65">
        <v>20</v>
      </c>
      <c r="E2258" s="65">
        <v>2</v>
      </c>
    </row>
    <row r="2259" spans="1:5">
      <c r="A2259" s="65">
        <v>519</v>
      </c>
      <c r="B2259" s="66" t="s">
        <v>3641</v>
      </c>
      <c r="C2259" s="66" t="s">
        <v>5984</v>
      </c>
      <c r="D2259" s="65">
        <v>3</v>
      </c>
      <c r="E2259" s="65">
        <v>3</v>
      </c>
    </row>
    <row r="2260" spans="1:5">
      <c r="A2260" s="65">
        <v>51912</v>
      </c>
      <c r="B2260" s="66" t="s">
        <v>4819</v>
      </c>
      <c r="C2260" s="66" t="s">
        <v>5985</v>
      </c>
      <c r="D2260" s="65">
        <v>3</v>
      </c>
      <c r="E2260" s="65">
        <v>1</v>
      </c>
    </row>
    <row r="2261" spans="1:5">
      <c r="A2261" s="65">
        <v>51919</v>
      </c>
      <c r="B2261" s="66" t="s">
        <v>4819</v>
      </c>
      <c r="C2261" s="66" t="s">
        <v>5986</v>
      </c>
      <c r="D2261" s="65">
        <v>2</v>
      </c>
      <c r="E2261" s="65">
        <v>1</v>
      </c>
    </row>
    <row r="2262" spans="1:5">
      <c r="A2262" s="65">
        <v>521</v>
      </c>
      <c r="B2262" s="66" t="s">
        <v>3667</v>
      </c>
      <c r="C2262" s="66" t="s">
        <v>5987</v>
      </c>
      <c r="D2262" s="65">
        <v>48</v>
      </c>
      <c r="E2262" s="65">
        <v>33</v>
      </c>
    </row>
    <row r="2263" spans="1:5">
      <c r="A2263" s="65">
        <v>52581</v>
      </c>
      <c r="B2263" s="66" t="s">
        <v>3783</v>
      </c>
      <c r="C2263" s="66" t="s">
        <v>5988</v>
      </c>
      <c r="D2263" s="65">
        <v>66</v>
      </c>
      <c r="E2263" s="65">
        <v>11</v>
      </c>
    </row>
    <row r="2264" spans="1:5">
      <c r="A2264" s="65">
        <v>52807</v>
      </c>
      <c r="B2264" s="66" t="s">
        <v>3597</v>
      </c>
      <c r="C2264" s="66" t="s">
        <v>5989</v>
      </c>
      <c r="D2264" s="65">
        <v>8175</v>
      </c>
      <c r="E2264" s="65">
        <v>58</v>
      </c>
    </row>
    <row r="2265" spans="1:5">
      <c r="A2265" s="65">
        <v>5284</v>
      </c>
      <c r="B2265" s="66" t="s">
        <v>3593</v>
      </c>
      <c r="C2265" s="66" t="s">
        <v>5990</v>
      </c>
      <c r="D2265" s="65">
        <v>7400</v>
      </c>
      <c r="E2265" s="65">
        <v>41</v>
      </c>
    </row>
    <row r="2266" spans="1:5">
      <c r="A2266" s="65">
        <v>5300</v>
      </c>
      <c r="B2266" s="66" t="s">
        <v>5235</v>
      </c>
      <c r="C2266" s="66" t="s">
        <v>5991</v>
      </c>
      <c r="D2266" s="65">
        <v>100</v>
      </c>
      <c r="E2266" s="65">
        <v>1</v>
      </c>
    </row>
    <row r="2267" spans="1:5">
      <c r="A2267" s="65">
        <v>5308</v>
      </c>
      <c r="B2267" s="66" t="s">
        <v>3614</v>
      </c>
      <c r="C2267" s="66" t="s">
        <v>5992</v>
      </c>
      <c r="D2267" s="65">
        <v>86</v>
      </c>
      <c r="E2267" s="65">
        <v>10</v>
      </c>
    </row>
    <row r="2268" spans="1:5">
      <c r="A2268" s="65">
        <v>53271</v>
      </c>
      <c r="B2268" s="66" t="s">
        <v>3639</v>
      </c>
      <c r="C2268" s="66" t="s">
        <v>5993</v>
      </c>
      <c r="D2268" s="65">
        <v>374</v>
      </c>
      <c r="E2268" s="65">
        <v>13</v>
      </c>
    </row>
    <row r="2269" spans="1:5">
      <c r="A2269" s="65">
        <v>5328</v>
      </c>
      <c r="B2269" s="66" t="s">
        <v>3639</v>
      </c>
      <c r="C2269" s="66" t="s">
        <v>5994</v>
      </c>
      <c r="D2269" s="65">
        <v>12</v>
      </c>
      <c r="E2269" s="65">
        <v>6</v>
      </c>
    </row>
    <row r="2270" spans="1:5">
      <c r="A2270" s="65">
        <v>53285</v>
      </c>
      <c r="B2270" s="66" t="s">
        <v>3649</v>
      </c>
      <c r="C2270" s="66" t="s">
        <v>5995</v>
      </c>
      <c r="D2270" s="65">
        <v>32</v>
      </c>
      <c r="E2270" s="65">
        <v>14</v>
      </c>
    </row>
    <row r="2271" spans="1:5">
      <c r="A2271" s="65">
        <v>535</v>
      </c>
      <c r="B2271" s="66" t="s">
        <v>3606</v>
      </c>
      <c r="C2271" s="66" t="s">
        <v>5996</v>
      </c>
      <c r="D2271" s="65">
        <v>16</v>
      </c>
      <c r="E2271" s="65">
        <v>9</v>
      </c>
    </row>
    <row r="2272" spans="1:5">
      <c r="A2272" s="65">
        <v>5383</v>
      </c>
      <c r="B2272" s="66" t="s">
        <v>3820</v>
      </c>
      <c r="C2272" s="66" t="s">
        <v>5997</v>
      </c>
      <c r="D2272" s="65">
        <v>4</v>
      </c>
      <c r="E2272" s="65">
        <v>2</v>
      </c>
    </row>
    <row r="2273" spans="1:5">
      <c r="A2273" s="65">
        <v>53973</v>
      </c>
      <c r="B2273" s="66" t="s">
        <v>3597</v>
      </c>
      <c r="C2273" s="66" t="s">
        <v>5998</v>
      </c>
      <c r="D2273" s="65">
        <v>16</v>
      </c>
      <c r="E2273" s="65">
        <v>5</v>
      </c>
    </row>
    <row r="2274" spans="1:5">
      <c r="A2274" s="65">
        <v>54</v>
      </c>
      <c r="B2274" s="66" t="s">
        <v>3597</v>
      </c>
      <c r="C2274" s="66" t="s">
        <v>5999</v>
      </c>
      <c r="D2274" s="65">
        <v>25775</v>
      </c>
      <c r="E2274" s="65">
        <v>466</v>
      </c>
    </row>
    <row r="2275" spans="1:5">
      <c r="A2275" s="65">
        <v>540</v>
      </c>
      <c r="B2275" s="66" t="s">
        <v>3593</v>
      </c>
      <c r="C2275" s="66" t="s">
        <v>6000</v>
      </c>
      <c r="D2275" s="65">
        <v>200</v>
      </c>
      <c r="E2275" s="65">
        <v>1</v>
      </c>
    </row>
    <row r="2276" spans="1:5">
      <c r="A2276" s="65">
        <v>5417</v>
      </c>
      <c r="B2276" s="66" t="s">
        <v>3820</v>
      </c>
      <c r="C2276" s="66" t="s">
        <v>6001</v>
      </c>
      <c r="D2276" s="65">
        <v>3</v>
      </c>
      <c r="E2276" s="65">
        <v>2</v>
      </c>
    </row>
    <row r="2277" spans="1:5">
      <c r="A2277" s="65">
        <v>5425</v>
      </c>
      <c r="B2277" s="66" t="s">
        <v>3593</v>
      </c>
      <c r="C2277" s="66" t="s">
        <v>6002</v>
      </c>
      <c r="D2277" s="65">
        <v>20</v>
      </c>
      <c r="E2277" s="65">
        <v>15</v>
      </c>
    </row>
    <row r="2278" spans="1:5">
      <c r="A2278" s="65">
        <v>5427</v>
      </c>
      <c r="B2278" s="66" t="s">
        <v>3639</v>
      </c>
      <c r="C2278" s="66" t="s">
        <v>6003</v>
      </c>
      <c r="D2278" s="65">
        <v>2</v>
      </c>
      <c r="E2278" s="65">
        <v>2</v>
      </c>
    </row>
    <row r="2279" spans="1:5">
      <c r="A2279" s="65">
        <v>5431</v>
      </c>
      <c r="B2279" s="66" t="s">
        <v>3783</v>
      </c>
      <c r="C2279" s="66" t="s">
        <v>6004</v>
      </c>
      <c r="D2279" s="65">
        <v>10</v>
      </c>
      <c r="E2279" s="65">
        <v>7</v>
      </c>
    </row>
    <row r="2280" spans="1:5">
      <c r="A2280" s="65">
        <v>54367</v>
      </c>
      <c r="B2280" s="66" t="s">
        <v>5222</v>
      </c>
      <c r="C2280" s="66" t="s">
        <v>6005</v>
      </c>
      <c r="D2280" s="65">
        <v>4</v>
      </c>
      <c r="E2280" s="65">
        <v>2</v>
      </c>
    </row>
    <row r="2281" spans="1:5">
      <c r="A2281" s="65">
        <v>54431</v>
      </c>
      <c r="B2281" s="66" t="s">
        <v>4197</v>
      </c>
      <c r="C2281" s="66" t="s">
        <v>6006</v>
      </c>
      <c r="D2281" s="65">
        <v>25</v>
      </c>
      <c r="E2281" s="65">
        <v>1</v>
      </c>
    </row>
    <row r="2282" spans="1:5">
      <c r="A2282" s="65">
        <v>5456</v>
      </c>
      <c r="B2282" s="66" t="s">
        <v>4191</v>
      </c>
      <c r="C2282" s="66" t="s">
        <v>6007</v>
      </c>
      <c r="D2282" s="65">
        <v>28</v>
      </c>
      <c r="E2282" s="65">
        <v>18</v>
      </c>
    </row>
    <row r="2283" spans="1:5">
      <c r="A2283" s="65">
        <v>5458</v>
      </c>
      <c r="B2283" s="66" t="s">
        <v>3593</v>
      </c>
      <c r="C2283" s="66" t="s">
        <v>6008</v>
      </c>
      <c r="D2283" s="65">
        <v>25</v>
      </c>
      <c r="E2283" s="65">
        <v>3</v>
      </c>
    </row>
    <row r="2284" spans="1:5">
      <c r="A2284" s="65">
        <v>54930</v>
      </c>
      <c r="B2284" s="66" t="s">
        <v>3649</v>
      </c>
      <c r="C2284" s="66" t="s">
        <v>6009</v>
      </c>
      <c r="D2284" s="65">
        <v>12</v>
      </c>
      <c r="E2284" s="65">
        <v>3</v>
      </c>
    </row>
    <row r="2285" spans="1:5">
      <c r="A2285" s="65">
        <v>5531</v>
      </c>
      <c r="B2285" s="66" t="s">
        <v>4191</v>
      </c>
      <c r="C2285" s="66" t="s">
        <v>6010</v>
      </c>
      <c r="D2285" s="65">
        <v>10</v>
      </c>
      <c r="E2285" s="65">
        <v>1</v>
      </c>
    </row>
    <row r="2286" spans="1:5">
      <c r="A2286" s="65">
        <v>55599</v>
      </c>
      <c r="B2286" s="66" t="s">
        <v>3593</v>
      </c>
      <c r="C2286" s="66" t="s">
        <v>6011</v>
      </c>
      <c r="D2286" s="65">
        <v>8</v>
      </c>
      <c r="E2286" s="65">
        <v>8</v>
      </c>
    </row>
    <row r="2287" spans="1:5">
      <c r="A2287" s="65">
        <v>557</v>
      </c>
      <c r="B2287" s="66" t="s">
        <v>3601</v>
      </c>
      <c r="C2287" s="66" t="s">
        <v>6012</v>
      </c>
      <c r="D2287" s="65">
        <v>144</v>
      </c>
      <c r="E2287" s="65">
        <v>68</v>
      </c>
    </row>
    <row r="2288" spans="1:5">
      <c r="A2288" s="65">
        <v>558</v>
      </c>
      <c r="B2288" s="66" t="s">
        <v>3772</v>
      </c>
      <c r="C2288" s="66" t="s">
        <v>6013</v>
      </c>
      <c r="D2288" s="65">
        <v>119</v>
      </c>
      <c r="E2288" s="65">
        <v>46</v>
      </c>
    </row>
    <row r="2289" spans="1:5">
      <c r="A2289" s="65">
        <v>5589</v>
      </c>
      <c r="B2289" s="66" t="s">
        <v>3639</v>
      </c>
      <c r="C2289" s="66" t="s">
        <v>6014</v>
      </c>
      <c r="D2289" s="65">
        <v>5</v>
      </c>
      <c r="E2289" s="65">
        <v>5</v>
      </c>
    </row>
    <row r="2290" spans="1:5">
      <c r="A2290" s="65">
        <v>56</v>
      </c>
      <c r="B2290" s="66" t="s">
        <v>3772</v>
      </c>
      <c r="C2290" s="66" t="s">
        <v>6015</v>
      </c>
      <c r="D2290" s="65">
        <v>89</v>
      </c>
      <c r="E2290" s="65">
        <v>37</v>
      </c>
    </row>
    <row r="2291" spans="1:5">
      <c r="A2291" s="65">
        <v>561</v>
      </c>
      <c r="B2291" s="66" t="s">
        <v>3597</v>
      </c>
      <c r="C2291" s="66" t="s">
        <v>6016</v>
      </c>
      <c r="D2291" s="65">
        <v>43200</v>
      </c>
      <c r="E2291" s="65">
        <v>125</v>
      </c>
    </row>
    <row r="2292" spans="1:5">
      <c r="A2292" s="65">
        <v>566</v>
      </c>
      <c r="B2292" s="66" t="s">
        <v>3597</v>
      </c>
      <c r="C2292" s="66" t="s">
        <v>6017</v>
      </c>
      <c r="D2292" s="65">
        <v>2091</v>
      </c>
      <c r="E2292" s="65">
        <v>445</v>
      </c>
    </row>
    <row r="2293" spans="1:5">
      <c r="A2293" s="65">
        <v>5695</v>
      </c>
      <c r="B2293" s="66" t="s">
        <v>3973</v>
      </c>
      <c r="C2293" s="66" t="s">
        <v>6018</v>
      </c>
      <c r="D2293" s="65">
        <v>3</v>
      </c>
      <c r="E2293" s="65">
        <v>3</v>
      </c>
    </row>
    <row r="2294" spans="1:5">
      <c r="A2294" s="65">
        <v>570</v>
      </c>
      <c r="B2294" s="66" t="s">
        <v>3616</v>
      </c>
      <c r="C2294" s="66" t="s">
        <v>6019</v>
      </c>
      <c r="D2294" s="65">
        <v>2559</v>
      </c>
      <c r="E2294" s="65">
        <v>312</v>
      </c>
    </row>
    <row r="2295" spans="1:5">
      <c r="A2295" s="65">
        <v>57068</v>
      </c>
      <c r="B2295" s="66" t="s">
        <v>3593</v>
      </c>
      <c r="C2295" s="66" t="s">
        <v>6020</v>
      </c>
      <c r="D2295" s="65">
        <v>55</v>
      </c>
      <c r="E2295" s="65">
        <v>38</v>
      </c>
    </row>
    <row r="2296" spans="1:5">
      <c r="A2296" s="65">
        <v>5737</v>
      </c>
      <c r="B2296" s="66" t="s">
        <v>3641</v>
      </c>
      <c r="C2296" s="66" t="s">
        <v>6021</v>
      </c>
      <c r="D2296" s="65">
        <v>5</v>
      </c>
      <c r="E2296" s="65">
        <v>3</v>
      </c>
    </row>
    <row r="2297" spans="1:5">
      <c r="A2297" s="65">
        <v>57380</v>
      </c>
      <c r="B2297" s="66" t="s">
        <v>3820</v>
      </c>
      <c r="C2297" s="66" t="s">
        <v>5442</v>
      </c>
      <c r="D2297" s="65">
        <v>45</v>
      </c>
      <c r="E2297" s="65">
        <v>2</v>
      </c>
    </row>
    <row r="2298" spans="1:5">
      <c r="A2298" s="65">
        <v>574</v>
      </c>
      <c r="B2298" s="66" t="s">
        <v>3597</v>
      </c>
      <c r="C2298" s="66" t="s">
        <v>6022</v>
      </c>
      <c r="D2298" s="65">
        <v>240</v>
      </c>
      <c r="E2298" s="65">
        <v>158</v>
      </c>
    </row>
    <row r="2299" spans="1:5">
      <c r="A2299" s="65">
        <v>5745</v>
      </c>
      <c r="B2299" s="66" t="s">
        <v>3606</v>
      </c>
      <c r="C2299" s="66" t="s">
        <v>6023</v>
      </c>
      <c r="D2299" s="65">
        <v>22</v>
      </c>
      <c r="E2299" s="65">
        <v>5</v>
      </c>
    </row>
    <row r="2300" spans="1:5">
      <c r="A2300" s="65">
        <v>57539</v>
      </c>
      <c r="B2300" s="66" t="s">
        <v>3739</v>
      </c>
      <c r="C2300" s="66" t="s">
        <v>6024</v>
      </c>
      <c r="D2300" s="65">
        <v>54</v>
      </c>
      <c r="E2300" s="65">
        <v>3</v>
      </c>
    </row>
    <row r="2301" spans="1:5">
      <c r="A2301" s="65">
        <v>576</v>
      </c>
      <c r="B2301" s="66" t="s">
        <v>3606</v>
      </c>
      <c r="C2301" s="66" t="s">
        <v>6025</v>
      </c>
      <c r="D2301" s="65">
        <v>266</v>
      </c>
      <c r="E2301" s="65">
        <v>74</v>
      </c>
    </row>
    <row r="2302" spans="1:5">
      <c r="A2302" s="65">
        <v>57665</v>
      </c>
      <c r="B2302" s="66" t="s">
        <v>3608</v>
      </c>
      <c r="C2302" s="66" t="s">
        <v>6026</v>
      </c>
      <c r="D2302" s="65">
        <v>148</v>
      </c>
      <c r="E2302" s="65">
        <v>27</v>
      </c>
    </row>
    <row r="2303" spans="1:5">
      <c r="A2303" s="65">
        <v>5770</v>
      </c>
      <c r="B2303" s="66" t="s">
        <v>3786</v>
      </c>
      <c r="C2303" s="66" t="s">
        <v>6027</v>
      </c>
      <c r="D2303" s="65">
        <v>19</v>
      </c>
      <c r="E2303" s="65">
        <v>7</v>
      </c>
    </row>
    <row r="2304" spans="1:5">
      <c r="A2304" s="65">
        <v>5798</v>
      </c>
      <c r="B2304" s="66" t="s">
        <v>3601</v>
      </c>
      <c r="C2304" s="66" t="s">
        <v>6028</v>
      </c>
      <c r="D2304" s="65">
        <v>10</v>
      </c>
      <c r="E2304" s="65">
        <v>6</v>
      </c>
    </row>
    <row r="2305" spans="1:5">
      <c r="A2305" s="65">
        <v>58129</v>
      </c>
      <c r="B2305" s="66" t="s">
        <v>3643</v>
      </c>
      <c r="C2305" s="66" t="s">
        <v>6029</v>
      </c>
      <c r="D2305" s="65">
        <v>12</v>
      </c>
      <c r="E2305" s="65">
        <v>6</v>
      </c>
    </row>
    <row r="2306" spans="1:5">
      <c r="A2306" s="65">
        <v>58264</v>
      </c>
      <c r="B2306" s="66" t="s">
        <v>3606</v>
      </c>
      <c r="C2306" s="66" t="s">
        <v>6030</v>
      </c>
      <c r="D2306" s="65">
        <v>12</v>
      </c>
      <c r="E2306" s="65">
        <v>8</v>
      </c>
    </row>
    <row r="2307" spans="1:5">
      <c r="A2307" s="65">
        <v>58278</v>
      </c>
      <c r="B2307" s="66" t="s">
        <v>6031</v>
      </c>
      <c r="C2307" s="66" t="s">
        <v>6032</v>
      </c>
      <c r="D2307" s="65">
        <v>3</v>
      </c>
      <c r="E2307" s="65">
        <v>3</v>
      </c>
    </row>
    <row r="2308" spans="1:5">
      <c r="A2308" s="65">
        <v>5837</v>
      </c>
      <c r="B2308" s="66" t="s">
        <v>3608</v>
      </c>
      <c r="C2308" s="66" t="s">
        <v>6033</v>
      </c>
      <c r="D2308" s="65">
        <v>3</v>
      </c>
      <c r="E2308" s="65">
        <v>3</v>
      </c>
    </row>
    <row r="2309" spans="1:5">
      <c r="A2309" s="65">
        <v>5841</v>
      </c>
      <c r="B2309" s="66" t="s">
        <v>3625</v>
      </c>
      <c r="C2309" s="66" t="s">
        <v>6034</v>
      </c>
      <c r="D2309" s="65">
        <v>144</v>
      </c>
      <c r="E2309" s="65">
        <v>1</v>
      </c>
    </row>
    <row r="2310" spans="1:5">
      <c r="A2310" s="65">
        <v>5846</v>
      </c>
      <c r="B2310" s="66" t="s">
        <v>3731</v>
      </c>
      <c r="C2310" s="66" t="s">
        <v>6035</v>
      </c>
      <c r="D2310" s="65">
        <v>8</v>
      </c>
      <c r="E2310" s="65">
        <v>6</v>
      </c>
    </row>
    <row r="2311" spans="1:5">
      <c r="A2311" s="65">
        <v>5848</v>
      </c>
      <c r="B2311" s="66" t="s">
        <v>4317</v>
      </c>
      <c r="C2311" s="66" t="s">
        <v>6036</v>
      </c>
      <c r="D2311" s="65">
        <v>3</v>
      </c>
      <c r="E2311" s="65">
        <v>3</v>
      </c>
    </row>
    <row r="2312" spans="1:5">
      <c r="A2312" s="65">
        <v>58483</v>
      </c>
      <c r="B2312" s="66" t="s">
        <v>3612</v>
      </c>
      <c r="C2312" s="66" t="s">
        <v>6037</v>
      </c>
      <c r="D2312" s="65">
        <v>10</v>
      </c>
      <c r="E2312" s="65">
        <v>7</v>
      </c>
    </row>
    <row r="2313" spans="1:5">
      <c r="A2313" s="65">
        <v>58506</v>
      </c>
      <c r="B2313" s="66" t="s">
        <v>3595</v>
      </c>
      <c r="C2313" s="66" t="s">
        <v>6038</v>
      </c>
      <c r="D2313" s="65">
        <v>2</v>
      </c>
      <c r="E2313" s="65">
        <v>2</v>
      </c>
    </row>
    <row r="2314" spans="1:5">
      <c r="A2314" s="65">
        <v>58563</v>
      </c>
      <c r="B2314" s="66" t="s">
        <v>4604</v>
      </c>
      <c r="C2314" s="66" t="s">
        <v>6039</v>
      </c>
      <c r="D2314" s="65">
        <v>13</v>
      </c>
      <c r="E2314" s="65">
        <v>5</v>
      </c>
    </row>
    <row r="2315" spans="1:5">
      <c r="A2315" s="65">
        <v>58568</v>
      </c>
      <c r="B2315" s="66" t="s">
        <v>3612</v>
      </c>
      <c r="C2315" s="66" t="s">
        <v>6040</v>
      </c>
      <c r="D2315" s="65">
        <v>26</v>
      </c>
      <c r="E2315" s="65">
        <v>3</v>
      </c>
    </row>
    <row r="2316" spans="1:5">
      <c r="A2316" s="65">
        <v>58569</v>
      </c>
      <c r="B2316" s="66" t="s">
        <v>3601</v>
      </c>
      <c r="C2316" s="66" t="s">
        <v>6041</v>
      </c>
      <c r="D2316" s="65">
        <v>86</v>
      </c>
      <c r="E2316" s="65">
        <v>19</v>
      </c>
    </row>
    <row r="2317" spans="1:5">
      <c r="A2317" s="65">
        <v>58621</v>
      </c>
      <c r="B2317" s="66" t="s">
        <v>3599</v>
      </c>
      <c r="C2317" s="66" t="s">
        <v>6042</v>
      </c>
      <c r="D2317" s="65">
        <v>2078</v>
      </c>
      <c r="E2317" s="65">
        <v>44</v>
      </c>
    </row>
    <row r="2318" spans="1:5">
      <c r="A2318" s="65">
        <v>58622</v>
      </c>
      <c r="B2318" s="66" t="s">
        <v>3804</v>
      </c>
      <c r="C2318" s="66" t="s">
        <v>6043</v>
      </c>
      <c r="D2318" s="65">
        <v>205</v>
      </c>
      <c r="E2318" s="65">
        <v>8</v>
      </c>
    </row>
    <row r="2319" spans="1:5">
      <c r="A2319" s="65">
        <v>58623</v>
      </c>
      <c r="B2319" s="66" t="s">
        <v>3597</v>
      </c>
      <c r="C2319" s="66" t="s">
        <v>6044</v>
      </c>
      <c r="D2319" s="65">
        <v>2621</v>
      </c>
      <c r="E2319" s="65">
        <v>27</v>
      </c>
    </row>
    <row r="2320" spans="1:5">
      <c r="A2320" s="65">
        <v>58833</v>
      </c>
      <c r="B2320" s="66" t="s">
        <v>3667</v>
      </c>
      <c r="C2320" s="66" t="s">
        <v>6045</v>
      </c>
      <c r="D2320" s="65">
        <v>44</v>
      </c>
      <c r="E2320" s="65">
        <v>7</v>
      </c>
    </row>
    <row r="2321" spans="1:5">
      <c r="A2321" s="65">
        <v>58974</v>
      </c>
      <c r="B2321" s="66" t="s">
        <v>3783</v>
      </c>
      <c r="C2321" s="66" t="s">
        <v>6046</v>
      </c>
      <c r="D2321" s="65">
        <v>111</v>
      </c>
      <c r="E2321" s="65">
        <v>21</v>
      </c>
    </row>
    <row r="2322" spans="1:5">
      <c r="A2322" s="65">
        <v>59</v>
      </c>
      <c r="B2322" s="66" t="s">
        <v>3794</v>
      </c>
      <c r="C2322" s="66" t="s">
        <v>6047</v>
      </c>
      <c r="D2322" s="65">
        <v>8</v>
      </c>
      <c r="E2322" s="65">
        <v>6</v>
      </c>
    </row>
    <row r="2323" spans="1:5">
      <c r="A2323" s="65">
        <v>59114</v>
      </c>
      <c r="B2323" s="66" t="s">
        <v>3643</v>
      </c>
      <c r="C2323" s="66" t="s">
        <v>6048</v>
      </c>
      <c r="D2323" s="65">
        <v>45</v>
      </c>
      <c r="E2323" s="65">
        <v>3</v>
      </c>
    </row>
    <row r="2324" spans="1:5">
      <c r="A2324" s="65">
        <v>59273</v>
      </c>
      <c r="B2324" s="66" t="s">
        <v>5222</v>
      </c>
      <c r="C2324" s="66" t="s">
        <v>6049</v>
      </c>
      <c r="D2324" s="65">
        <v>37</v>
      </c>
      <c r="E2324" s="65">
        <v>12</v>
      </c>
    </row>
    <row r="2325" spans="1:5">
      <c r="A2325" s="65">
        <v>5930</v>
      </c>
      <c r="B2325" s="66" t="s">
        <v>3649</v>
      </c>
      <c r="C2325" s="66" t="s">
        <v>6050</v>
      </c>
      <c r="D2325" s="65">
        <v>11</v>
      </c>
      <c r="E2325" s="65">
        <v>2</v>
      </c>
    </row>
    <row r="2326" spans="1:5">
      <c r="A2326" s="65">
        <v>59358</v>
      </c>
      <c r="B2326" s="66" t="s">
        <v>3614</v>
      </c>
      <c r="C2326" s="66" t="s">
        <v>6051</v>
      </c>
      <c r="D2326" s="65">
        <v>8</v>
      </c>
      <c r="E2326" s="65">
        <v>5</v>
      </c>
    </row>
    <row r="2327" spans="1:5">
      <c r="A2327" s="65">
        <v>59361</v>
      </c>
      <c r="B2327" s="66" t="s">
        <v>3677</v>
      </c>
      <c r="C2327" s="66" t="s">
        <v>6052</v>
      </c>
      <c r="D2327" s="65">
        <v>22</v>
      </c>
      <c r="E2327" s="65">
        <v>5</v>
      </c>
    </row>
    <row r="2328" spans="1:5">
      <c r="A2328" s="65">
        <v>59362</v>
      </c>
      <c r="B2328" s="66" t="s">
        <v>3599</v>
      </c>
      <c r="C2328" s="66" t="s">
        <v>6053</v>
      </c>
      <c r="D2328" s="65">
        <v>39</v>
      </c>
      <c r="E2328" s="65">
        <v>8</v>
      </c>
    </row>
    <row r="2329" spans="1:5">
      <c r="A2329" s="65">
        <v>59363</v>
      </c>
      <c r="B2329" s="66" t="s">
        <v>3620</v>
      </c>
      <c r="C2329" s="66" t="s">
        <v>6054</v>
      </c>
      <c r="D2329" s="65">
        <v>88</v>
      </c>
      <c r="E2329" s="65">
        <v>12</v>
      </c>
    </row>
    <row r="2330" spans="1:5">
      <c r="A2330" s="65">
        <v>59364</v>
      </c>
      <c r="B2330" s="66" t="s">
        <v>3616</v>
      </c>
      <c r="C2330" s="66" t="s">
        <v>6055</v>
      </c>
      <c r="D2330" s="65">
        <v>95</v>
      </c>
      <c r="E2330" s="65">
        <v>15</v>
      </c>
    </row>
    <row r="2331" spans="1:5">
      <c r="A2331" s="65">
        <v>59365</v>
      </c>
      <c r="B2331" s="66" t="s">
        <v>3616</v>
      </c>
      <c r="C2331" s="66" t="s">
        <v>6056</v>
      </c>
      <c r="D2331" s="65">
        <v>31</v>
      </c>
      <c r="E2331" s="65">
        <v>7</v>
      </c>
    </row>
    <row r="2332" spans="1:5">
      <c r="A2332" s="65">
        <v>59366</v>
      </c>
      <c r="B2332" s="66" t="s">
        <v>5085</v>
      </c>
      <c r="C2332" s="66" t="s">
        <v>6057</v>
      </c>
      <c r="D2332" s="65">
        <v>6</v>
      </c>
      <c r="E2332" s="65">
        <v>2</v>
      </c>
    </row>
    <row r="2333" spans="1:5">
      <c r="A2333" s="65">
        <v>59367</v>
      </c>
      <c r="B2333" s="66" t="s">
        <v>3593</v>
      </c>
      <c r="C2333" s="66" t="s">
        <v>6058</v>
      </c>
      <c r="D2333" s="65">
        <v>15</v>
      </c>
      <c r="E2333" s="65">
        <v>2</v>
      </c>
    </row>
    <row r="2334" spans="1:5">
      <c r="A2334" s="65">
        <v>59392</v>
      </c>
      <c r="B2334" s="66" t="s">
        <v>4175</v>
      </c>
      <c r="C2334" s="66" t="s">
        <v>6059</v>
      </c>
      <c r="D2334" s="65">
        <v>1980</v>
      </c>
      <c r="E2334" s="65">
        <v>26</v>
      </c>
    </row>
    <row r="2335" spans="1:5">
      <c r="A2335" s="65">
        <v>594</v>
      </c>
      <c r="B2335" s="66" t="s">
        <v>5415</v>
      </c>
      <c r="C2335" s="66" t="s">
        <v>6060</v>
      </c>
      <c r="D2335" s="65">
        <v>47</v>
      </c>
      <c r="E2335" s="65">
        <v>5</v>
      </c>
    </row>
    <row r="2336" spans="1:5">
      <c r="A2336" s="65">
        <v>59405</v>
      </c>
      <c r="B2336" s="66" t="s">
        <v>3597</v>
      </c>
      <c r="C2336" s="66" t="s">
        <v>6061</v>
      </c>
      <c r="D2336" s="65">
        <v>5</v>
      </c>
      <c r="E2336" s="65">
        <v>5</v>
      </c>
    </row>
    <row r="2337" spans="1:5">
      <c r="A2337" s="65">
        <v>59417</v>
      </c>
      <c r="B2337" s="66" t="s">
        <v>3601</v>
      </c>
      <c r="C2337" s="66" t="s">
        <v>6062</v>
      </c>
      <c r="D2337" s="65">
        <v>62</v>
      </c>
      <c r="E2337" s="65">
        <v>48</v>
      </c>
    </row>
    <row r="2338" spans="1:5">
      <c r="A2338" s="65">
        <v>5942</v>
      </c>
      <c r="B2338" s="66" t="s">
        <v>3820</v>
      </c>
      <c r="C2338" s="66" t="s">
        <v>6063</v>
      </c>
      <c r="D2338" s="65">
        <v>10</v>
      </c>
      <c r="E2338" s="65">
        <v>3</v>
      </c>
    </row>
    <row r="2339" spans="1:5">
      <c r="A2339" s="65">
        <v>59632</v>
      </c>
      <c r="B2339" s="66" t="s">
        <v>4537</v>
      </c>
      <c r="C2339" s="66" t="s">
        <v>6064</v>
      </c>
      <c r="D2339" s="65">
        <v>59</v>
      </c>
      <c r="E2339" s="65">
        <v>12</v>
      </c>
    </row>
    <row r="2340" spans="1:5">
      <c r="A2340" s="65">
        <v>5964</v>
      </c>
      <c r="B2340" s="66" t="s">
        <v>3820</v>
      </c>
      <c r="C2340" s="66" t="s">
        <v>6065</v>
      </c>
      <c r="D2340" s="65">
        <v>72</v>
      </c>
      <c r="E2340" s="65">
        <v>2</v>
      </c>
    </row>
    <row r="2341" spans="1:5">
      <c r="A2341" s="65">
        <v>59642</v>
      </c>
      <c r="B2341" s="66" t="s">
        <v>3641</v>
      </c>
      <c r="C2341" s="66" t="s">
        <v>6066</v>
      </c>
      <c r="D2341" s="65">
        <v>10</v>
      </c>
      <c r="E2341" s="65">
        <v>3</v>
      </c>
    </row>
    <row r="2342" spans="1:5">
      <c r="A2342" s="65">
        <v>59643</v>
      </c>
      <c r="B2342" s="66" t="s">
        <v>3649</v>
      </c>
      <c r="C2342" s="66" t="s">
        <v>6067</v>
      </c>
      <c r="D2342" s="65">
        <v>65</v>
      </c>
      <c r="E2342" s="65">
        <v>21</v>
      </c>
    </row>
    <row r="2343" spans="1:5">
      <c r="A2343" s="65">
        <v>59664</v>
      </c>
      <c r="B2343" s="66" t="s">
        <v>3593</v>
      </c>
      <c r="C2343" s="66" t="s">
        <v>6068</v>
      </c>
      <c r="D2343" s="65">
        <v>94</v>
      </c>
      <c r="E2343" s="65">
        <v>56</v>
      </c>
    </row>
    <row r="2344" spans="1:5">
      <c r="A2344" s="65">
        <v>59688</v>
      </c>
      <c r="B2344" s="66" t="s">
        <v>4972</v>
      </c>
      <c r="C2344" s="66" t="s">
        <v>6069</v>
      </c>
      <c r="D2344" s="65">
        <v>5</v>
      </c>
      <c r="E2344" s="65">
        <v>3</v>
      </c>
    </row>
    <row r="2345" spans="1:5">
      <c r="A2345" s="65">
        <v>59698</v>
      </c>
      <c r="B2345" s="66" t="s">
        <v>3649</v>
      </c>
      <c r="C2345" s="66" t="s">
        <v>6070</v>
      </c>
      <c r="D2345" s="65">
        <v>84</v>
      </c>
      <c r="E2345" s="65">
        <v>14</v>
      </c>
    </row>
    <row r="2346" spans="1:5">
      <c r="A2346" s="65">
        <v>59790</v>
      </c>
      <c r="B2346" s="66" t="s">
        <v>3597</v>
      </c>
      <c r="C2346" s="66" t="s">
        <v>6071</v>
      </c>
      <c r="D2346" s="65">
        <v>16</v>
      </c>
      <c r="E2346" s="65">
        <v>4</v>
      </c>
    </row>
    <row r="2347" spans="1:5">
      <c r="A2347" s="65">
        <v>6004</v>
      </c>
      <c r="B2347" s="66" t="s">
        <v>3731</v>
      </c>
      <c r="C2347" s="66" t="s">
        <v>6072</v>
      </c>
      <c r="D2347" s="65">
        <v>7</v>
      </c>
      <c r="E2347" s="65">
        <v>4</v>
      </c>
    </row>
    <row r="2348" spans="1:5">
      <c r="A2348" s="65">
        <v>60043</v>
      </c>
      <c r="B2348" s="66" t="s">
        <v>3597</v>
      </c>
      <c r="C2348" s="66" t="s">
        <v>6073</v>
      </c>
      <c r="D2348" s="65">
        <v>3845</v>
      </c>
      <c r="E2348" s="65">
        <v>118</v>
      </c>
    </row>
    <row r="2349" spans="1:5">
      <c r="A2349" s="65">
        <v>60044</v>
      </c>
      <c r="B2349" s="66" t="s">
        <v>3601</v>
      </c>
      <c r="C2349" s="66" t="s">
        <v>6074</v>
      </c>
      <c r="D2349" s="65">
        <v>107</v>
      </c>
      <c r="E2349" s="65">
        <v>56</v>
      </c>
    </row>
    <row r="2350" spans="1:5">
      <c r="A2350" s="65">
        <v>60079</v>
      </c>
      <c r="B2350" s="66" t="s">
        <v>3627</v>
      </c>
      <c r="C2350" s="66" t="s">
        <v>6075</v>
      </c>
      <c r="D2350" s="65">
        <v>2</v>
      </c>
      <c r="E2350" s="65">
        <v>1</v>
      </c>
    </row>
    <row r="2351" spans="1:5">
      <c r="A2351" s="65">
        <v>60081</v>
      </c>
      <c r="B2351" s="66" t="s">
        <v>3597</v>
      </c>
      <c r="C2351" s="66" t="s">
        <v>6076</v>
      </c>
      <c r="D2351" s="65">
        <v>141</v>
      </c>
      <c r="E2351" s="65">
        <v>37</v>
      </c>
    </row>
    <row r="2352" spans="1:5">
      <c r="A2352" s="65">
        <v>60082</v>
      </c>
      <c r="B2352" s="66" t="s">
        <v>4253</v>
      </c>
      <c r="C2352" s="66" t="s">
        <v>6077</v>
      </c>
      <c r="D2352" s="65">
        <v>65</v>
      </c>
      <c r="E2352" s="65">
        <v>3</v>
      </c>
    </row>
    <row r="2353" spans="1:5">
      <c r="A2353" s="65">
        <v>601</v>
      </c>
      <c r="B2353" s="66" t="s">
        <v>3665</v>
      </c>
      <c r="C2353" s="66" t="s">
        <v>6078</v>
      </c>
      <c r="D2353" s="65">
        <v>12</v>
      </c>
      <c r="E2353" s="65">
        <v>5</v>
      </c>
    </row>
    <row r="2354" spans="1:5">
      <c r="A2354" s="65">
        <v>60146</v>
      </c>
      <c r="B2354" s="66" t="s">
        <v>3677</v>
      </c>
      <c r="C2354" s="66" t="s">
        <v>6079</v>
      </c>
      <c r="D2354" s="65">
        <v>10</v>
      </c>
      <c r="E2354" s="65">
        <v>2</v>
      </c>
    </row>
    <row r="2355" spans="1:5">
      <c r="A2355" s="65">
        <v>60152</v>
      </c>
      <c r="B2355" s="66" t="s">
        <v>3599</v>
      </c>
      <c r="C2355" s="66" t="s">
        <v>6080</v>
      </c>
      <c r="D2355" s="65">
        <v>30</v>
      </c>
      <c r="E2355" s="65">
        <v>7</v>
      </c>
    </row>
    <row r="2356" spans="1:5">
      <c r="A2356" s="65">
        <v>60168</v>
      </c>
      <c r="B2356" s="66" t="s">
        <v>3641</v>
      </c>
      <c r="C2356" s="66" t="s">
        <v>6081</v>
      </c>
      <c r="D2356" s="65">
        <v>4</v>
      </c>
      <c r="E2356" s="65">
        <v>2</v>
      </c>
    </row>
    <row r="2357" spans="1:5">
      <c r="A2357" s="65">
        <v>60169</v>
      </c>
      <c r="B2357" s="66" t="s">
        <v>3593</v>
      </c>
      <c r="C2357" s="66" t="s">
        <v>6082</v>
      </c>
      <c r="D2357" s="65">
        <v>33</v>
      </c>
      <c r="E2357" s="65">
        <v>12</v>
      </c>
    </row>
    <row r="2358" spans="1:5">
      <c r="A2358" s="65">
        <v>60288</v>
      </c>
      <c r="B2358" s="66" t="s">
        <v>3820</v>
      </c>
      <c r="C2358" s="66" t="s">
        <v>6083</v>
      </c>
      <c r="D2358" s="65">
        <v>49</v>
      </c>
      <c r="E2358" s="65">
        <v>5</v>
      </c>
    </row>
    <row r="2359" spans="1:5">
      <c r="A2359" s="65">
        <v>60318</v>
      </c>
      <c r="B2359" s="66" t="s">
        <v>3667</v>
      </c>
      <c r="C2359" s="66" t="s">
        <v>6084</v>
      </c>
      <c r="D2359" s="65">
        <v>1207</v>
      </c>
      <c r="E2359" s="65">
        <v>282</v>
      </c>
    </row>
    <row r="2360" spans="1:5">
      <c r="A2360" s="65">
        <v>60351</v>
      </c>
      <c r="B2360" s="66" t="s">
        <v>3601</v>
      </c>
      <c r="C2360" s="66" t="s">
        <v>6085</v>
      </c>
      <c r="D2360" s="65">
        <v>19</v>
      </c>
      <c r="E2360" s="65">
        <v>13</v>
      </c>
    </row>
    <row r="2361" spans="1:5">
      <c r="A2361" s="65">
        <v>60449</v>
      </c>
      <c r="B2361" s="66" t="s">
        <v>3749</v>
      </c>
      <c r="C2361" s="66" t="s">
        <v>6086</v>
      </c>
      <c r="D2361" s="65">
        <v>10</v>
      </c>
      <c r="E2361" s="65">
        <v>1</v>
      </c>
    </row>
    <row r="2362" spans="1:5">
      <c r="A2362" s="65">
        <v>60575</v>
      </c>
      <c r="B2362" s="66" t="s">
        <v>3742</v>
      </c>
      <c r="C2362" s="66" t="s">
        <v>6087</v>
      </c>
      <c r="D2362" s="65">
        <v>14</v>
      </c>
      <c r="E2362" s="65">
        <v>4</v>
      </c>
    </row>
    <row r="2363" spans="1:5">
      <c r="A2363" s="65">
        <v>6061</v>
      </c>
      <c r="B2363" s="66" t="s">
        <v>3614</v>
      </c>
      <c r="C2363" s="66" t="s">
        <v>6088</v>
      </c>
      <c r="D2363" s="65">
        <v>8</v>
      </c>
      <c r="E2363" s="65">
        <v>1</v>
      </c>
    </row>
    <row r="2364" spans="1:5">
      <c r="A2364" s="65">
        <v>60638</v>
      </c>
      <c r="B2364" s="66" t="s">
        <v>3775</v>
      </c>
      <c r="C2364" s="66" t="s">
        <v>6089</v>
      </c>
      <c r="D2364" s="65">
        <v>120</v>
      </c>
      <c r="E2364" s="65">
        <v>1</v>
      </c>
    </row>
    <row r="2365" spans="1:5">
      <c r="A2365" s="65">
        <v>60651</v>
      </c>
      <c r="B2365" s="66" t="s">
        <v>3593</v>
      </c>
      <c r="C2365" s="66" t="s">
        <v>6090</v>
      </c>
      <c r="D2365" s="65">
        <v>3</v>
      </c>
      <c r="E2365" s="65">
        <v>1</v>
      </c>
    </row>
    <row r="2366" spans="1:5">
      <c r="A2366" s="65">
        <v>60671</v>
      </c>
      <c r="B2366" s="66" t="s">
        <v>4972</v>
      </c>
      <c r="C2366" s="66" t="s">
        <v>6091</v>
      </c>
      <c r="D2366" s="65">
        <v>45</v>
      </c>
      <c r="E2366" s="65">
        <v>5</v>
      </c>
    </row>
    <row r="2367" spans="1:5">
      <c r="A2367" s="65">
        <v>607</v>
      </c>
      <c r="B2367" s="66" t="s">
        <v>3667</v>
      </c>
      <c r="C2367" s="66" t="s">
        <v>6092</v>
      </c>
      <c r="D2367" s="65">
        <v>373</v>
      </c>
      <c r="E2367" s="65">
        <v>108</v>
      </c>
    </row>
    <row r="2368" spans="1:5">
      <c r="A2368" s="65">
        <v>60711</v>
      </c>
      <c r="B2368" s="66" t="s">
        <v>6093</v>
      </c>
      <c r="C2368" s="66" t="s">
        <v>6094</v>
      </c>
      <c r="D2368" s="65">
        <v>15</v>
      </c>
      <c r="E2368" s="65">
        <v>4</v>
      </c>
    </row>
    <row r="2369" spans="1:5">
      <c r="A2369" s="65">
        <v>60733</v>
      </c>
      <c r="B2369" s="66" t="s">
        <v>3614</v>
      </c>
      <c r="C2369" s="66" t="s">
        <v>6095</v>
      </c>
      <c r="D2369" s="65">
        <v>75</v>
      </c>
      <c r="E2369" s="65">
        <v>14</v>
      </c>
    </row>
    <row r="2370" spans="1:5">
      <c r="A2370" s="65">
        <v>60744</v>
      </c>
      <c r="B2370" s="66" t="s">
        <v>3597</v>
      </c>
      <c r="C2370" s="66" t="s">
        <v>6096</v>
      </c>
      <c r="D2370" s="65">
        <v>35</v>
      </c>
      <c r="E2370" s="65">
        <v>13</v>
      </c>
    </row>
    <row r="2371" spans="1:5">
      <c r="A2371" s="65">
        <v>60788</v>
      </c>
      <c r="B2371" s="66" t="s">
        <v>3606</v>
      </c>
      <c r="C2371" s="66" t="s">
        <v>6097</v>
      </c>
      <c r="D2371" s="65">
        <v>11</v>
      </c>
      <c r="E2371" s="65">
        <v>5</v>
      </c>
    </row>
    <row r="2372" spans="1:5">
      <c r="A2372" s="65">
        <v>6079</v>
      </c>
      <c r="B2372" s="66" t="s">
        <v>4237</v>
      </c>
      <c r="C2372" s="66" t="s">
        <v>6098</v>
      </c>
      <c r="D2372" s="65">
        <v>30</v>
      </c>
      <c r="E2372" s="65">
        <v>1</v>
      </c>
    </row>
    <row r="2373" spans="1:5">
      <c r="A2373" s="65">
        <v>60888</v>
      </c>
      <c r="B2373" s="66" t="s">
        <v>3597</v>
      </c>
      <c r="C2373" s="66" t="s">
        <v>6099</v>
      </c>
      <c r="D2373" s="65">
        <v>14501</v>
      </c>
      <c r="E2373" s="65">
        <v>27</v>
      </c>
    </row>
    <row r="2374" spans="1:5">
      <c r="A2374" s="65">
        <v>609</v>
      </c>
      <c r="B2374" s="66" t="s">
        <v>3667</v>
      </c>
      <c r="C2374" s="66" t="s">
        <v>6100</v>
      </c>
      <c r="D2374" s="65">
        <v>186</v>
      </c>
      <c r="E2374" s="65">
        <v>68</v>
      </c>
    </row>
    <row r="2375" spans="1:5">
      <c r="A2375" s="65">
        <v>60924</v>
      </c>
      <c r="B2375" s="66" t="s">
        <v>3599</v>
      </c>
      <c r="C2375" s="66" t="s">
        <v>6101</v>
      </c>
      <c r="D2375" s="65">
        <v>50</v>
      </c>
      <c r="E2375" s="65">
        <v>8</v>
      </c>
    </row>
    <row r="2376" spans="1:5">
      <c r="A2376" s="65">
        <v>60925</v>
      </c>
      <c r="B2376" s="66" t="s">
        <v>3786</v>
      </c>
      <c r="C2376" s="66" t="s">
        <v>6102</v>
      </c>
      <c r="D2376" s="65">
        <v>75</v>
      </c>
      <c r="E2376" s="65">
        <v>8</v>
      </c>
    </row>
    <row r="2377" spans="1:5">
      <c r="A2377" s="65">
        <v>60997</v>
      </c>
      <c r="B2377" s="66" t="s">
        <v>3593</v>
      </c>
      <c r="C2377" s="66" t="s">
        <v>6103</v>
      </c>
      <c r="D2377" s="65">
        <v>25</v>
      </c>
      <c r="E2377" s="65">
        <v>2</v>
      </c>
    </row>
    <row r="2378" spans="1:5">
      <c r="A2378" s="65">
        <v>61046</v>
      </c>
      <c r="B2378" s="66" t="s">
        <v>3593</v>
      </c>
      <c r="C2378" s="66" t="s">
        <v>6104</v>
      </c>
      <c r="D2378" s="65">
        <v>45</v>
      </c>
      <c r="E2378" s="65">
        <v>10</v>
      </c>
    </row>
    <row r="2379" spans="1:5">
      <c r="A2379" s="65">
        <v>61047</v>
      </c>
      <c r="B2379" s="66" t="s">
        <v>3635</v>
      </c>
      <c r="C2379" s="66" t="s">
        <v>6105</v>
      </c>
      <c r="D2379" s="65">
        <v>3</v>
      </c>
      <c r="E2379" s="65">
        <v>2</v>
      </c>
    </row>
    <row r="2380" spans="1:5">
      <c r="A2380" s="65">
        <v>611</v>
      </c>
      <c r="B2380" s="66" t="s">
        <v>3667</v>
      </c>
      <c r="C2380" s="66" t="s">
        <v>6106</v>
      </c>
      <c r="D2380" s="65">
        <v>396</v>
      </c>
      <c r="E2380" s="65">
        <v>114</v>
      </c>
    </row>
    <row r="2381" spans="1:5">
      <c r="A2381" s="65">
        <v>61250</v>
      </c>
      <c r="B2381" s="66" t="s">
        <v>3593</v>
      </c>
      <c r="C2381" s="66" t="s">
        <v>6107</v>
      </c>
      <c r="D2381" s="65">
        <v>2</v>
      </c>
      <c r="E2381" s="65">
        <v>2</v>
      </c>
    </row>
    <row r="2382" spans="1:5">
      <c r="A2382" s="65">
        <v>61253</v>
      </c>
      <c r="B2382" s="66" t="s">
        <v>3662</v>
      </c>
      <c r="C2382" s="66" t="s">
        <v>6108</v>
      </c>
      <c r="D2382" s="65">
        <v>5</v>
      </c>
      <c r="E2382" s="65">
        <v>4</v>
      </c>
    </row>
    <row r="2383" spans="1:5">
      <c r="A2383" s="65">
        <v>6128</v>
      </c>
      <c r="B2383" s="66" t="s">
        <v>3612</v>
      </c>
      <c r="C2383" s="66" t="s">
        <v>6109</v>
      </c>
      <c r="D2383" s="65">
        <v>1</v>
      </c>
      <c r="E2383" s="65">
        <v>1</v>
      </c>
    </row>
    <row r="2384" spans="1:5">
      <c r="A2384" s="65">
        <v>6130</v>
      </c>
      <c r="B2384" s="66" t="s">
        <v>3820</v>
      </c>
      <c r="C2384" s="66" t="s">
        <v>6110</v>
      </c>
      <c r="D2384" s="65">
        <v>4</v>
      </c>
      <c r="E2384" s="65">
        <v>3</v>
      </c>
    </row>
    <row r="2385" spans="1:5">
      <c r="A2385" s="65">
        <v>61358</v>
      </c>
      <c r="B2385" s="66" t="s">
        <v>3597</v>
      </c>
      <c r="C2385" s="66" t="s">
        <v>6111</v>
      </c>
      <c r="D2385" s="65">
        <v>2</v>
      </c>
      <c r="E2385" s="65">
        <v>1</v>
      </c>
    </row>
    <row r="2386" spans="1:5">
      <c r="A2386" s="65">
        <v>61359</v>
      </c>
      <c r="B2386" s="66" t="s">
        <v>3597</v>
      </c>
      <c r="C2386" s="66" t="s">
        <v>6112</v>
      </c>
      <c r="D2386" s="65">
        <v>44</v>
      </c>
      <c r="E2386" s="65">
        <v>13</v>
      </c>
    </row>
    <row r="2387" spans="1:5">
      <c r="A2387" s="65">
        <v>61368</v>
      </c>
      <c r="B2387" s="66" t="s">
        <v>3593</v>
      </c>
      <c r="C2387" s="66" t="s">
        <v>6113</v>
      </c>
      <c r="D2387" s="65">
        <v>81</v>
      </c>
      <c r="E2387" s="65">
        <v>18</v>
      </c>
    </row>
    <row r="2388" spans="1:5">
      <c r="A2388" s="65">
        <v>61369</v>
      </c>
      <c r="B2388" s="66" t="s">
        <v>3593</v>
      </c>
      <c r="C2388" s="66" t="s">
        <v>6114</v>
      </c>
      <c r="D2388" s="65">
        <v>62</v>
      </c>
      <c r="E2388" s="65">
        <v>11</v>
      </c>
    </row>
    <row r="2389" spans="1:5">
      <c r="A2389" s="65">
        <v>61373</v>
      </c>
      <c r="B2389" s="66" t="s">
        <v>3597</v>
      </c>
      <c r="C2389" s="66" t="s">
        <v>6115</v>
      </c>
      <c r="D2389" s="65">
        <v>35</v>
      </c>
      <c r="E2389" s="65">
        <v>15</v>
      </c>
    </row>
    <row r="2390" spans="1:5">
      <c r="A2390" s="65">
        <v>61388</v>
      </c>
      <c r="B2390" s="66" t="s">
        <v>3606</v>
      </c>
      <c r="C2390" s="66" t="s">
        <v>6116</v>
      </c>
      <c r="D2390" s="65">
        <v>17</v>
      </c>
      <c r="E2390" s="65">
        <v>9</v>
      </c>
    </row>
    <row r="2391" spans="1:5">
      <c r="A2391" s="65">
        <v>61393</v>
      </c>
      <c r="B2391" s="66" t="s">
        <v>3667</v>
      </c>
      <c r="C2391" s="66" t="s">
        <v>6117</v>
      </c>
      <c r="D2391" s="65">
        <v>1431</v>
      </c>
      <c r="E2391" s="65">
        <v>271</v>
      </c>
    </row>
    <row r="2392" spans="1:5">
      <c r="A2392" s="65">
        <v>61494</v>
      </c>
      <c r="B2392" s="66" t="s">
        <v>3593</v>
      </c>
      <c r="C2392" s="66" t="s">
        <v>6118</v>
      </c>
      <c r="D2392" s="65">
        <v>23</v>
      </c>
      <c r="E2392" s="65">
        <v>21</v>
      </c>
    </row>
    <row r="2393" spans="1:5">
      <c r="A2393" s="65">
        <v>61856</v>
      </c>
      <c r="B2393" s="66" t="s">
        <v>6119</v>
      </c>
      <c r="C2393" s="66" t="s">
        <v>6120</v>
      </c>
      <c r="D2393" s="65">
        <v>25</v>
      </c>
      <c r="E2393" s="65">
        <v>1</v>
      </c>
    </row>
    <row r="2394" spans="1:5">
      <c r="A2394" s="65">
        <v>62</v>
      </c>
      <c r="B2394" s="66" t="s">
        <v>3597</v>
      </c>
      <c r="C2394" s="66" t="s">
        <v>6121</v>
      </c>
      <c r="D2394" s="65">
        <v>185</v>
      </c>
      <c r="E2394" s="65">
        <v>113</v>
      </c>
    </row>
    <row r="2395" spans="1:5">
      <c r="A2395" s="65">
        <v>6220</v>
      </c>
      <c r="B2395" s="66" t="s">
        <v>3639</v>
      </c>
      <c r="C2395" s="66" t="s">
        <v>6122</v>
      </c>
      <c r="D2395" s="65">
        <v>8</v>
      </c>
      <c r="E2395" s="65">
        <v>3</v>
      </c>
    </row>
    <row r="2396" spans="1:5">
      <c r="A2396" s="65">
        <v>62220</v>
      </c>
      <c r="B2396" s="66" t="s">
        <v>3786</v>
      </c>
      <c r="C2396" s="66" t="s">
        <v>6123</v>
      </c>
      <c r="D2396" s="65">
        <v>90</v>
      </c>
      <c r="E2396" s="65">
        <v>14</v>
      </c>
    </row>
    <row r="2397" spans="1:5">
      <c r="A2397" s="65">
        <v>62296</v>
      </c>
      <c r="B2397" s="66" t="s">
        <v>4227</v>
      </c>
      <c r="C2397" s="66" t="s">
        <v>6124</v>
      </c>
      <c r="D2397" s="65">
        <v>23</v>
      </c>
      <c r="E2397" s="65">
        <v>10</v>
      </c>
    </row>
    <row r="2398" spans="1:5">
      <c r="A2398" s="65">
        <v>62297</v>
      </c>
      <c r="B2398" s="66" t="s">
        <v>3820</v>
      </c>
      <c r="C2398" s="66" t="s">
        <v>6125</v>
      </c>
      <c r="D2398" s="65">
        <v>31</v>
      </c>
      <c r="E2398" s="65">
        <v>13</v>
      </c>
    </row>
    <row r="2399" spans="1:5">
      <c r="A2399" s="65">
        <v>62298</v>
      </c>
      <c r="B2399" s="66" t="s">
        <v>3616</v>
      </c>
      <c r="C2399" s="66" t="s">
        <v>6126</v>
      </c>
      <c r="D2399" s="65">
        <v>277</v>
      </c>
      <c r="E2399" s="65">
        <v>70</v>
      </c>
    </row>
    <row r="2400" spans="1:5">
      <c r="A2400" s="65">
        <v>6236</v>
      </c>
      <c r="B2400" s="66" t="s">
        <v>5654</v>
      </c>
      <c r="C2400" s="66" t="s">
        <v>6127</v>
      </c>
      <c r="D2400" s="65">
        <v>36</v>
      </c>
      <c r="E2400" s="65">
        <v>10</v>
      </c>
    </row>
    <row r="2401" spans="1:5">
      <c r="A2401" s="65">
        <v>62450</v>
      </c>
      <c r="B2401" s="66" t="s">
        <v>3639</v>
      </c>
      <c r="C2401" s="66" t="s">
        <v>6128</v>
      </c>
      <c r="D2401" s="65">
        <v>48</v>
      </c>
      <c r="E2401" s="65">
        <v>12</v>
      </c>
    </row>
    <row r="2402" spans="1:5">
      <c r="A2402" s="65">
        <v>62453</v>
      </c>
      <c r="B2402" s="66" t="s">
        <v>3635</v>
      </c>
      <c r="C2402" s="66" t="s">
        <v>6129</v>
      </c>
      <c r="D2402" s="65">
        <v>24</v>
      </c>
      <c r="E2402" s="65">
        <v>2</v>
      </c>
    </row>
    <row r="2403" spans="1:5">
      <c r="A2403" s="65">
        <v>6249</v>
      </c>
      <c r="B2403" s="66" t="s">
        <v>3649</v>
      </c>
      <c r="C2403" s="66" t="s">
        <v>6130</v>
      </c>
      <c r="D2403" s="65">
        <v>109</v>
      </c>
      <c r="E2403" s="65">
        <v>6</v>
      </c>
    </row>
    <row r="2404" spans="1:5">
      <c r="A2404" s="65">
        <v>6250</v>
      </c>
      <c r="B2404" s="66" t="s">
        <v>3660</v>
      </c>
      <c r="C2404" s="66" t="s">
        <v>6131</v>
      </c>
      <c r="D2404" s="65">
        <v>200</v>
      </c>
      <c r="E2404" s="65">
        <v>8</v>
      </c>
    </row>
    <row r="2405" spans="1:5">
      <c r="A2405" s="65">
        <v>62556</v>
      </c>
      <c r="B2405" s="66" t="s">
        <v>3597</v>
      </c>
      <c r="C2405" s="66" t="s">
        <v>6132</v>
      </c>
      <c r="D2405" s="65">
        <v>21</v>
      </c>
      <c r="E2405" s="65">
        <v>8</v>
      </c>
    </row>
    <row r="2406" spans="1:5">
      <c r="A2406" s="65">
        <v>626</v>
      </c>
      <c r="B2406" s="66" t="s">
        <v>3783</v>
      </c>
      <c r="C2406" s="66" t="s">
        <v>6133</v>
      </c>
      <c r="D2406" s="65">
        <v>59</v>
      </c>
      <c r="E2406" s="65">
        <v>25</v>
      </c>
    </row>
    <row r="2407" spans="1:5">
      <c r="A2407" s="65">
        <v>62635</v>
      </c>
      <c r="B2407" s="66" t="s">
        <v>4604</v>
      </c>
      <c r="C2407" s="66" t="s">
        <v>6134</v>
      </c>
      <c r="D2407" s="65">
        <v>2</v>
      </c>
      <c r="E2407" s="65">
        <v>2</v>
      </c>
    </row>
    <row r="2408" spans="1:5">
      <c r="A2408" s="65">
        <v>6268</v>
      </c>
      <c r="B2408" s="66" t="s">
        <v>3649</v>
      </c>
      <c r="C2408" s="66" t="s">
        <v>6135</v>
      </c>
      <c r="D2408" s="65">
        <v>10</v>
      </c>
      <c r="E2408" s="65">
        <v>1</v>
      </c>
    </row>
    <row r="2409" spans="1:5">
      <c r="A2409" s="65">
        <v>627</v>
      </c>
      <c r="B2409" s="66" t="s">
        <v>3900</v>
      </c>
      <c r="C2409" s="66" t="s">
        <v>6136</v>
      </c>
      <c r="D2409" s="65">
        <v>21</v>
      </c>
      <c r="E2409" s="65">
        <v>10</v>
      </c>
    </row>
    <row r="2410" spans="1:5">
      <c r="A2410" s="65">
        <v>6270</v>
      </c>
      <c r="B2410" s="66" t="s">
        <v>3608</v>
      </c>
      <c r="C2410" s="66" t="s">
        <v>6137</v>
      </c>
      <c r="D2410" s="65">
        <v>30</v>
      </c>
      <c r="E2410" s="65">
        <v>3</v>
      </c>
    </row>
    <row r="2411" spans="1:5">
      <c r="A2411" s="65">
        <v>6272</v>
      </c>
      <c r="B2411" s="66" t="s">
        <v>3763</v>
      </c>
      <c r="C2411" s="66" t="s">
        <v>6138</v>
      </c>
      <c r="D2411" s="65">
        <v>17</v>
      </c>
      <c r="E2411" s="65">
        <v>2</v>
      </c>
    </row>
    <row r="2412" spans="1:5">
      <c r="A2412" s="65">
        <v>628</v>
      </c>
      <c r="B2412" s="66" t="s">
        <v>3783</v>
      </c>
      <c r="C2412" s="66" t="s">
        <v>6139</v>
      </c>
      <c r="D2412" s="65">
        <v>122</v>
      </c>
      <c r="E2412" s="65">
        <v>41</v>
      </c>
    </row>
    <row r="2413" spans="1:5">
      <c r="A2413" s="65">
        <v>62856</v>
      </c>
      <c r="B2413" s="66" t="s">
        <v>3616</v>
      </c>
      <c r="C2413" s="66" t="s">
        <v>6140</v>
      </c>
      <c r="D2413" s="65">
        <v>135</v>
      </c>
      <c r="E2413" s="65">
        <v>49</v>
      </c>
    </row>
    <row r="2414" spans="1:5">
      <c r="A2414" s="65">
        <v>62935</v>
      </c>
      <c r="B2414" s="66" t="s">
        <v>4117</v>
      </c>
      <c r="C2414" s="66" t="s">
        <v>6141</v>
      </c>
      <c r="D2414" s="65">
        <v>17</v>
      </c>
      <c r="E2414" s="65">
        <v>6</v>
      </c>
    </row>
    <row r="2415" spans="1:5">
      <c r="A2415" s="65">
        <v>62936</v>
      </c>
      <c r="B2415" s="66" t="s">
        <v>3639</v>
      </c>
      <c r="C2415" s="66" t="s">
        <v>6142</v>
      </c>
      <c r="D2415" s="65">
        <v>21</v>
      </c>
      <c r="E2415" s="65">
        <v>7</v>
      </c>
    </row>
    <row r="2416" spans="1:5">
      <c r="A2416" s="65">
        <v>62937</v>
      </c>
      <c r="B2416" s="66" t="s">
        <v>3667</v>
      </c>
      <c r="C2416" s="66" t="s">
        <v>6143</v>
      </c>
      <c r="D2416" s="65">
        <v>20</v>
      </c>
      <c r="E2416" s="65">
        <v>7</v>
      </c>
    </row>
    <row r="2417" spans="1:5">
      <c r="A2417" s="65">
        <v>63</v>
      </c>
      <c r="B2417" s="66" t="s">
        <v>3646</v>
      </c>
      <c r="C2417" s="66" t="s">
        <v>6144</v>
      </c>
      <c r="D2417" s="65">
        <v>28</v>
      </c>
      <c r="E2417" s="65">
        <v>6</v>
      </c>
    </row>
    <row r="2418" spans="1:5">
      <c r="A2418" s="65">
        <v>630</v>
      </c>
      <c r="B2418" s="66" t="s">
        <v>4502</v>
      </c>
      <c r="C2418" s="66" t="s">
        <v>6145</v>
      </c>
      <c r="D2418" s="65">
        <v>2</v>
      </c>
      <c r="E2418" s="65">
        <v>1</v>
      </c>
    </row>
    <row r="2419" spans="1:5">
      <c r="A2419" s="65">
        <v>631</v>
      </c>
      <c r="B2419" s="66" t="s">
        <v>3783</v>
      </c>
      <c r="C2419" s="66" t="s">
        <v>6146</v>
      </c>
      <c r="D2419" s="65">
        <v>119</v>
      </c>
      <c r="E2419" s="65">
        <v>34</v>
      </c>
    </row>
    <row r="2420" spans="1:5">
      <c r="A2420" s="65">
        <v>63129</v>
      </c>
      <c r="B2420" s="66" t="s">
        <v>4604</v>
      </c>
      <c r="C2420" s="66" t="s">
        <v>6147</v>
      </c>
      <c r="D2420" s="65">
        <v>2</v>
      </c>
      <c r="E2420" s="65">
        <v>1</v>
      </c>
    </row>
    <row r="2421" spans="1:5">
      <c r="A2421" s="65">
        <v>63150</v>
      </c>
      <c r="B2421" s="66" t="s">
        <v>3597</v>
      </c>
      <c r="C2421" s="66" t="s">
        <v>6148</v>
      </c>
      <c r="D2421" s="65">
        <v>2746</v>
      </c>
      <c r="E2421" s="65">
        <v>94</v>
      </c>
    </row>
    <row r="2422" spans="1:5">
      <c r="A2422" s="65">
        <v>63153</v>
      </c>
      <c r="B2422" s="66" t="s">
        <v>3593</v>
      </c>
      <c r="C2422" s="66" t="s">
        <v>6149</v>
      </c>
      <c r="D2422" s="65">
        <v>28</v>
      </c>
      <c r="E2422" s="65">
        <v>8</v>
      </c>
    </row>
    <row r="2423" spans="1:5">
      <c r="A2423" s="65">
        <v>63154</v>
      </c>
      <c r="B2423" s="66" t="s">
        <v>3593</v>
      </c>
      <c r="C2423" s="66" t="s">
        <v>6150</v>
      </c>
      <c r="D2423" s="65">
        <v>20</v>
      </c>
      <c r="E2423" s="65">
        <v>6</v>
      </c>
    </row>
    <row r="2424" spans="1:5">
      <c r="A2424" s="65">
        <v>63155</v>
      </c>
      <c r="B2424" s="66" t="s">
        <v>3593</v>
      </c>
      <c r="C2424" s="66" t="s">
        <v>6151</v>
      </c>
      <c r="D2424" s="65">
        <v>6</v>
      </c>
      <c r="E2424" s="65">
        <v>3</v>
      </c>
    </row>
    <row r="2425" spans="1:5">
      <c r="A2425" s="65">
        <v>63167</v>
      </c>
      <c r="B2425" s="66" t="s">
        <v>3593</v>
      </c>
      <c r="C2425" s="66" t="s">
        <v>6152</v>
      </c>
      <c r="D2425" s="65">
        <v>43</v>
      </c>
      <c r="E2425" s="65">
        <v>15</v>
      </c>
    </row>
    <row r="2426" spans="1:5">
      <c r="A2426" s="65">
        <v>633</v>
      </c>
      <c r="B2426" s="66" t="s">
        <v>3783</v>
      </c>
      <c r="C2426" s="66" t="s">
        <v>6153</v>
      </c>
      <c r="D2426" s="65">
        <v>94</v>
      </c>
      <c r="E2426" s="65">
        <v>29</v>
      </c>
    </row>
    <row r="2427" spans="1:5">
      <c r="A2427" s="65">
        <v>63401</v>
      </c>
      <c r="B2427" s="66" t="s">
        <v>3625</v>
      </c>
      <c r="C2427" s="66" t="s">
        <v>6154</v>
      </c>
      <c r="D2427" s="65">
        <v>2</v>
      </c>
      <c r="E2427" s="65">
        <v>2</v>
      </c>
    </row>
    <row r="2428" spans="1:5">
      <c r="A2428" s="65">
        <v>63423</v>
      </c>
      <c r="B2428" s="66" t="s">
        <v>3597</v>
      </c>
      <c r="C2428" s="66" t="s">
        <v>6155</v>
      </c>
      <c r="D2428" s="65">
        <v>282</v>
      </c>
      <c r="E2428" s="65">
        <v>40</v>
      </c>
    </row>
    <row r="2429" spans="1:5">
      <c r="A2429" s="65">
        <v>63519</v>
      </c>
      <c r="B2429" s="66" t="s">
        <v>5235</v>
      </c>
      <c r="C2429" s="66" t="s">
        <v>6156</v>
      </c>
      <c r="D2429" s="65">
        <v>99</v>
      </c>
      <c r="E2429" s="65">
        <v>15</v>
      </c>
    </row>
    <row r="2430" spans="1:5">
      <c r="A2430" s="65">
        <v>636</v>
      </c>
      <c r="B2430" s="66" t="s">
        <v>3783</v>
      </c>
      <c r="C2430" s="66" t="s">
        <v>6157</v>
      </c>
      <c r="D2430" s="65">
        <v>43</v>
      </c>
      <c r="E2430" s="65">
        <v>15</v>
      </c>
    </row>
    <row r="2431" spans="1:5">
      <c r="A2431" s="65">
        <v>637</v>
      </c>
      <c r="B2431" s="66" t="s">
        <v>3783</v>
      </c>
      <c r="C2431" s="66" t="s">
        <v>6158</v>
      </c>
      <c r="D2431" s="65">
        <v>9</v>
      </c>
      <c r="E2431" s="65">
        <v>4</v>
      </c>
    </row>
    <row r="2432" spans="1:5">
      <c r="A2432" s="65">
        <v>63745</v>
      </c>
      <c r="B2432" s="66" t="s">
        <v>3593</v>
      </c>
      <c r="C2432" s="66" t="s">
        <v>6159</v>
      </c>
      <c r="D2432" s="65">
        <v>168</v>
      </c>
      <c r="E2432" s="65">
        <v>98</v>
      </c>
    </row>
    <row r="2433" spans="1:5">
      <c r="A2433" s="65">
        <v>63746</v>
      </c>
      <c r="B2433" s="66" t="s">
        <v>3593</v>
      </c>
      <c r="C2433" s="66" t="s">
        <v>6160</v>
      </c>
      <c r="D2433" s="65">
        <v>101</v>
      </c>
      <c r="E2433" s="65">
        <v>73</v>
      </c>
    </row>
    <row r="2434" spans="1:5">
      <c r="A2434" s="65">
        <v>63778</v>
      </c>
      <c r="B2434" s="66" t="s">
        <v>3597</v>
      </c>
      <c r="C2434" s="66" t="s">
        <v>6161</v>
      </c>
      <c r="D2434" s="65">
        <v>9391</v>
      </c>
      <c r="E2434" s="65">
        <v>315</v>
      </c>
    </row>
    <row r="2435" spans="1:5">
      <c r="A2435" s="65">
        <v>638</v>
      </c>
      <c r="B2435" s="66" t="s">
        <v>3783</v>
      </c>
      <c r="C2435" s="66" t="s">
        <v>6162</v>
      </c>
      <c r="D2435" s="65">
        <v>36</v>
      </c>
      <c r="E2435" s="65">
        <v>11</v>
      </c>
    </row>
    <row r="2436" spans="1:5">
      <c r="A2436" s="65">
        <v>63853</v>
      </c>
      <c r="B2436" s="66" t="s">
        <v>3593</v>
      </c>
      <c r="C2436" s="66" t="s">
        <v>6163</v>
      </c>
      <c r="D2436" s="65">
        <v>231</v>
      </c>
      <c r="E2436" s="65">
        <v>10</v>
      </c>
    </row>
    <row r="2437" spans="1:5">
      <c r="A2437" s="65">
        <v>63938</v>
      </c>
      <c r="B2437" s="66" t="s">
        <v>3593</v>
      </c>
      <c r="C2437" s="66" t="s">
        <v>6164</v>
      </c>
      <c r="D2437" s="65">
        <v>290</v>
      </c>
      <c r="E2437" s="65">
        <v>11</v>
      </c>
    </row>
    <row r="2438" spans="1:5">
      <c r="A2438" s="65">
        <v>64024</v>
      </c>
      <c r="B2438" s="66" t="s">
        <v>3608</v>
      </c>
      <c r="C2438" s="66" t="s">
        <v>6165</v>
      </c>
      <c r="D2438" s="65">
        <v>12</v>
      </c>
      <c r="E2438" s="65">
        <v>11</v>
      </c>
    </row>
    <row r="2439" spans="1:5">
      <c r="A2439" s="65">
        <v>64418</v>
      </c>
      <c r="B2439" s="66" t="s">
        <v>3627</v>
      </c>
      <c r="C2439" s="66" t="s">
        <v>6166</v>
      </c>
      <c r="D2439" s="65">
        <v>97</v>
      </c>
      <c r="E2439" s="65">
        <v>9</v>
      </c>
    </row>
    <row r="2440" spans="1:5">
      <c r="A2440" s="65">
        <v>64423</v>
      </c>
      <c r="B2440" s="66" t="s">
        <v>3606</v>
      </c>
      <c r="C2440" s="66" t="s">
        <v>6167</v>
      </c>
      <c r="D2440" s="65">
        <v>7</v>
      </c>
      <c r="E2440" s="65">
        <v>7</v>
      </c>
    </row>
    <row r="2441" spans="1:5">
      <c r="A2441" s="65">
        <v>64470</v>
      </c>
      <c r="B2441" s="66" t="s">
        <v>3662</v>
      </c>
      <c r="C2441" s="66" t="s">
        <v>6168</v>
      </c>
      <c r="D2441" s="65">
        <v>9</v>
      </c>
      <c r="E2441" s="65">
        <v>9</v>
      </c>
    </row>
    <row r="2442" spans="1:5">
      <c r="A2442" s="65">
        <v>64491</v>
      </c>
      <c r="B2442" s="66" t="s">
        <v>3593</v>
      </c>
      <c r="C2442" s="66" t="s">
        <v>6169</v>
      </c>
      <c r="D2442" s="65">
        <v>106</v>
      </c>
      <c r="E2442" s="65">
        <v>8</v>
      </c>
    </row>
    <row r="2443" spans="1:5">
      <c r="A2443" s="65">
        <v>64559</v>
      </c>
      <c r="B2443" s="66" t="s">
        <v>3612</v>
      </c>
      <c r="C2443" s="66" t="s">
        <v>6170</v>
      </c>
      <c r="D2443" s="65">
        <v>7</v>
      </c>
      <c r="E2443" s="65">
        <v>6</v>
      </c>
    </row>
    <row r="2444" spans="1:5">
      <c r="A2444" s="65">
        <v>64576</v>
      </c>
      <c r="B2444" s="66" t="s">
        <v>6171</v>
      </c>
      <c r="C2444" s="66" t="s">
        <v>6172</v>
      </c>
      <c r="D2444" s="65">
        <v>2</v>
      </c>
      <c r="E2444" s="65">
        <v>1</v>
      </c>
    </row>
    <row r="2445" spans="1:5">
      <c r="A2445" s="65">
        <v>6469</v>
      </c>
      <c r="B2445" s="66" t="s">
        <v>3593</v>
      </c>
      <c r="C2445" s="66" t="s">
        <v>6173</v>
      </c>
      <c r="D2445" s="65">
        <v>19</v>
      </c>
      <c r="E2445" s="65">
        <v>3</v>
      </c>
    </row>
    <row r="2446" spans="1:5">
      <c r="A2446" s="65">
        <v>648</v>
      </c>
      <c r="B2446" s="66" t="s">
        <v>3597</v>
      </c>
      <c r="C2446" s="66" t="s">
        <v>6174</v>
      </c>
      <c r="D2446" s="65">
        <v>1149</v>
      </c>
      <c r="E2446" s="65">
        <v>116</v>
      </c>
    </row>
    <row r="2447" spans="1:5">
      <c r="A2447" s="65">
        <v>64844</v>
      </c>
      <c r="B2447" s="66" t="s">
        <v>3599</v>
      </c>
      <c r="C2447" s="66" t="s">
        <v>6175</v>
      </c>
      <c r="D2447" s="65">
        <v>16</v>
      </c>
      <c r="E2447" s="65">
        <v>12</v>
      </c>
    </row>
    <row r="2448" spans="1:5">
      <c r="A2448" s="65">
        <v>64887</v>
      </c>
      <c r="B2448" s="66" t="s">
        <v>3597</v>
      </c>
      <c r="C2448" s="66" t="s">
        <v>6176</v>
      </c>
      <c r="D2448" s="65">
        <v>342</v>
      </c>
      <c r="E2448" s="65">
        <v>17</v>
      </c>
    </row>
    <row r="2449" spans="1:5">
      <c r="A2449" s="65">
        <v>64991</v>
      </c>
      <c r="B2449" s="66" t="s">
        <v>3677</v>
      </c>
      <c r="C2449" s="66" t="s">
        <v>6177</v>
      </c>
      <c r="D2449" s="65">
        <v>6</v>
      </c>
      <c r="E2449" s="65">
        <v>1</v>
      </c>
    </row>
    <row r="2450" spans="1:5">
      <c r="A2450" s="65">
        <v>65037</v>
      </c>
      <c r="B2450" s="66" t="s">
        <v>3739</v>
      </c>
      <c r="C2450" s="66" t="s">
        <v>6178</v>
      </c>
      <c r="D2450" s="65">
        <v>620</v>
      </c>
      <c r="E2450" s="65">
        <v>47</v>
      </c>
    </row>
    <row r="2451" spans="1:5">
      <c r="A2451" s="65">
        <v>65061</v>
      </c>
      <c r="B2451" s="66" t="s">
        <v>3667</v>
      </c>
      <c r="C2451" s="66" t="s">
        <v>6179</v>
      </c>
      <c r="D2451" s="65">
        <v>1019</v>
      </c>
      <c r="E2451" s="65">
        <v>100</v>
      </c>
    </row>
    <row r="2452" spans="1:5">
      <c r="A2452" s="65">
        <v>65204</v>
      </c>
      <c r="B2452" s="66" t="s">
        <v>3649</v>
      </c>
      <c r="C2452" s="66" t="s">
        <v>6180</v>
      </c>
      <c r="D2452" s="65">
        <v>83</v>
      </c>
      <c r="E2452" s="65">
        <v>20</v>
      </c>
    </row>
    <row r="2453" spans="1:5">
      <c r="A2453" s="65">
        <v>65257</v>
      </c>
      <c r="B2453" s="66" t="s">
        <v>3677</v>
      </c>
      <c r="C2453" s="66" t="s">
        <v>6181</v>
      </c>
      <c r="D2453" s="65">
        <v>100</v>
      </c>
      <c r="E2453" s="65">
        <v>8</v>
      </c>
    </row>
    <row r="2454" spans="1:5">
      <c r="A2454" s="65">
        <v>65283</v>
      </c>
      <c r="B2454" s="66" t="s">
        <v>3597</v>
      </c>
      <c r="C2454" s="66" t="s">
        <v>6182</v>
      </c>
      <c r="D2454" s="65">
        <v>112</v>
      </c>
      <c r="E2454" s="65">
        <v>82</v>
      </c>
    </row>
    <row r="2455" spans="1:5">
      <c r="A2455" s="65">
        <v>65345</v>
      </c>
      <c r="B2455" s="66" t="s">
        <v>3627</v>
      </c>
      <c r="C2455" s="66" t="s">
        <v>6183</v>
      </c>
      <c r="D2455" s="65">
        <v>3011</v>
      </c>
      <c r="E2455" s="65">
        <v>127</v>
      </c>
    </row>
    <row r="2456" spans="1:5">
      <c r="A2456" s="65">
        <v>6539</v>
      </c>
      <c r="B2456" s="66" t="s">
        <v>6093</v>
      </c>
      <c r="C2456" s="66" t="s">
        <v>6184</v>
      </c>
      <c r="D2456" s="65">
        <v>6</v>
      </c>
      <c r="E2456" s="65">
        <v>1</v>
      </c>
    </row>
    <row r="2457" spans="1:5">
      <c r="A2457" s="65">
        <v>65397</v>
      </c>
      <c r="B2457" s="66" t="s">
        <v>3597</v>
      </c>
      <c r="C2457" s="66" t="s">
        <v>6185</v>
      </c>
      <c r="D2457" s="65">
        <v>368</v>
      </c>
      <c r="E2457" s="65">
        <v>17</v>
      </c>
    </row>
    <row r="2458" spans="1:5">
      <c r="A2458" s="65">
        <v>65580</v>
      </c>
      <c r="B2458" s="66" t="s">
        <v>3772</v>
      </c>
      <c r="C2458" s="66" t="s">
        <v>6186</v>
      </c>
      <c r="D2458" s="65">
        <v>200</v>
      </c>
      <c r="E2458" s="65">
        <v>90</v>
      </c>
    </row>
    <row r="2459" spans="1:5">
      <c r="A2459" s="65">
        <v>65585</v>
      </c>
      <c r="B2459" s="66" t="s">
        <v>3616</v>
      </c>
      <c r="C2459" s="66" t="s">
        <v>6187</v>
      </c>
      <c r="D2459" s="65">
        <v>1398</v>
      </c>
      <c r="E2459" s="65">
        <v>515</v>
      </c>
    </row>
    <row r="2460" spans="1:5">
      <c r="A2460" s="65">
        <v>65803</v>
      </c>
      <c r="B2460" s="66" t="s">
        <v>3667</v>
      </c>
      <c r="C2460" s="66" t="s">
        <v>6188</v>
      </c>
      <c r="D2460" s="65">
        <v>23</v>
      </c>
      <c r="E2460" s="65">
        <v>11</v>
      </c>
    </row>
    <row r="2461" spans="1:5">
      <c r="A2461" s="65">
        <v>659</v>
      </c>
      <c r="B2461" s="66" t="s">
        <v>3597</v>
      </c>
      <c r="C2461" s="66" t="s">
        <v>6189</v>
      </c>
      <c r="D2461" s="65">
        <v>647</v>
      </c>
      <c r="E2461" s="65">
        <v>85</v>
      </c>
    </row>
    <row r="2462" spans="1:5">
      <c r="A2462" s="65">
        <v>660</v>
      </c>
      <c r="B2462" s="66" t="s">
        <v>3597</v>
      </c>
      <c r="C2462" s="66" t="s">
        <v>6190</v>
      </c>
      <c r="D2462" s="65">
        <v>377</v>
      </c>
      <c r="E2462" s="65">
        <v>102</v>
      </c>
    </row>
    <row r="2463" spans="1:5">
      <c r="A2463" s="65">
        <v>661</v>
      </c>
      <c r="B2463" s="66" t="s">
        <v>3597</v>
      </c>
      <c r="C2463" s="66" t="s">
        <v>6191</v>
      </c>
      <c r="D2463" s="65">
        <v>14469</v>
      </c>
      <c r="E2463" s="65">
        <v>197</v>
      </c>
    </row>
    <row r="2464" spans="1:5">
      <c r="A2464" s="65">
        <v>662</v>
      </c>
      <c r="B2464" s="66" t="s">
        <v>4979</v>
      </c>
      <c r="C2464" s="66" t="s">
        <v>6192</v>
      </c>
      <c r="D2464" s="65">
        <v>39</v>
      </c>
      <c r="E2464" s="65">
        <v>21</v>
      </c>
    </row>
    <row r="2465" spans="1:5">
      <c r="A2465" s="65">
        <v>66203</v>
      </c>
      <c r="B2465" s="66" t="s">
        <v>6193</v>
      </c>
      <c r="C2465" s="66" t="s">
        <v>6194</v>
      </c>
      <c r="D2465" s="65">
        <v>10</v>
      </c>
      <c r="E2465" s="65">
        <v>2</v>
      </c>
    </row>
    <row r="2466" spans="1:5">
      <c r="A2466" s="65">
        <v>66441</v>
      </c>
      <c r="B2466" s="66" t="s">
        <v>3614</v>
      </c>
      <c r="C2466" s="66" t="s">
        <v>6195</v>
      </c>
      <c r="D2466" s="65">
        <v>3</v>
      </c>
      <c r="E2466" s="65">
        <v>3</v>
      </c>
    </row>
    <row r="2467" spans="1:5">
      <c r="A2467" s="65">
        <v>6667</v>
      </c>
      <c r="B2467" s="66" t="s">
        <v>3620</v>
      </c>
      <c r="C2467" s="66" t="s">
        <v>6196</v>
      </c>
      <c r="D2467" s="65">
        <v>423</v>
      </c>
      <c r="E2467" s="65">
        <v>13</v>
      </c>
    </row>
    <row r="2468" spans="1:5">
      <c r="A2468" s="65">
        <v>66700</v>
      </c>
      <c r="B2468" s="66" t="s">
        <v>3593</v>
      </c>
      <c r="C2468" s="66" t="s">
        <v>6197</v>
      </c>
      <c r="D2468" s="65">
        <v>3</v>
      </c>
      <c r="E2468" s="65">
        <v>2</v>
      </c>
    </row>
    <row r="2469" spans="1:5">
      <c r="A2469" s="65">
        <v>66739</v>
      </c>
      <c r="B2469" s="66" t="s">
        <v>3731</v>
      </c>
      <c r="C2469" s="66" t="s">
        <v>6198</v>
      </c>
      <c r="D2469" s="65">
        <v>48</v>
      </c>
      <c r="E2469" s="65">
        <v>17</v>
      </c>
    </row>
    <row r="2470" spans="1:5">
      <c r="A2470" s="65">
        <v>66750</v>
      </c>
      <c r="B2470" s="66" t="s">
        <v>3641</v>
      </c>
      <c r="C2470" s="66" t="s">
        <v>6199</v>
      </c>
      <c r="D2470" s="65">
        <v>265</v>
      </c>
      <c r="E2470" s="65">
        <v>26</v>
      </c>
    </row>
    <row r="2471" spans="1:5">
      <c r="A2471" s="65">
        <v>66810</v>
      </c>
      <c r="B2471" s="66" t="s">
        <v>3606</v>
      </c>
      <c r="C2471" s="66" t="s">
        <v>6200</v>
      </c>
      <c r="D2471" s="65">
        <v>183</v>
      </c>
      <c r="E2471" s="65">
        <v>10</v>
      </c>
    </row>
    <row r="2472" spans="1:5">
      <c r="A2472" s="65">
        <v>66943</v>
      </c>
      <c r="B2472" s="66" t="s">
        <v>3597</v>
      </c>
      <c r="C2472" s="66" t="s">
        <v>6201</v>
      </c>
      <c r="D2472" s="65">
        <v>72</v>
      </c>
      <c r="E2472" s="65">
        <v>17</v>
      </c>
    </row>
    <row r="2473" spans="1:5">
      <c r="A2473" s="65">
        <v>66976</v>
      </c>
      <c r="B2473" s="66" t="s">
        <v>3614</v>
      </c>
      <c r="C2473" s="66" t="s">
        <v>6202</v>
      </c>
      <c r="D2473" s="65">
        <v>150</v>
      </c>
      <c r="E2473" s="65">
        <v>3</v>
      </c>
    </row>
    <row r="2474" spans="1:5">
      <c r="A2474" s="65">
        <v>66985</v>
      </c>
      <c r="B2474" s="66" t="s">
        <v>3786</v>
      </c>
      <c r="C2474" s="66" t="s">
        <v>6203</v>
      </c>
      <c r="D2474" s="65">
        <v>13</v>
      </c>
      <c r="E2474" s="65">
        <v>13</v>
      </c>
    </row>
    <row r="2475" spans="1:5">
      <c r="A2475" s="65">
        <v>67072</v>
      </c>
      <c r="B2475" s="66" t="s">
        <v>3876</v>
      </c>
      <c r="C2475" s="66" t="s">
        <v>6204</v>
      </c>
      <c r="D2475" s="65">
        <v>90</v>
      </c>
      <c r="E2475" s="65">
        <v>19</v>
      </c>
    </row>
    <row r="2476" spans="1:5">
      <c r="A2476" s="65">
        <v>67096</v>
      </c>
      <c r="B2476" s="66" t="s">
        <v>3973</v>
      </c>
      <c r="C2476" s="66" t="s">
        <v>6205</v>
      </c>
      <c r="D2476" s="65">
        <v>1</v>
      </c>
      <c r="E2476" s="65">
        <v>1</v>
      </c>
    </row>
    <row r="2477" spans="1:5">
      <c r="A2477" s="65">
        <v>67099</v>
      </c>
      <c r="B2477" s="66" t="s">
        <v>3614</v>
      </c>
      <c r="C2477" s="66" t="s">
        <v>6206</v>
      </c>
      <c r="D2477" s="65">
        <v>6</v>
      </c>
      <c r="E2477" s="65">
        <v>4</v>
      </c>
    </row>
    <row r="2478" spans="1:5">
      <c r="A2478" s="65">
        <v>67238</v>
      </c>
      <c r="B2478" s="66" t="s">
        <v>5794</v>
      </c>
      <c r="C2478" s="66" t="s">
        <v>6207</v>
      </c>
      <c r="D2478" s="65">
        <v>1</v>
      </c>
      <c r="E2478" s="65">
        <v>1</v>
      </c>
    </row>
    <row r="2479" spans="1:5">
      <c r="A2479" s="65">
        <v>6729</v>
      </c>
      <c r="B2479" s="66" t="s">
        <v>4604</v>
      </c>
      <c r="C2479" s="66" t="s">
        <v>6208</v>
      </c>
      <c r="D2479" s="65">
        <v>10</v>
      </c>
      <c r="E2479" s="65">
        <v>1</v>
      </c>
    </row>
    <row r="2480" spans="1:5">
      <c r="A2480" s="65">
        <v>673</v>
      </c>
      <c r="B2480" s="66" t="s">
        <v>4020</v>
      </c>
      <c r="C2480" s="66" t="s">
        <v>6209</v>
      </c>
      <c r="D2480" s="65">
        <v>1</v>
      </c>
      <c r="E2480" s="65">
        <v>1</v>
      </c>
    </row>
    <row r="2481" spans="1:5">
      <c r="A2481" s="65">
        <v>67409</v>
      </c>
      <c r="B2481" s="66" t="s">
        <v>3597</v>
      </c>
      <c r="C2481" s="66" t="s">
        <v>6210</v>
      </c>
      <c r="D2481" s="65">
        <v>44</v>
      </c>
      <c r="E2481" s="65">
        <v>14</v>
      </c>
    </row>
    <row r="2482" spans="1:5">
      <c r="A2482" s="65">
        <v>67410</v>
      </c>
      <c r="B2482" s="66" t="s">
        <v>3597</v>
      </c>
      <c r="C2482" s="66" t="s">
        <v>6211</v>
      </c>
      <c r="D2482" s="65">
        <v>50</v>
      </c>
      <c r="E2482" s="65">
        <v>19</v>
      </c>
    </row>
    <row r="2483" spans="1:5">
      <c r="A2483" s="65">
        <v>67577</v>
      </c>
      <c r="B2483" s="66" t="s">
        <v>3639</v>
      </c>
      <c r="C2483" s="66" t="s">
        <v>6212</v>
      </c>
      <c r="D2483" s="65">
        <v>1669</v>
      </c>
      <c r="E2483" s="65">
        <v>106</v>
      </c>
    </row>
    <row r="2484" spans="1:5">
      <c r="A2484" s="65">
        <v>67670</v>
      </c>
      <c r="B2484" s="66" t="s">
        <v>3597</v>
      </c>
      <c r="C2484" s="66" t="s">
        <v>6213</v>
      </c>
      <c r="D2484" s="65">
        <v>143</v>
      </c>
      <c r="E2484" s="65">
        <v>42</v>
      </c>
    </row>
    <row r="2485" spans="1:5">
      <c r="A2485" s="65">
        <v>67911</v>
      </c>
      <c r="B2485" s="66" t="s">
        <v>3649</v>
      </c>
      <c r="C2485" s="66" t="s">
        <v>6214</v>
      </c>
      <c r="D2485" s="65">
        <v>989</v>
      </c>
      <c r="E2485" s="65">
        <v>105</v>
      </c>
    </row>
    <row r="2486" spans="1:5">
      <c r="A2486" s="65">
        <v>68</v>
      </c>
      <c r="B2486" s="66" t="s">
        <v>3593</v>
      </c>
      <c r="C2486" s="66" t="s">
        <v>6215</v>
      </c>
      <c r="D2486" s="65">
        <v>3136</v>
      </c>
      <c r="E2486" s="65">
        <v>97</v>
      </c>
    </row>
    <row r="2487" spans="1:5">
      <c r="A2487" s="65">
        <v>6827</v>
      </c>
      <c r="B2487" s="66" t="s">
        <v>3643</v>
      </c>
      <c r="C2487" s="66" t="s">
        <v>6216</v>
      </c>
      <c r="D2487" s="65">
        <v>41</v>
      </c>
      <c r="E2487" s="65">
        <v>5</v>
      </c>
    </row>
    <row r="2488" spans="1:5">
      <c r="A2488" s="65">
        <v>6832</v>
      </c>
      <c r="B2488" s="66" t="s">
        <v>3775</v>
      </c>
      <c r="C2488" s="66" t="s">
        <v>6217</v>
      </c>
      <c r="D2488" s="65">
        <v>143</v>
      </c>
      <c r="E2488" s="65">
        <v>9</v>
      </c>
    </row>
    <row r="2489" spans="1:5">
      <c r="A2489" s="65">
        <v>6833</v>
      </c>
      <c r="B2489" s="66" t="s">
        <v>3742</v>
      </c>
      <c r="C2489" s="66" t="s">
        <v>6218</v>
      </c>
      <c r="D2489" s="65">
        <v>64</v>
      </c>
      <c r="E2489" s="65">
        <v>9</v>
      </c>
    </row>
    <row r="2490" spans="1:5">
      <c r="A2490" s="65">
        <v>68408</v>
      </c>
      <c r="B2490" s="66" t="s">
        <v>3904</v>
      </c>
      <c r="C2490" s="66" t="s">
        <v>6219</v>
      </c>
      <c r="D2490" s="65">
        <v>26</v>
      </c>
      <c r="E2490" s="65">
        <v>4</v>
      </c>
    </row>
    <row r="2491" spans="1:5">
      <c r="A2491" s="65">
        <v>6873</v>
      </c>
      <c r="B2491" s="66" t="s">
        <v>3597</v>
      </c>
      <c r="C2491" s="66" t="s">
        <v>6220</v>
      </c>
      <c r="D2491" s="65">
        <v>21</v>
      </c>
      <c r="E2491" s="65">
        <v>6</v>
      </c>
    </row>
    <row r="2492" spans="1:5">
      <c r="A2492" s="65">
        <v>69</v>
      </c>
      <c r="B2492" s="66" t="s">
        <v>3763</v>
      </c>
      <c r="C2492" s="66" t="s">
        <v>6221</v>
      </c>
      <c r="D2492" s="65">
        <v>14</v>
      </c>
      <c r="E2492" s="65">
        <v>2</v>
      </c>
    </row>
    <row r="2493" spans="1:5">
      <c r="A2493" s="65">
        <v>69236</v>
      </c>
      <c r="B2493" s="66" t="s">
        <v>3973</v>
      </c>
      <c r="C2493" s="66" t="s">
        <v>6222</v>
      </c>
      <c r="D2493" s="65">
        <v>10</v>
      </c>
      <c r="E2493" s="65">
        <v>1</v>
      </c>
    </row>
    <row r="2494" spans="1:5">
      <c r="A2494" s="65">
        <v>69237</v>
      </c>
      <c r="B2494" s="66" t="s">
        <v>3593</v>
      </c>
      <c r="C2494" s="66" t="s">
        <v>6223</v>
      </c>
      <c r="D2494" s="65">
        <v>40</v>
      </c>
      <c r="E2494" s="65">
        <v>3</v>
      </c>
    </row>
    <row r="2495" spans="1:5">
      <c r="A2495" s="65">
        <v>693</v>
      </c>
      <c r="B2495" s="66" t="s">
        <v>3597</v>
      </c>
      <c r="C2495" s="66" t="s">
        <v>6224</v>
      </c>
      <c r="D2495" s="65">
        <v>276</v>
      </c>
      <c r="E2495" s="65">
        <v>59</v>
      </c>
    </row>
    <row r="2496" spans="1:5">
      <c r="A2496" s="65">
        <v>6937</v>
      </c>
      <c r="B2496" s="66" t="s">
        <v>5904</v>
      </c>
      <c r="C2496" s="66" t="s">
        <v>6225</v>
      </c>
      <c r="D2496" s="65">
        <v>64</v>
      </c>
      <c r="E2496" s="65">
        <v>7</v>
      </c>
    </row>
    <row r="2497" spans="1:5">
      <c r="A2497" s="65">
        <v>69380</v>
      </c>
      <c r="B2497" s="66" t="s">
        <v>4191</v>
      </c>
      <c r="C2497" s="66" t="s">
        <v>6226</v>
      </c>
      <c r="D2497" s="65">
        <v>107</v>
      </c>
      <c r="E2497" s="65">
        <v>52</v>
      </c>
    </row>
    <row r="2498" spans="1:5">
      <c r="A2498" s="65">
        <v>694</v>
      </c>
      <c r="B2498" s="66" t="s">
        <v>3597</v>
      </c>
      <c r="C2498" s="66" t="s">
        <v>6227</v>
      </c>
      <c r="D2498" s="65">
        <v>525</v>
      </c>
      <c r="E2498" s="65">
        <v>70</v>
      </c>
    </row>
    <row r="2499" spans="1:5">
      <c r="A2499" s="65">
        <v>695</v>
      </c>
      <c r="B2499" s="66" t="s">
        <v>3597</v>
      </c>
      <c r="C2499" s="66" t="s">
        <v>6228</v>
      </c>
      <c r="D2499" s="65">
        <v>408</v>
      </c>
      <c r="E2499" s="65">
        <v>154</v>
      </c>
    </row>
    <row r="2500" spans="1:5">
      <c r="A2500" s="65">
        <v>6965</v>
      </c>
      <c r="B2500" s="66" t="s">
        <v>3820</v>
      </c>
      <c r="C2500" s="66" t="s">
        <v>6229</v>
      </c>
      <c r="D2500" s="65">
        <v>1</v>
      </c>
      <c r="E2500" s="65">
        <v>1</v>
      </c>
    </row>
    <row r="2501" spans="1:5">
      <c r="A2501" s="65">
        <v>698</v>
      </c>
      <c r="B2501" s="66" t="s">
        <v>3643</v>
      </c>
      <c r="C2501" s="66" t="s">
        <v>6230</v>
      </c>
      <c r="D2501" s="65">
        <v>1</v>
      </c>
      <c r="E2501" s="65">
        <v>1</v>
      </c>
    </row>
    <row r="2502" spans="1:5">
      <c r="A2502" s="65">
        <v>699</v>
      </c>
      <c r="B2502" s="66" t="s">
        <v>3601</v>
      </c>
      <c r="C2502" s="66" t="s">
        <v>6231</v>
      </c>
      <c r="D2502" s="65">
        <v>532</v>
      </c>
      <c r="E2502" s="65">
        <v>31</v>
      </c>
    </row>
    <row r="2503" spans="1:5">
      <c r="A2503" s="65">
        <v>7</v>
      </c>
      <c r="B2503" s="66" t="s">
        <v>3643</v>
      </c>
      <c r="C2503" s="66" t="s">
        <v>6232</v>
      </c>
      <c r="D2503" s="65">
        <v>100</v>
      </c>
      <c r="E2503" s="65">
        <v>5</v>
      </c>
    </row>
    <row r="2504" spans="1:5">
      <c r="A2504" s="65">
        <v>700</v>
      </c>
      <c r="B2504" s="66" t="s">
        <v>3627</v>
      </c>
      <c r="C2504" s="66" t="s">
        <v>6233</v>
      </c>
      <c r="D2504" s="65">
        <v>326</v>
      </c>
      <c r="E2504" s="65">
        <v>48</v>
      </c>
    </row>
    <row r="2505" spans="1:5">
      <c r="A2505" s="65">
        <v>70061</v>
      </c>
      <c r="B2505" s="66" t="s">
        <v>3641</v>
      </c>
      <c r="C2505" s="66" t="s">
        <v>6234</v>
      </c>
      <c r="D2505" s="65">
        <v>17</v>
      </c>
      <c r="E2505" s="65">
        <v>5</v>
      </c>
    </row>
    <row r="2506" spans="1:5">
      <c r="A2506" s="65">
        <v>70439</v>
      </c>
      <c r="B2506" s="66" t="s">
        <v>3981</v>
      </c>
      <c r="C2506" s="66" t="s">
        <v>6235</v>
      </c>
      <c r="D2506" s="65">
        <v>16</v>
      </c>
      <c r="E2506" s="65">
        <v>4</v>
      </c>
    </row>
    <row r="2507" spans="1:5">
      <c r="A2507" s="65">
        <v>70442</v>
      </c>
      <c r="B2507" s="66" t="s">
        <v>3625</v>
      </c>
      <c r="C2507" s="66" t="s">
        <v>6236</v>
      </c>
      <c r="D2507" s="65">
        <v>8</v>
      </c>
      <c r="E2507" s="65">
        <v>3</v>
      </c>
    </row>
    <row r="2508" spans="1:5">
      <c r="A2508" s="65">
        <v>70444</v>
      </c>
      <c r="B2508" s="66" t="s">
        <v>3597</v>
      </c>
      <c r="C2508" s="66" t="s">
        <v>6237</v>
      </c>
      <c r="D2508" s="65">
        <v>37</v>
      </c>
      <c r="E2508" s="65">
        <v>19</v>
      </c>
    </row>
    <row r="2509" spans="1:5">
      <c r="A2509" s="65">
        <v>7046</v>
      </c>
      <c r="B2509" s="66" t="s">
        <v>3627</v>
      </c>
      <c r="C2509" s="66" t="s">
        <v>6238</v>
      </c>
      <c r="D2509" s="65">
        <v>56</v>
      </c>
      <c r="E2509" s="65">
        <v>28</v>
      </c>
    </row>
    <row r="2510" spans="1:5">
      <c r="A2510" s="65">
        <v>70613</v>
      </c>
      <c r="B2510" s="66" t="s">
        <v>3593</v>
      </c>
      <c r="C2510" s="66" t="s">
        <v>6239</v>
      </c>
      <c r="D2510" s="65">
        <v>1</v>
      </c>
      <c r="E2510" s="65">
        <v>1</v>
      </c>
    </row>
    <row r="2511" spans="1:5">
      <c r="A2511" s="65">
        <v>70664</v>
      </c>
      <c r="B2511" s="66" t="s">
        <v>3876</v>
      </c>
      <c r="C2511" s="66" t="s">
        <v>6240</v>
      </c>
      <c r="D2511" s="65">
        <v>17</v>
      </c>
      <c r="E2511" s="65">
        <v>7</v>
      </c>
    </row>
    <row r="2512" spans="1:5">
      <c r="A2512" s="65">
        <v>70791</v>
      </c>
      <c r="B2512" s="66" t="s">
        <v>3625</v>
      </c>
      <c r="C2512" s="66" t="s">
        <v>6241</v>
      </c>
      <c r="D2512" s="65">
        <v>5</v>
      </c>
      <c r="E2512" s="65">
        <v>2</v>
      </c>
    </row>
    <row r="2513" spans="1:5">
      <c r="A2513" s="65">
        <v>71002</v>
      </c>
      <c r="B2513" s="66" t="s">
        <v>6093</v>
      </c>
      <c r="C2513" s="66" t="s">
        <v>6242</v>
      </c>
      <c r="D2513" s="65">
        <v>6</v>
      </c>
      <c r="E2513" s="65">
        <v>2</v>
      </c>
    </row>
    <row r="2514" spans="1:5">
      <c r="A2514" s="65">
        <v>71457</v>
      </c>
      <c r="B2514" s="66" t="s">
        <v>3973</v>
      </c>
      <c r="C2514" s="66" t="s">
        <v>6243</v>
      </c>
      <c r="D2514" s="65">
        <v>5</v>
      </c>
      <c r="E2514" s="65">
        <v>3</v>
      </c>
    </row>
    <row r="2515" spans="1:5">
      <c r="A2515" s="65">
        <v>7151</v>
      </c>
      <c r="B2515" s="66" t="s">
        <v>3973</v>
      </c>
      <c r="C2515" s="66" t="s">
        <v>6244</v>
      </c>
      <c r="D2515" s="65">
        <v>21</v>
      </c>
      <c r="E2515" s="65">
        <v>17</v>
      </c>
    </row>
    <row r="2516" spans="1:5">
      <c r="A2516" s="65">
        <v>71771</v>
      </c>
      <c r="B2516" s="66" t="s">
        <v>3775</v>
      </c>
      <c r="C2516" s="66" t="s">
        <v>6245</v>
      </c>
      <c r="D2516" s="65">
        <v>1872</v>
      </c>
      <c r="E2516" s="65">
        <v>126</v>
      </c>
    </row>
    <row r="2517" spans="1:5">
      <c r="A2517" s="65">
        <v>71984</v>
      </c>
      <c r="B2517" s="66" t="s">
        <v>3597</v>
      </c>
      <c r="C2517" s="66" t="s">
        <v>6246</v>
      </c>
      <c r="D2517" s="65">
        <v>99</v>
      </c>
      <c r="E2517" s="65">
        <v>15</v>
      </c>
    </row>
    <row r="2518" spans="1:5">
      <c r="A2518" s="65">
        <v>71987</v>
      </c>
      <c r="B2518" s="66" t="s">
        <v>3597</v>
      </c>
      <c r="C2518" s="66" t="s">
        <v>6247</v>
      </c>
      <c r="D2518" s="65">
        <v>15</v>
      </c>
      <c r="E2518" s="65">
        <v>4</v>
      </c>
    </row>
    <row r="2519" spans="1:5">
      <c r="A2519" s="65">
        <v>72106</v>
      </c>
      <c r="B2519" s="66" t="s">
        <v>3614</v>
      </c>
      <c r="C2519" s="66" t="s">
        <v>6248</v>
      </c>
      <c r="D2519" s="65">
        <v>9</v>
      </c>
      <c r="E2519" s="65">
        <v>5</v>
      </c>
    </row>
    <row r="2520" spans="1:5">
      <c r="A2520" s="65">
        <v>72112</v>
      </c>
      <c r="B2520" s="66" t="s">
        <v>3597</v>
      </c>
      <c r="C2520" s="66" t="s">
        <v>6249</v>
      </c>
      <c r="D2520" s="65">
        <v>1291</v>
      </c>
      <c r="E2520" s="65">
        <v>85</v>
      </c>
    </row>
    <row r="2521" spans="1:5">
      <c r="A2521" s="65">
        <v>7231</v>
      </c>
      <c r="B2521" s="66" t="s">
        <v>3786</v>
      </c>
      <c r="C2521" s="66" t="s">
        <v>6250</v>
      </c>
      <c r="D2521" s="65">
        <v>138</v>
      </c>
      <c r="E2521" s="65">
        <v>15</v>
      </c>
    </row>
    <row r="2522" spans="1:5">
      <c r="A2522" s="65">
        <v>72322</v>
      </c>
      <c r="B2522" s="66" t="s">
        <v>3593</v>
      </c>
      <c r="C2522" s="66" t="s">
        <v>6251</v>
      </c>
      <c r="D2522" s="65">
        <v>44</v>
      </c>
      <c r="E2522" s="65">
        <v>13</v>
      </c>
    </row>
    <row r="2523" spans="1:5">
      <c r="A2523" s="65">
        <v>72354</v>
      </c>
      <c r="B2523" s="66" t="s">
        <v>3677</v>
      </c>
      <c r="C2523" s="66" t="s">
        <v>6252</v>
      </c>
      <c r="D2523" s="65">
        <v>50</v>
      </c>
      <c r="E2523" s="65">
        <v>17</v>
      </c>
    </row>
    <row r="2524" spans="1:5">
      <c r="A2524" s="65">
        <v>726</v>
      </c>
      <c r="B2524" s="66" t="s">
        <v>4580</v>
      </c>
      <c r="C2524" s="66" t="s">
        <v>6253</v>
      </c>
      <c r="D2524" s="65">
        <v>7</v>
      </c>
      <c r="E2524" s="65">
        <v>7</v>
      </c>
    </row>
    <row r="2525" spans="1:5">
      <c r="A2525" s="65">
        <v>72705</v>
      </c>
      <c r="B2525" s="66" t="s">
        <v>3649</v>
      </c>
      <c r="C2525" s="66" t="s">
        <v>6254</v>
      </c>
      <c r="D2525" s="65">
        <v>2</v>
      </c>
      <c r="E2525" s="65">
        <v>1</v>
      </c>
    </row>
    <row r="2526" spans="1:5">
      <c r="A2526" s="65">
        <v>7279</v>
      </c>
      <c r="B2526" s="66" t="s">
        <v>3667</v>
      </c>
      <c r="C2526" s="66" t="s">
        <v>6255</v>
      </c>
      <c r="D2526" s="65">
        <v>4</v>
      </c>
      <c r="E2526" s="65">
        <v>4</v>
      </c>
    </row>
    <row r="2527" spans="1:5">
      <c r="A2527" s="65">
        <v>7280</v>
      </c>
      <c r="B2527" s="66" t="s">
        <v>3820</v>
      </c>
      <c r="C2527" s="66" t="s">
        <v>6256</v>
      </c>
      <c r="D2527" s="65">
        <v>24</v>
      </c>
      <c r="E2527" s="65">
        <v>2</v>
      </c>
    </row>
    <row r="2528" spans="1:5">
      <c r="A2528" s="65">
        <v>72829</v>
      </c>
      <c r="B2528" s="66" t="s">
        <v>4537</v>
      </c>
      <c r="C2528" s="66" t="s">
        <v>6257</v>
      </c>
      <c r="D2528" s="65">
        <v>1</v>
      </c>
      <c r="E2528" s="65">
        <v>1</v>
      </c>
    </row>
    <row r="2529" spans="1:5">
      <c r="A2529" s="65">
        <v>72833</v>
      </c>
      <c r="B2529" s="66" t="s">
        <v>3627</v>
      </c>
      <c r="C2529" s="66" t="s">
        <v>6258</v>
      </c>
      <c r="D2529" s="65">
        <v>21</v>
      </c>
      <c r="E2529" s="65">
        <v>5</v>
      </c>
    </row>
    <row r="2530" spans="1:5">
      <c r="A2530" s="65">
        <v>7284</v>
      </c>
      <c r="B2530" s="66" t="s">
        <v>3595</v>
      </c>
      <c r="C2530" s="66" t="s">
        <v>6259</v>
      </c>
      <c r="D2530" s="65">
        <v>5</v>
      </c>
      <c r="E2530" s="65">
        <v>3</v>
      </c>
    </row>
    <row r="2531" spans="1:5">
      <c r="A2531" s="65">
        <v>7288</v>
      </c>
      <c r="B2531" s="66" t="s">
        <v>3820</v>
      </c>
      <c r="C2531" s="66" t="s">
        <v>6260</v>
      </c>
      <c r="D2531" s="65">
        <v>2</v>
      </c>
      <c r="E2531" s="65">
        <v>1</v>
      </c>
    </row>
    <row r="2532" spans="1:5">
      <c r="A2532" s="65">
        <v>72893</v>
      </c>
      <c r="B2532" s="66" t="s">
        <v>3593</v>
      </c>
      <c r="C2532" s="66" t="s">
        <v>6261</v>
      </c>
      <c r="D2532" s="65">
        <v>6516</v>
      </c>
      <c r="E2532" s="65">
        <v>182</v>
      </c>
    </row>
    <row r="2533" spans="1:5">
      <c r="A2533" s="65">
        <v>7292</v>
      </c>
      <c r="B2533" s="66" t="s">
        <v>3606</v>
      </c>
      <c r="C2533" s="66" t="s">
        <v>6262</v>
      </c>
      <c r="D2533" s="65">
        <v>7</v>
      </c>
      <c r="E2533" s="65">
        <v>3</v>
      </c>
    </row>
    <row r="2534" spans="1:5">
      <c r="A2534" s="65">
        <v>72923</v>
      </c>
      <c r="B2534" s="66" t="s">
        <v>3970</v>
      </c>
      <c r="C2534" s="66" t="s">
        <v>6263</v>
      </c>
      <c r="D2534" s="65">
        <v>8</v>
      </c>
      <c r="E2534" s="65">
        <v>3</v>
      </c>
    </row>
    <row r="2535" spans="1:5">
      <c r="A2535" s="65">
        <v>7297</v>
      </c>
      <c r="B2535" s="66" t="s">
        <v>3597</v>
      </c>
      <c r="C2535" s="66" t="s">
        <v>6264</v>
      </c>
      <c r="D2535" s="65">
        <v>142</v>
      </c>
      <c r="E2535" s="65">
        <v>12</v>
      </c>
    </row>
    <row r="2536" spans="1:5">
      <c r="A2536" s="65">
        <v>73001</v>
      </c>
      <c r="B2536" s="66" t="s">
        <v>3625</v>
      </c>
      <c r="C2536" s="66" t="s">
        <v>6265</v>
      </c>
      <c r="D2536" s="65">
        <v>7</v>
      </c>
      <c r="E2536" s="65">
        <v>3</v>
      </c>
    </row>
    <row r="2537" spans="1:5">
      <c r="A2537" s="65">
        <v>73220</v>
      </c>
      <c r="B2537" s="66" t="s">
        <v>4326</v>
      </c>
      <c r="C2537" s="66" t="s">
        <v>6266</v>
      </c>
      <c r="D2537" s="65">
        <v>2</v>
      </c>
      <c r="E2537" s="65">
        <v>1</v>
      </c>
    </row>
    <row r="2538" spans="1:5">
      <c r="A2538" s="65">
        <v>73225</v>
      </c>
      <c r="B2538" s="66" t="s">
        <v>4191</v>
      </c>
      <c r="C2538" s="66" t="s">
        <v>6267</v>
      </c>
      <c r="D2538" s="65">
        <v>168</v>
      </c>
      <c r="E2538" s="65">
        <v>72</v>
      </c>
    </row>
    <row r="2539" spans="1:5">
      <c r="A2539" s="65">
        <v>73226</v>
      </c>
      <c r="B2539" s="66" t="s">
        <v>4059</v>
      </c>
      <c r="C2539" s="66" t="s">
        <v>6268</v>
      </c>
      <c r="D2539" s="65">
        <v>3</v>
      </c>
      <c r="E2539" s="65">
        <v>3</v>
      </c>
    </row>
    <row r="2540" spans="1:5">
      <c r="A2540" s="65">
        <v>73227</v>
      </c>
      <c r="B2540" s="66" t="s">
        <v>3646</v>
      </c>
      <c r="C2540" s="66" t="s">
        <v>6269</v>
      </c>
      <c r="D2540" s="65">
        <v>15</v>
      </c>
      <c r="E2540" s="65">
        <v>13</v>
      </c>
    </row>
    <row r="2541" spans="1:5">
      <c r="A2541" s="65">
        <v>73228</v>
      </c>
      <c r="B2541" s="66" t="s">
        <v>3667</v>
      </c>
      <c r="C2541" s="66" t="s">
        <v>6270</v>
      </c>
      <c r="D2541" s="65">
        <v>733</v>
      </c>
      <c r="E2541" s="65">
        <v>123</v>
      </c>
    </row>
    <row r="2542" spans="1:5">
      <c r="A2542" s="65">
        <v>73243</v>
      </c>
      <c r="B2542" s="66" t="s">
        <v>3639</v>
      </c>
      <c r="C2542" s="66" t="s">
        <v>6271</v>
      </c>
      <c r="D2542" s="65">
        <v>44</v>
      </c>
      <c r="E2542" s="65">
        <v>6</v>
      </c>
    </row>
    <row r="2543" spans="1:5">
      <c r="A2543" s="65">
        <v>73244</v>
      </c>
      <c r="B2543" s="66" t="s">
        <v>4326</v>
      </c>
      <c r="C2543" s="66" t="s">
        <v>6272</v>
      </c>
      <c r="D2543" s="65">
        <v>5</v>
      </c>
      <c r="E2543" s="65">
        <v>1</v>
      </c>
    </row>
    <row r="2544" spans="1:5">
      <c r="A2544" s="65">
        <v>7326</v>
      </c>
      <c r="B2544" s="66" t="s">
        <v>3614</v>
      </c>
      <c r="C2544" s="66" t="s">
        <v>6273</v>
      </c>
      <c r="D2544" s="65">
        <v>324</v>
      </c>
      <c r="E2544" s="65">
        <v>24</v>
      </c>
    </row>
    <row r="2545" spans="1:5">
      <c r="A2545" s="65">
        <v>73308</v>
      </c>
      <c r="B2545" s="66" t="s">
        <v>3625</v>
      </c>
      <c r="C2545" s="66" t="s">
        <v>4577</v>
      </c>
      <c r="D2545" s="65">
        <v>5</v>
      </c>
      <c r="E2545" s="65">
        <v>4</v>
      </c>
    </row>
    <row r="2546" spans="1:5">
      <c r="A2546" s="65">
        <v>73340</v>
      </c>
      <c r="B2546" s="66" t="s">
        <v>3777</v>
      </c>
      <c r="C2546" s="66" t="s">
        <v>6274</v>
      </c>
      <c r="D2546" s="65">
        <v>1</v>
      </c>
      <c r="E2546" s="65">
        <v>1</v>
      </c>
    </row>
    <row r="2547" spans="1:5">
      <c r="A2547" s="65">
        <v>73343</v>
      </c>
      <c r="B2547" s="66" t="s">
        <v>3777</v>
      </c>
      <c r="C2547" s="66" t="s">
        <v>6275</v>
      </c>
      <c r="D2547" s="65">
        <v>1</v>
      </c>
      <c r="E2547" s="65">
        <v>1</v>
      </c>
    </row>
    <row r="2548" spans="1:5">
      <c r="A2548" s="65">
        <v>73351</v>
      </c>
      <c r="B2548" s="66" t="s">
        <v>3731</v>
      </c>
      <c r="C2548" s="66" t="s">
        <v>6276</v>
      </c>
      <c r="D2548" s="65">
        <v>11</v>
      </c>
      <c r="E2548" s="65">
        <v>9</v>
      </c>
    </row>
    <row r="2549" spans="1:5">
      <c r="A2549" s="65">
        <v>73353</v>
      </c>
      <c r="B2549" s="66" t="s">
        <v>3639</v>
      </c>
      <c r="C2549" s="66" t="s">
        <v>6277</v>
      </c>
      <c r="D2549" s="65">
        <v>14</v>
      </c>
      <c r="E2549" s="65">
        <v>7</v>
      </c>
    </row>
    <row r="2550" spans="1:5">
      <c r="A2550" s="65">
        <v>73462</v>
      </c>
      <c r="B2550" s="66" t="s">
        <v>3601</v>
      </c>
      <c r="C2550" s="66" t="s">
        <v>6278</v>
      </c>
      <c r="D2550" s="65">
        <v>24</v>
      </c>
      <c r="E2550" s="65">
        <v>5</v>
      </c>
    </row>
    <row r="2551" spans="1:5">
      <c r="A2551" s="65">
        <v>7348</v>
      </c>
      <c r="B2551" s="66" t="s">
        <v>3612</v>
      </c>
      <c r="C2551" s="66" t="s">
        <v>6279</v>
      </c>
      <c r="D2551" s="65">
        <v>46</v>
      </c>
      <c r="E2551" s="65">
        <v>21</v>
      </c>
    </row>
    <row r="2552" spans="1:5">
      <c r="A2552" s="65">
        <v>7350</v>
      </c>
      <c r="B2552" s="66" t="s">
        <v>3667</v>
      </c>
      <c r="C2552" s="66" t="s">
        <v>6280</v>
      </c>
      <c r="D2552" s="65">
        <v>48</v>
      </c>
      <c r="E2552" s="65">
        <v>7</v>
      </c>
    </row>
    <row r="2553" spans="1:5">
      <c r="A2553" s="65">
        <v>7372</v>
      </c>
      <c r="B2553" s="66" t="s">
        <v>4317</v>
      </c>
      <c r="C2553" s="66" t="s">
        <v>6281</v>
      </c>
      <c r="D2553" s="65">
        <v>4</v>
      </c>
      <c r="E2553" s="65">
        <v>3</v>
      </c>
    </row>
    <row r="2554" spans="1:5">
      <c r="A2554" s="65">
        <v>7373</v>
      </c>
      <c r="B2554" s="66" t="s">
        <v>4317</v>
      </c>
      <c r="C2554" s="66" t="s">
        <v>6282</v>
      </c>
      <c r="D2554" s="65">
        <v>3</v>
      </c>
      <c r="E2554" s="65">
        <v>3</v>
      </c>
    </row>
    <row r="2555" spans="1:5">
      <c r="A2555" s="65">
        <v>7378</v>
      </c>
      <c r="B2555" s="66" t="s">
        <v>3599</v>
      </c>
      <c r="C2555" s="66" t="s">
        <v>6283</v>
      </c>
      <c r="D2555" s="65">
        <v>15</v>
      </c>
      <c r="E2555" s="65">
        <v>5</v>
      </c>
    </row>
    <row r="2556" spans="1:5">
      <c r="A2556" s="65">
        <v>73851</v>
      </c>
      <c r="B2556" s="66" t="s">
        <v>3643</v>
      </c>
      <c r="C2556" s="66" t="s">
        <v>6284</v>
      </c>
      <c r="D2556" s="65">
        <v>10</v>
      </c>
      <c r="E2556" s="65">
        <v>6</v>
      </c>
    </row>
    <row r="2557" spans="1:5">
      <c r="A2557" s="65">
        <v>73874</v>
      </c>
      <c r="B2557" s="66" t="s">
        <v>3593</v>
      </c>
      <c r="C2557" s="66" t="s">
        <v>6285</v>
      </c>
      <c r="D2557" s="65">
        <v>31</v>
      </c>
      <c r="E2557" s="65">
        <v>5</v>
      </c>
    </row>
    <row r="2558" spans="1:5">
      <c r="A2558" s="65">
        <v>73964</v>
      </c>
      <c r="B2558" s="66" t="s">
        <v>3616</v>
      </c>
      <c r="C2558" s="66" t="s">
        <v>6286</v>
      </c>
      <c r="D2558" s="65">
        <v>11968</v>
      </c>
      <c r="E2558" s="65">
        <v>489</v>
      </c>
    </row>
    <row r="2559" spans="1:5">
      <c r="A2559" s="65">
        <v>73965</v>
      </c>
      <c r="B2559" s="66" t="s">
        <v>3616</v>
      </c>
      <c r="C2559" s="66" t="s">
        <v>6287</v>
      </c>
      <c r="D2559" s="65">
        <v>3309</v>
      </c>
      <c r="E2559" s="65">
        <v>333</v>
      </c>
    </row>
    <row r="2560" spans="1:5">
      <c r="A2560" s="65">
        <v>73966</v>
      </c>
      <c r="B2560" s="66" t="s">
        <v>3616</v>
      </c>
      <c r="C2560" s="66" t="s">
        <v>6288</v>
      </c>
      <c r="D2560" s="65">
        <v>8135</v>
      </c>
      <c r="E2560" s="65">
        <v>360</v>
      </c>
    </row>
    <row r="2561" spans="1:5">
      <c r="A2561" s="65">
        <v>73967</v>
      </c>
      <c r="B2561" s="66" t="s">
        <v>6289</v>
      </c>
      <c r="C2561" s="66" t="s">
        <v>6290</v>
      </c>
      <c r="D2561" s="65">
        <v>1</v>
      </c>
      <c r="E2561" s="65">
        <v>1</v>
      </c>
    </row>
    <row r="2562" spans="1:5">
      <c r="A2562" s="65">
        <v>73968</v>
      </c>
      <c r="B2562" s="66" t="s">
        <v>3614</v>
      </c>
      <c r="C2562" s="66" t="s">
        <v>6291</v>
      </c>
      <c r="D2562" s="65">
        <v>96</v>
      </c>
      <c r="E2562" s="65">
        <v>7</v>
      </c>
    </row>
    <row r="2563" spans="1:5">
      <c r="A2563" s="65">
        <v>7399</v>
      </c>
      <c r="B2563" s="66" t="s">
        <v>4791</v>
      </c>
      <c r="C2563" s="66" t="s">
        <v>6292</v>
      </c>
      <c r="D2563" s="65">
        <v>2</v>
      </c>
      <c r="E2563" s="65">
        <v>1</v>
      </c>
    </row>
    <row r="2564" spans="1:5">
      <c r="A2564" s="65">
        <v>74032</v>
      </c>
      <c r="B2564" s="66" t="s">
        <v>3973</v>
      </c>
      <c r="C2564" s="66" t="s">
        <v>6293</v>
      </c>
      <c r="D2564" s="65">
        <v>5</v>
      </c>
      <c r="E2564" s="65">
        <v>2</v>
      </c>
    </row>
    <row r="2565" spans="1:5">
      <c r="A2565" s="65">
        <v>74060</v>
      </c>
      <c r="B2565" s="66" t="s">
        <v>3783</v>
      </c>
      <c r="C2565" s="66" t="s">
        <v>6294</v>
      </c>
      <c r="D2565" s="65">
        <v>23</v>
      </c>
      <c r="E2565" s="65">
        <v>7</v>
      </c>
    </row>
    <row r="2566" spans="1:5">
      <c r="A2566" s="65">
        <v>74068</v>
      </c>
      <c r="B2566" s="66" t="s">
        <v>3894</v>
      </c>
      <c r="C2566" s="66" t="s">
        <v>6295</v>
      </c>
      <c r="D2566" s="65">
        <v>372</v>
      </c>
      <c r="E2566" s="65">
        <v>14</v>
      </c>
    </row>
    <row r="2567" spans="1:5">
      <c r="A2567" s="65">
        <v>7411</v>
      </c>
      <c r="B2567" s="66" t="s">
        <v>3775</v>
      </c>
      <c r="C2567" s="66" t="s">
        <v>6296</v>
      </c>
      <c r="D2567" s="65">
        <v>130</v>
      </c>
      <c r="E2567" s="65">
        <v>10</v>
      </c>
    </row>
    <row r="2568" spans="1:5">
      <c r="A2568" s="65">
        <v>7419</v>
      </c>
      <c r="B2568" s="66" t="s">
        <v>3639</v>
      </c>
      <c r="C2568" s="66" t="s">
        <v>6297</v>
      </c>
      <c r="D2568" s="65">
        <v>4</v>
      </c>
      <c r="E2568" s="65">
        <v>1</v>
      </c>
    </row>
    <row r="2569" spans="1:5">
      <c r="A2569" s="65">
        <v>74241</v>
      </c>
      <c r="B2569" s="66" t="s">
        <v>3616</v>
      </c>
      <c r="C2569" s="66" t="s">
        <v>6298</v>
      </c>
      <c r="D2569" s="65">
        <v>53</v>
      </c>
      <c r="E2569" s="65">
        <v>3</v>
      </c>
    </row>
    <row r="2570" spans="1:5">
      <c r="A2570" s="65">
        <v>74333</v>
      </c>
      <c r="B2570" s="66" t="s">
        <v>3643</v>
      </c>
      <c r="C2570" s="66" t="s">
        <v>4092</v>
      </c>
      <c r="D2570" s="65">
        <v>13</v>
      </c>
      <c r="E2570" s="65">
        <v>6</v>
      </c>
    </row>
    <row r="2571" spans="1:5">
      <c r="A2571" s="65">
        <v>744</v>
      </c>
      <c r="B2571" s="66" t="s">
        <v>5831</v>
      </c>
      <c r="C2571" s="66" t="s">
        <v>6299</v>
      </c>
      <c r="D2571" s="65">
        <v>8</v>
      </c>
      <c r="E2571" s="65">
        <v>3</v>
      </c>
    </row>
    <row r="2572" spans="1:5">
      <c r="A2572" s="65">
        <v>74434</v>
      </c>
      <c r="B2572" s="66" t="s">
        <v>3597</v>
      </c>
      <c r="C2572" s="66" t="s">
        <v>6300</v>
      </c>
      <c r="D2572" s="65">
        <v>859</v>
      </c>
      <c r="E2572" s="65">
        <v>11</v>
      </c>
    </row>
    <row r="2573" spans="1:5">
      <c r="A2573" s="65">
        <v>74538</v>
      </c>
      <c r="B2573" s="66" t="s">
        <v>4610</v>
      </c>
      <c r="C2573" s="66" t="s">
        <v>6301</v>
      </c>
      <c r="D2573" s="65">
        <v>1</v>
      </c>
      <c r="E2573" s="65">
        <v>1</v>
      </c>
    </row>
    <row r="2574" spans="1:5">
      <c r="A2574" s="65">
        <v>74572</v>
      </c>
      <c r="B2574" s="66" t="s">
        <v>4972</v>
      </c>
      <c r="C2574" s="66" t="s">
        <v>6302</v>
      </c>
      <c r="D2574" s="65">
        <v>16</v>
      </c>
      <c r="E2574" s="65">
        <v>1</v>
      </c>
    </row>
    <row r="2575" spans="1:5">
      <c r="A2575" s="65">
        <v>74603</v>
      </c>
      <c r="B2575" s="66" t="s">
        <v>3667</v>
      </c>
      <c r="C2575" s="66" t="s">
        <v>6303</v>
      </c>
      <c r="D2575" s="65">
        <v>19</v>
      </c>
      <c r="E2575" s="65">
        <v>9</v>
      </c>
    </row>
    <row r="2576" spans="1:5">
      <c r="A2576" s="65">
        <v>7463</v>
      </c>
      <c r="B2576" s="66" t="s">
        <v>3876</v>
      </c>
      <c r="C2576" s="66" t="s">
        <v>6304</v>
      </c>
      <c r="D2576" s="65">
        <v>18</v>
      </c>
      <c r="E2576" s="65">
        <v>2</v>
      </c>
    </row>
    <row r="2577" spans="1:5">
      <c r="A2577" s="65">
        <v>7487</v>
      </c>
      <c r="B2577" s="66" t="s">
        <v>3597</v>
      </c>
      <c r="C2577" s="66" t="s">
        <v>6305</v>
      </c>
      <c r="D2577" s="65">
        <v>901</v>
      </c>
      <c r="E2577" s="65">
        <v>54</v>
      </c>
    </row>
    <row r="2578" spans="1:5">
      <c r="A2578" s="65">
        <v>7494</v>
      </c>
      <c r="B2578" s="66" t="s">
        <v>3649</v>
      </c>
      <c r="C2578" s="66" t="s">
        <v>6306</v>
      </c>
      <c r="D2578" s="65">
        <v>9</v>
      </c>
      <c r="E2578" s="65">
        <v>8</v>
      </c>
    </row>
    <row r="2579" spans="1:5">
      <c r="A2579" s="65">
        <v>7502</v>
      </c>
      <c r="B2579" s="66" t="s">
        <v>3731</v>
      </c>
      <c r="C2579" s="66" t="s">
        <v>6307</v>
      </c>
      <c r="D2579" s="65">
        <v>280</v>
      </c>
      <c r="E2579" s="65">
        <v>32</v>
      </c>
    </row>
    <row r="2580" spans="1:5">
      <c r="A2580" s="65">
        <v>75537</v>
      </c>
      <c r="B2580" s="66" t="s">
        <v>3662</v>
      </c>
      <c r="C2580" s="66" t="s">
        <v>6308</v>
      </c>
      <c r="D2580" s="65">
        <v>2</v>
      </c>
      <c r="E2580" s="65">
        <v>2</v>
      </c>
    </row>
    <row r="2581" spans="1:5">
      <c r="A2581" s="65">
        <v>758</v>
      </c>
      <c r="B2581" s="66" t="s">
        <v>3783</v>
      </c>
      <c r="C2581" s="66" t="s">
        <v>6309</v>
      </c>
      <c r="D2581" s="65">
        <v>66</v>
      </c>
      <c r="E2581" s="65">
        <v>28</v>
      </c>
    </row>
    <row r="2582" spans="1:5">
      <c r="A2582" s="65">
        <v>759</v>
      </c>
      <c r="B2582" s="66" t="s">
        <v>3689</v>
      </c>
      <c r="C2582" s="66" t="s">
        <v>6310</v>
      </c>
      <c r="D2582" s="65">
        <v>2</v>
      </c>
      <c r="E2582" s="65">
        <v>2</v>
      </c>
    </row>
    <row r="2583" spans="1:5">
      <c r="A2583" s="65">
        <v>76</v>
      </c>
      <c r="B2583" s="66" t="s">
        <v>5904</v>
      </c>
      <c r="C2583" s="66" t="s">
        <v>6311</v>
      </c>
      <c r="D2583" s="65">
        <v>13</v>
      </c>
      <c r="E2583" s="65">
        <v>5</v>
      </c>
    </row>
    <row r="2584" spans="1:5">
      <c r="A2584" s="65">
        <v>763</v>
      </c>
      <c r="B2584" s="66" t="s">
        <v>3593</v>
      </c>
      <c r="C2584" s="66" t="s">
        <v>6312</v>
      </c>
      <c r="D2584" s="65">
        <v>52</v>
      </c>
      <c r="E2584" s="65">
        <v>33</v>
      </c>
    </row>
    <row r="2585" spans="1:5">
      <c r="A2585" s="65">
        <v>7634</v>
      </c>
      <c r="B2585" s="66" t="s">
        <v>3597</v>
      </c>
      <c r="C2585" s="66" t="s">
        <v>6313</v>
      </c>
      <c r="D2585" s="65">
        <v>45</v>
      </c>
      <c r="E2585" s="65">
        <v>7</v>
      </c>
    </row>
    <row r="2586" spans="1:5">
      <c r="A2586" s="65">
        <v>7636</v>
      </c>
      <c r="B2586" s="66" t="s">
        <v>4610</v>
      </c>
      <c r="C2586" s="66" t="s">
        <v>6314</v>
      </c>
      <c r="D2586" s="65">
        <v>11</v>
      </c>
      <c r="E2586" s="65">
        <v>2</v>
      </c>
    </row>
    <row r="2587" spans="1:5">
      <c r="A2587" s="65">
        <v>765</v>
      </c>
      <c r="B2587" s="66" t="s">
        <v>3620</v>
      </c>
      <c r="C2587" s="66" t="s">
        <v>6315</v>
      </c>
      <c r="D2587" s="65">
        <v>6</v>
      </c>
      <c r="E2587" s="65">
        <v>6</v>
      </c>
    </row>
    <row r="2588" spans="1:5">
      <c r="A2588" s="65">
        <v>76507</v>
      </c>
      <c r="B2588" s="66" t="s">
        <v>3747</v>
      </c>
      <c r="C2588" s="66" t="s">
        <v>4278</v>
      </c>
      <c r="D2588" s="65">
        <v>3</v>
      </c>
      <c r="E2588" s="65">
        <v>3</v>
      </c>
    </row>
    <row r="2589" spans="1:5">
      <c r="A2589" s="65">
        <v>76795</v>
      </c>
      <c r="B2589" s="66" t="s">
        <v>3593</v>
      </c>
      <c r="C2589" s="66" t="s">
        <v>6316</v>
      </c>
      <c r="D2589" s="65">
        <v>164</v>
      </c>
      <c r="E2589" s="65">
        <v>9</v>
      </c>
    </row>
    <row r="2590" spans="1:5">
      <c r="A2590" s="65">
        <v>76806</v>
      </c>
      <c r="B2590" s="66" t="s">
        <v>3625</v>
      </c>
      <c r="C2590" s="66" t="s">
        <v>6317</v>
      </c>
      <c r="D2590" s="65">
        <v>6</v>
      </c>
      <c r="E2590" s="65">
        <v>2</v>
      </c>
    </row>
    <row r="2591" spans="1:5">
      <c r="A2591" s="65">
        <v>76808</v>
      </c>
      <c r="B2591" s="66" t="s">
        <v>3625</v>
      </c>
      <c r="C2591" s="66" t="s">
        <v>6318</v>
      </c>
      <c r="D2591" s="65">
        <v>2</v>
      </c>
      <c r="E2591" s="65">
        <v>1</v>
      </c>
    </row>
    <row r="2592" spans="1:5">
      <c r="A2592" s="65">
        <v>76826</v>
      </c>
      <c r="B2592" s="66" t="s">
        <v>3625</v>
      </c>
      <c r="C2592" s="66" t="s">
        <v>6319</v>
      </c>
      <c r="D2592" s="65">
        <v>1</v>
      </c>
      <c r="E2592" s="65">
        <v>1</v>
      </c>
    </row>
    <row r="2593" spans="1:5">
      <c r="A2593" s="65">
        <v>76893</v>
      </c>
      <c r="B2593" s="66" t="s">
        <v>3649</v>
      </c>
      <c r="C2593" s="66" t="s">
        <v>6320</v>
      </c>
      <c r="D2593" s="65">
        <v>26</v>
      </c>
      <c r="E2593" s="65">
        <v>15</v>
      </c>
    </row>
    <row r="2594" spans="1:5">
      <c r="A2594" s="65">
        <v>77</v>
      </c>
      <c r="B2594" s="66" t="s">
        <v>3608</v>
      </c>
      <c r="C2594" s="66" t="s">
        <v>6321</v>
      </c>
      <c r="D2594" s="65">
        <v>110</v>
      </c>
      <c r="E2594" s="65">
        <v>40</v>
      </c>
    </row>
    <row r="2595" spans="1:5">
      <c r="A2595" s="65">
        <v>77022</v>
      </c>
      <c r="B2595" s="66" t="s">
        <v>3597</v>
      </c>
      <c r="C2595" s="66" t="s">
        <v>6322</v>
      </c>
      <c r="D2595" s="65">
        <v>22</v>
      </c>
      <c r="E2595" s="65">
        <v>2</v>
      </c>
    </row>
    <row r="2596" spans="1:5">
      <c r="A2596" s="65">
        <v>77267</v>
      </c>
      <c r="B2596" s="66" t="s">
        <v>3599</v>
      </c>
      <c r="C2596" s="66" t="s">
        <v>6323</v>
      </c>
      <c r="D2596" s="65">
        <v>39</v>
      </c>
      <c r="E2596" s="65">
        <v>32</v>
      </c>
    </row>
    <row r="2597" spans="1:5">
      <c r="A2597" s="65">
        <v>77270</v>
      </c>
      <c r="B2597" s="66" t="s">
        <v>3597</v>
      </c>
      <c r="C2597" s="66" t="s">
        <v>6324</v>
      </c>
      <c r="D2597" s="65">
        <v>315</v>
      </c>
      <c r="E2597" s="65">
        <v>18</v>
      </c>
    </row>
    <row r="2598" spans="1:5">
      <c r="A2598" s="65">
        <v>77271</v>
      </c>
      <c r="B2598" s="66" t="s">
        <v>3597</v>
      </c>
      <c r="C2598" s="66" t="s">
        <v>6325</v>
      </c>
      <c r="D2598" s="65">
        <v>30</v>
      </c>
      <c r="E2598" s="65">
        <v>2</v>
      </c>
    </row>
    <row r="2599" spans="1:5">
      <c r="A2599" s="65">
        <v>77272</v>
      </c>
      <c r="B2599" s="66" t="s">
        <v>3597</v>
      </c>
      <c r="C2599" s="66" t="s">
        <v>6326</v>
      </c>
      <c r="D2599" s="65">
        <v>120</v>
      </c>
      <c r="E2599" s="65">
        <v>14</v>
      </c>
    </row>
    <row r="2600" spans="1:5">
      <c r="A2600" s="65">
        <v>77273</v>
      </c>
      <c r="B2600" s="66" t="s">
        <v>3627</v>
      </c>
      <c r="C2600" s="66" t="s">
        <v>6327</v>
      </c>
      <c r="D2600" s="65">
        <v>55</v>
      </c>
      <c r="E2600" s="65">
        <v>5</v>
      </c>
    </row>
    <row r="2601" spans="1:5">
      <c r="A2601" s="65">
        <v>77274</v>
      </c>
      <c r="B2601" s="66" t="s">
        <v>3641</v>
      </c>
      <c r="C2601" s="66" t="s">
        <v>6328</v>
      </c>
      <c r="D2601" s="65">
        <v>35</v>
      </c>
      <c r="E2601" s="65">
        <v>3</v>
      </c>
    </row>
    <row r="2602" spans="1:5">
      <c r="A2602" s="65">
        <v>773</v>
      </c>
      <c r="B2602" s="66" t="s">
        <v>3601</v>
      </c>
      <c r="C2602" s="66" t="s">
        <v>6329</v>
      </c>
      <c r="D2602" s="65">
        <v>6</v>
      </c>
      <c r="E2602" s="65">
        <v>5</v>
      </c>
    </row>
    <row r="2603" spans="1:5">
      <c r="A2603" s="65">
        <v>77307</v>
      </c>
      <c r="B2603" s="66" t="s">
        <v>3593</v>
      </c>
      <c r="C2603" s="66" t="s">
        <v>6330</v>
      </c>
      <c r="D2603" s="65">
        <v>173</v>
      </c>
      <c r="E2603" s="65">
        <v>5</v>
      </c>
    </row>
    <row r="2604" spans="1:5">
      <c r="A2604" s="65">
        <v>77334</v>
      </c>
      <c r="B2604" s="66" t="s">
        <v>3876</v>
      </c>
      <c r="C2604" s="66" t="s">
        <v>6331</v>
      </c>
      <c r="D2604" s="65">
        <v>1</v>
      </c>
      <c r="E2604" s="65">
        <v>1</v>
      </c>
    </row>
    <row r="2605" spans="1:5">
      <c r="A2605" s="65">
        <v>7759</v>
      </c>
      <c r="B2605" s="66" t="s">
        <v>3777</v>
      </c>
      <c r="C2605" s="66" t="s">
        <v>6332</v>
      </c>
      <c r="D2605" s="65">
        <v>70</v>
      </c>
      <c r="E2605" s="65">
        <v>3</v>
      </c>
    </row>
    <row r="2606" spans="1:5">
      <c r="A2606" s="65">
        <v>77641</v>
      </c>
      <c r="B2606" s="66" t="s">
        <v>3763</v>
      </c>
      <c r="C2606" s="66" t="s">
        <v>6333</v>
      </c>
      <c r="D2606" s="65">
        <v>47</v>
      </c>
      <c r="E2606" s="65">
        <v>4</v>
      </c>
    </row>
    <row r="2607" spans="1:5">
      <c r="A2607" s="65">
        <v>7770</v>
      </c>
      <c r="B2607" s="66" t="s">
        <v>3593</v>
      </c>
      <c r="C2607" s="66" t="s">
        <v>6334</v>
      </c>
      <c r="D2607" s="65">
        <v>37</v>
      </c>
      <c r="E2607" s="65">
        <v>34</v>
      </c>
    </row>
    <row r="2608" spans="1:5">
      <c r="A2608" s="65">
        <v>77908</v>
      </c>
      <c r="B2608" s="66" t="s">
        <v>3804</v>
      </c>
      <c r="C2608" s="66" t="s">
        <v>6335</v>
      </c>
      <c r="D2608" s="65">
        <v>110</v>
      </c>
      <c r="E2608" s="65">
        <v>5</v>
      </c>
    </row>
    <row r="2609" spans="1:5">
      <c r="A2609" s="65">
        <v>77911</v>
      </c>
      <c r="B2609" s="66" t="s">
        <v>3804</v>
      </c>
      <c r="C2609" s="66" t="s">
        <v>6336</v>
      </c>
      <c r="D2609" s="65">
        <v>40</v>
      </c>
      <c r="E2609" s="65">
        <v>4</v>
      </c>
    </row>
    <row r="2610" spans="1:5">
      <c r="A2610" s="65">
        <v>7800</v>
      </c>
      <c r="B2610" s="66" t="s">
        <v>3786</v>
      </c>
      <c r="C2610" s="66" t="s">
        <v>6337</v>
      </c>
      <c r="D2610" s="65">
        <v>2</v>
      </c>
      <c r="E2610" s="65">
        <v>2</v>
      </c>
    </row>
    <row r="2611" spans="1:5">
      <c r="A2611" s="65">
        <v>7814</v>
      </c>
      <c r="B2611" s="66" t="s">
        <v>3597</v>
      </c>
      <c r="C2611" s="66" t="s">
        <v>6338</v>
      </c>
      <c r="D2611" s="65">
        <v>4537</v>
      </c>
      <c r="E2611" s="65">
        <v>54</v>
      </c>
    </row>
    <row r="2612" spans="1:5">
      <c r="A2612" s="65">
        <v>7826</v>
      </c>
      <c r="B2612" s="66" t="s">
        <v>3749</v>
      </c>
      <c r="C2612" s="66" t="s">
        <v>6339</v>
      </c>
      <c r="D2612" s="65">
        <v>20</v>
      </c>
      <c r="E2612" s="65">
        <v>1</v>
      </c>
    </row>
    <row r="2613" spans="1:5">
      <c r="A2613" s="65">
        <v>78262</v>
      </c>
      <c r="B2613" s="66" t="s">
        <v>3820</v>
      </c>
      <c r="C2613" s="66" t="s">
        <v>6340</v>
      </c>
      <c r="D2613" s="65">
        <v>2</v>
      </c>
      <c r="E2613" s="65">
        <v>2</v>
      </c>
    </row>
    <row r="2614" spans="1:5">
      <c r="A2614" s="65">
        <v>78281</v>
      </c>
      <c r="B2614" s="66" t="s">
        <v>4253</v>
      </c>
      <c r="C2614" s="66" t="s">
        <v>6341</v>
      </c>
      <c r="D2614" s="65">
        <v>5</v>
      </c>
      <c r="E2614" s="65">
        <v>1</v>
      </c>
    </row>
    <row r="2615" spans="1:5">
      <c r="A2615" s="65">
        <v>78284</v>
      </c>
      <c r="B2615" s="66" t="s">
        <v>3635</v>
      </c>
      <c r="C2615" s="66" t="s">
        <v>5334</v>
      </c>
      <c r="D2615" s="65">
        <v>10</v>
      </c>
      <c r="E2615" s="65">
        <v>1</v>
      </c>
    </row>
    <row r="2616" spans="1:5">
      <c r="A2616" s="65">
        <v>7834</v>
      </c>
      <c r="B2616" s="66" t="s">
        <v>4268</v>
      </c>
      <c r="C2616" s="66" t="s">
        <v>6342</v>
      </c>
      <c r="D2616" s="65">
        <v>13</v>
      </c>
      <c r="E2616" s="65">
        <v>3</v>
      </c>
    </row>
    <row r="2617" spans="1:5">
      <c r="A2617" s="65">
        <v>78426</v>
      </c>
      <c r="B2617" s="66" t="s">
        <v>3804</v>
      </c>
      <c r="C2617" s="66" t="s">
        <v>6343</v>
      </c>
      <c r="D2617" s="65">
        <v>10</v>
      </c>
      <c r="E2617" s="65">
        <v>1</v>
      </c>
    </row>
    <row r="2618" spans="1:5">
      <c r="A2618" s="65">
        <v>78462</v>
      </c>
      <c r="B2618" s="66" t="s">
        <v>3639</v>
      </c>
      <c r="C2618" s="66" t="s">
        <v>6344</v>
      </c>
      <c r="D2618" s="65">
        <v>335</v>
      </c>
      <c r="E2618" s="65">
        <v>15</v>
      </c>
    </row>
    <row r="2619" spans="1:5">
      <c r="A2619" s="65">
        <v>78468</v>
      </c>
      <c r="B2619" s="66" t="s">
        <v>4197</v>
      </c>
      <c r="C2619" s="66" t="s">
        <v>6345</v>
      </c>
      <c r="D2619" s="65">
        <v>647</v>
      </c>
      <c r="E2619" s="65">
        <v>22</v>
      </c>
    </row>
    <row r="2620" spans="1:5">
      <c r="A2620" s="65">
        <v>78475</v>
      </c>
      <c r="B2620" s="66" t="s">
        <v>3804</v>
      </c>
      <c r="C2620" s="66" t="s">
        <v>6346</v>
      </c>
      <c r="D2620" s="65">
        <v>1</v>
      </c>
      <c r="E2620" s="65">
        <v>1</v>
      </c>
    </row>
    <row r="2621" spans="1:5">
      <c r="A2621" s="65">
        <v>78496</v>
      </c>
      <c r="B2621" s="66" t="s">
        <v>3804</v>
      </c>
      <c r="C2621" s="66" t="s">
        <v>6347</v>
      </c>
      <c r="D2621" s="65">
        <v>44</v>
      </c>
      <c r="E2621" s="65">
        <v>5</v>
      </c>
    </row>
    <row r="2622" spans="1:5">
      <c r="A2622" s="65">
        <v>78497</v>
      </c>
      <c r="B2622" s="66" t="s">
        <v>3804</v>
      </c>
      <c r="C2622" s="66" t="s">
        <v>6348</v>
      </c>
      <c r="D2622" s="65">
        <v>15</v>
      </c>
      <c r="E2622" s="65">
        <v>1</v>
      </c>
    </row>
    <row r="2623" spans="1:5">
      <c r="A2623" s="65">
        <v>78499</v>
      </c>
      <c r="B2623" s="66" t="s">
        <v>3804</v>
      </c>
      <c r="C2623" s="66" t="s">
        <v>6349</v>
      </c>
      <c r="D2623" s="65">
        <v>265</v>
      </c>
      <c r="E2623" s="65">
        <v>14</v>
      </c>
    </row>
    <row r="2624" spans="1:5">
      <c r="A2624" s="65">
        <v>78504</v>
      </c>
      <c r="B2624" s="66" t="s">
        <v>3804</v>
      </c>
      <c r="C2624" s="66" t="s">
        <v>6350</v>
      </c>
      <c r="D2624" s="65">
        <v>11</v>
      </c>
      <c r="E2624" s="65">
        <v>7</v>
      </c>
    </row>
    <row r="2625" spans="1:5">
      <c r="A2625" s="65">
        <v>78505</v>
      </c>
      <c r="B2625" s="66" t="s">
        <v>3629</v>
      </c>
      <c r="C2625" s="66" t="s">
        <v>6351</v>
      </c>
      <c r="D2625" s="65">
        <v>6</v>
      </c>
      <c r="E2625" s="65">
        <v>4</v>
      </c>
    </row>
    <row r="2626" spans="1:5">
      <c r="A2626" s="65">
        <v>78513</v>
      </c>
      <c r="B2626" s="66" t="s">
        <v>3804</v>
      </c>
      <c r="C2626" s="66" t="s">
        <v>6352</v>
      </c>
      <c r="D2626" s="65">
        <v>36</v>
      </c>
      <c r="E2626" s="65">
        <v>4</v>
      </c>
    </row>
    <row r="2627" spans="1:5">
      <c r="A2627" s="65">
        <v>786</v>
      </c>
      <c r="B2627" s="66" t="s">
        <v>3593</v>
      </c>
      <c r="C2627" s="66" t="s">
        <v>6353</v>
      </c>
      <c r="D2627" s="65">
        <v>554</v>
      </c>
      <c r="E2627" s="65">
        <v>17</v>
      </c>
    </row>
    <row r="2628" spans="1:5">
      <c r="A2628" s="65">
        <v>78887</v>
      </c>
      <c r="B2628" s="66" t="s">
        <v>3747</v>
      </c>
      <c r="C2628" s="66" t="s">
        <v>6354</v>
      </c>
      <c r="D2628" s="65">
        <v>37</v>
      </c>
      <c r="E2628" s="65">
        <v>7</v>
      </c>
    </row>
    <row r="2629" spans="1:5">
      <c r="A2629" s="65">
        <v>7896</v>
      </c>
      <c r="B2629" s="66" t="s">
        <v>3665</v>
      </c>
      <c r="C2629" s="66" t="s">
        <v>6355</v>
      </c>
      <c r="D2629" s="65">
        <v>7</v>
      </c>
      <c r="E2629" s="65">
        <v>3</v>
      </c>
    </row>
    <row r="2630" spans="1:5">
      <c r="A2630" s="65">
        <v>7897</v>
      </c>
      <c r="B2630" s="66" t="s">
        <v>3665</v>
      </c>
      <c r="C2630" s="66" t="s">
        <v>6356</v>
      </c>
      <c r="D2630" s="65">
        <v>13</v>
      </c>
      <c r="E2630" s="65">
        <v>3</v>
      </c>
    </row>
    <row r="2631" spans="1:5">
      <c r="A2631" s="65">
        <v>79</v>
      </c>
      <c r="B2631" s="66" t="s">
        <v>3608</v>
      </c>
      <c r="C2631" s="66" t="s">
        <v>6357</v>
      </c>
      <c r="D2631" s="65">
        <v>534</v>
      </c>
      <c r="E2631" s="65">
        <v>56</v>
      </c>
    </row>
    <row r="2632" spans="1:5">
      <c r="A2632" s="65">
        <v>79021</v>
      </c>
      <c r="B2632" s="66" t="s">
        <v>3614</v>
      </c>
      <c r="C2632" s="66" t="s">
        <v>6358</v>
      </c>
      <c r="D2632" s="65">
        <v>36</v>
      </c>
      <c r="E2632" s="65">
        <v>6</v>
      </c>
    </row>
    <row r="2633" spans="1:5">
      <c r="A2633" s="65">
        <v>79038</v>
      </c>
      <c r="B2633" s="66" t="s">
        <v>3689</v>
      </c>
      <c r="C2633" s="66" t="s">
        <v>6359</v>
      </c>
      <c r="D2633" s="65">
        <v>3</v>
      </c>
      <c r="E2633" s="65">
        <v>2</v>
      </c>
    </row>
    <row r="2634" spans="1:5">
      <c r="A2634" s="65">
        <v>79058</v>
      </c>
      <c r="B2634" s="66" t="s">
        <v>3612</v>
      </c>
      <c r="C2634" s="66" t="s">
        <v>6360</v>
      </c>
      <c r="D2634" s="65">
        <v>4</v>
      </c>
      <c r="E2634" s="65">
        <v>3</v>
      </c>
    </row>
    <row r="2635" spans="1:5">
      <c r="A2635" s="65">
        <v>79061</v>
      </c>
      <c r="B2635" s="66" t="s">
        <v>3593</v>
      </c>
      <c r="C2635" s="66" t="s">
        <v>6361</v>
      </c>
      <c r="D2635" s="65">
        <v>992</v>
      </c>
      <c r="E2635" s="65">
        <v>77</v>
      </c>
    </row>
    <row r="2636" spans="1:5">
      <c r="A2636" s="65">
        <v>79183</v>
      </c>
      <c r="B2636" s="66" t="s">
        <v>3597</v>
      </c>
      <c r="C2636" s="66" t="s">
        <v>6362</v>
      </c>
      <c r="D2636" s="65">
        <v>172</v>
      </c>
      <c r="E2636" s="65">
        <v>11</v>
      </c>
    </row>
    <row r="2637" spans="1:5">
      <c r="A2637" s="65">
        <v>79187</v>
      </c>
      <c r="B2637" s="66" t="s">
        <v>3614</v>
      </c>
      <c r="C2637" s="66" t="s">
        <v>6363</v>
      </c>
      <c r="D2637" s="65">
        <v>54</v>
      </c>
      <c r="E2637" s="65">
        <v>5</v>
      </c>
    </row>
    <row r="2638" spans="1:5">
      <c r="A2638" s="65">
        <v>79400</v>
      </c>
      <c r="B2638" s="66" t="s">
        <v>3804</v>
      </c>
      <c r="C2638" s="66" t="s">
        <v>6364</v>
      </c>
      <c r="D2638" s="65">
        <v>40</v>
      </c>
      <c r="E2638" s="65">
        <v>6</v>
      </c>
    </row>
    <row r="2639" spans="1:5">
      <c r="A2639" s="65">
        <v>79402</v>
      </c>
      <c r="B2639" s="66" t="s">
        <v>3786</v>
      </c>
      <c r="C2639" s="66" t="s">
        <v>6365</v>
      </c>
      <c r="D2639" s="65">
        <v>5</v>
      </c>
      <c r="E2639" s="65">
        <v>1</v>
      </c>
    </row>
    <row r="2640" spans="1:5">
      <c r="A2640" s="65">
        <v>79403</v>
      </c>
      <c r="B2640" s="66" t="s">
        <v>3786</v>
      </c>
      <c r="C2640" s="66" t="s">
        <v>6366</v>
      </c>
      <c r="D2640" s="65">
        <v>219</v>
      </c>
      <c r="E2640" s="65">
        <v>11</v>
      </c>
    </row>
    <row r="2641" spans="1:5">
      <c r="A2641" s="65">
        <v>79427</v>
      </c>
      <c r="B2641" s="66" t="s">
        <v>3593</v>
      </c>
      <c r="C2641" s="66" t="s">
        <v>6367</v>
      </c>
      <c r="D2641" s="65">
        <v>24</v>
      </c>
      <c r="E2641" s="65">
        <v>2</v>
      </c>
    </row>
    <row r="2642" spans="1:5">
      <c r="A2642" s="65">
        <v>79428</v>
      </c>
      <c r="B2642" s="66" t="s">
        <v>3606</v>
      </c>
      <c r="C2642" s="66" t="s">
        <v>6368</v>
      </c>
      <c r="D2642" s="65">
        <v>380</v>
      </c>
      <c r="E2642" s="65">
        <v>24</v>
      </c>
    </row>
    <row r="2643" spans="1:5">
      <c r="A2643" s="65">
        <v>79448</v>
      </c>
      <c r="B2643" s="66" t="s">
        <v>3804</v>
      </c>
      <c r="C2643" s="66" t="s">
        <v>6369</v>
      </c>
      <c r="D2643" s="65">
        <v>10</v>
      </c>
      <c r="E2643" s="65">
        <v>9</v>
      </c>
    </row>
    <row r="2644" spans="1:5">
      <c r="A2644" s="65">
        <v>79501</v>
      </c>
      <c r="B2644" s="66" t="s">
        <v>3627</v>
      </c>
      <c r="C2644" s="66" t="s">
        <v>6370</v>
      </c>
      <c r="D2644" s="65">
        <v>42</v>
      </c>
      <c r="E2644" s="65">
        <v>8</v>
      </c>
    </row>
    <row r="2645" spans="1:5">
      <c r="A2645" s="65">
        <v>79504</v>
      </c>
      <c r="B2645" s="66" t="s">
        <v>3667</v>
      </c>
      <c r="C2645" s="66" t="s">
        <v>6371</v>
      </c>
      <c r="D2645" s="65">
        <v>27</v>
      </c>
      <c r="E2645" s="65">
        <v>12</v>
      </c>
    </row>
    <row r="2646" spans="1:5">
      <c r="A2646" s="65">
        <v>79514</v>
      </c>
      <c r="B2646" s="66" t="s">
        <v>4191</v>
      </c>
      <c r="C2646" s="66" t="s">
        <v>6372</v>
      </c>
      <c r="D2646" s="65">
        <v>245</v>
      </c>
      <c r="E2646" s="65">
        <v>13</v>
      </c>
    </row>
    <row r="2647" spans="1:5">
      <c r="A2647" s="65">
        <v>79893</v>
      </c>
      <c r="B2647" s="66" t="s">
        <v>3876</v>
      </c>
      <c r="C2647" s="66" t="s">
        <v>6373</v>
      </c>
      <c r="D2647" s="65">
        <v>16</v>
      </c>
      <c r="E2647" s="65">
        <v>3</v>
      </c>
    </row>
    <row r="2648" spans="1:5">
      <c r="A2648" s="65">
        <v>79910</v>
      </c>
      <c r="B2648" s="66" t="s">
        <v>3627</v>
      </c>
      <c r="C2648" s="66" t="s">
        <v>6374</v>
      </c>
      <c r="D2648" s="65">
        <v>297</v>
      </c>
      <c r="E2648" s="65">
        <v>33</v>
      </c>
    </row>
    <row r="2649" spans="1:5">
      <c r="A2649" s="65">
        <v>79984</v>
      </c>
      <c r="B2649" s="66" t="s">
        <v>4191</v>
      </c>
      <c r="C2649" s="66" t="s">
        <v>6375</v>
      </c>
      <c r="D2649" s="65">
        <v>104</v>
      </c>
      <c r="E2649" s="65">
        <v>44</v>
      </c>
    </row>
    <row r="2650" spans="1:5">
      <c r="A2650" s="65">
        <v>79989</v>
      </c>
      <c r="B2650" s="66" t="s">
        <v>3627</v>
      </c>
      <c r="C2650" s="66" t="s">
        <v>6376</v>
      </c>
      <c r="D2650" s="65">
        <v>15</v>
      </c>
      <c r="E2650" s="65">
        <v>9</v>
      </c>
    </row>
    <row r="2651" spans="1:5">
      <c r="A2651" s="65">
        <v>80</v>
      </c>
      <c r="B2651" s="66" t="s">
        <v>4175</v>
      </c>
      <c r="C2651" s="66" t="s">
        <v>5778</v>
      </c>
      <c r="D2651" s="65">
        <v>1</v>
      </c>
      <c r="E2651" s="65">
        <v>1</v>
      </c>
    </row>
    <row r="2652" spans="1:5">
      <c r="A2652" s="65">
        <v>8001</v>
      </c>
      <c r="B2652" s="66" t="s">
        <v>3649</v>
      </c>
      <c r="C2652" s="66" t="s">
        <v>6377</v>
      </c>
      <c r="D2652" s="65">
        <v>1</v>
      </c>
      <c r="E2652" s="65">
        <v>1</v>
      </c>
    </row>
    <row r="2653" spans="1:5">
      <c r="A2653" s="65">
        <v>8014</v>
      </c>
      <c r="B2653" s="66" t="s">
        <v>3627</v>
      </c>
      <c r="C2653" s="66" t="s">
        <v>6378</v>
      </c>
      <c r="D2653" s="65">
        <v>1</v>
      </c>
      <c r="E2653" s="65">
        <v>1</v>
      </c>
    </row>
    <row r="2654" spans="1:5">
      <c r="A2654" s="65">
        <v>804</v>
      </c>
      <c r="B2654" s="66" t="s">
        <v>3783</v>
      </c>
      <c r="C2654" s="66" t="s">
        <v>6379</v>
      </c>
      <c r="D2654" s="65">
        <v>283</v>
      </c>
      <c r="E2654" s="65">
        <v>41</v>
      </c>
    </row>
    <row r="2655" spans="1:5">
      <c r="A2655" s="65">
        <v>80419</v>
      </c>
      <c r="B2655" s="66" t="s">
        <v>3593</v>
      </c>
      <c r="C2655" s="66" t="s">
        <v>6380</v>
      </c>
      <c r="D2655" s="65">
        <v>235</v>
      </c>
      <c r="E2655" s="65">
        <v>22</v>
      </c>
    </row>
    <row r="2656" spans="1:5">
      <c r="A2656" s="65">
        <v>80420</v>
      </c>
      <c r="B2656" s="66" t="s">
        <v>3777</v>
      </c>
      <c r="C2656" s="66" t="s">
        <v>6381</v>
      </c>
      <c r="D2656" s="65">
        <v>35</v>
      </c>
      <c r="E2656" s="65">
        <v>7</v>
      </c>
    </row>
    <row r="2657" spans="1:5">
      <c r="A2657" s="65">
        <v>80423</v>
      </c>
      <c r="B2657" s="66" t="s">
        <v>3731</v>
      </c>
      <c r="C2657" s="66" t="s">
        <v>6382</v>
      </c>
      <c r="D2657" s="65">
        <v>27</v>
      </c>
      <c r="E2657" s="65">
        <v>24</v>
      </c>
    </row>
    <row r="2658" spans="1:5">
      <c r="A2658" s="65">
        <v>8054</v>
      </c>
      <c r="B2658" s="66" t="s">
        <v>4317</v>
      </c>
      <c r="C2658" s="66" t="s">
        <v>6383</v>
      </c>
      <c r="D2658" s="65">
        <v>1</v>
      </c>
      <c r="E2658" s="65">
        <v>1</v>
      </c>
    </row>
    <row r="2659" spans="1:5">
      <c r="A2659" s="65">
        <v>80739</v>
      </c>
      <c r="B2659" s="66" t="s">
        <v>3593</v>
      </c>
      <c r="C2659" s="66" t="s">
        <v>6384</v>
      </c>
      <c r="D2659" s="65">
        <v>58</v>
      </c>
      <c r="E2659" s="65">
        <v>11</v>
      </c>
    </row>
    <row r="2660" spans="1:5">
      <c r="A2660" s="65">
        <v>80750</v>
      </c>
      <c r="B2660" s="66" t="s">
        <v>5307</v>
      </c>
      <c r="C2660" s="66" t="s">
        <v>6385</v>
      </c>
      <c r="D2660" s="65">
        <v>1</v>
      </c>
      <c r="E2660" s="65">
        <v>1</v>
      </c>
    </row>
    <row r="2661" spans="1:5">
      <c r="A2661" s="65">
        <v>80793</v>
      </c>
      <c r="B2661" s="66" t="s">
        <v>3649</v>
      </c>
      <c r="C2661" s="66" t="s">
        <v>6386</v>
      </c>
      <c r="D2661" s="65">
        <v>10</v>
      </c>
      <c r="E2661" s="65">
        <v>9</v>
      </c>
    </row>
    <row r="2662" spans="1:5">
      <c r="A2662" s="65">
        <v>80828</v>
      </c>
      <c r="B2662" s="66" t="s">
        <v>3641</v>
      </c>
      <c r="C2662" s="66" t="s">
        <v>6387</v>
      </c>
      <c r="D2662" s="65">
        <v>3</v>
      </c>
      <c r="E2662" s="65">
        <v>1</v>
      </c>
    </row>
    <row r="2663" spans="1:5">
      <c r="A2663" s="65">
        <v>80839</v>
      </c>
      <c r="B2663" s="66" t="s">
        <v>3593</v>
      </c>
      <c r="C2663" s="66" t="s">
        <v>6388</v>
      </c>
      <c r="D2663" s="65">
        <v>72</v>
      </c>
      <c r="E2663" s="65">
        <v>10</v>
      </c>
    </row>
    <row r="2664" spans="1:5">
      <c r="A2664" s="65">
        <v>80941</v>
      </c>
      <c r="B2664" s="66" t="s">
        <v>3772</v>
      </c>
      <c r="C2664" s="66" t="s">
        <v>6389</v>
      </c>
      <c r="D2664" s="65">
        <v>138</v>
      </c>
      <c r="E2664" s="65">
        <v>24</v>
      </c>
    </row>
    <row r="2665" spans="1:5">
      <c r="A2665" s="65">
        <v>81</v>
      </c>
      <c r="B2665" s="66" t="s">
        <v>3643</v>
      </c>
      <c r="C2665" s="66" t="s">
        <v>6390</v>
      </c>
      <c r="D2665" s="65">
        <v>7</v>
      </c>
      <c r="E2665" s="65">
        <v>7</v>
      </c>
    </row>
    <row r="2666" spans="1:5">
      <c r="A2666" s="65">
        <v>81030</v>
      </c>
      <c r="B2666" s="66" t="s">
        <v>3625</v>
      </c>
      <c r="C2666" s="66" t="s">
        <v>6391</v>
      </c>
      <c r="D2666" s="65">
        <v>4</v>
      </c>
      <c r="E2666" s="65">
        <v>3</v>
      </c>
    </row>
    <row r="2667" spans="1:5">
      <c r="A2667" s="65">
        <v>81031</v>
      </c>
      <c r="B2667" s="66" t="s">
        <v>3606</v>
      </c>
      <c r="C2667" s="66" t="s">
        <v>6392</v>
      </c>
      <c r="D2667" s="65">
        <v>2</v>
      </c>
      <c r="E2667" s="65">
        <v>2</v>
      </c>
    </row>
    <row r="2668" spans="1:5">
      <c r="A2668" s="65">
        <v>81032</v>
      </c>
      <c r="B2668" s="66" t="s">
        <v>3662</v>
      </c>
      <c r="C2668" s="66" t="s">
        <v>6393</v>
      </c>
      <c r="D2668" s="65">
        <v>11</v>
      </c>
      <c r="E2668" s="65">
        <v>4</v>
      </c>
    </row>
    <row r="2669" spans="1:5">
      <c r="A2669" s="65">
        <v>81130</v>
      </c>
      <c r="B2669" s="66" t="s">
        <v>3597</v>
      </c>
      <c r="C2669" s="66" t="s">
        <v>6394</v>
      </c>
      <c r="D2669" s="65">
        <v>71</v>
      </c>
      <c r="E2669" s="65">
        <v>29</v>
      </c>
    </row>
    <row r="2670" spans="1:5">
      <c r="A2670" s="65">
        <v>81131</v>
      </c>
      <c r="B2670" s="66" t="s">
        <v>3635</v>
      </c>
      <c r="C2670" s="66" t="s">
        <v>6395</v>
      </c>
      <c r="D2670" s="65">
        <v>80</v>
      </c>
      <c r="E2670" s="65">
        <v>2</v>
      </c>
    </row>
    <row r="2671" spans="1:5">
      <c r="A2671" s="65">
        <v>81252</v>
      </c>
      <c r="B2671" s="66" t="s">
        <v>3616</v>
      </c>
      <c r="C2671" s="66" t="s">
        <v>6396</v>
      </c>
      <c r="D2671" s="65">
        <v>4333</v>
      </c>
      <c r="E2671" s="65">
        <v>221</v>
      </c>
    </row>
    <row r="2672" spans="1:5">
      <c r="A2672" s="65">
        <v>8154</v>
      </c>
      <c r="B2672" s="66" t="s">
        <v>3662</v>
      </c>
      <c r="C2672" s="66" t="s">
        <v>6397</v>
      </c>
      <c r="D2672" s="65">
        <v>15</v>
      </c>
      <c r="E2672" s="65">
        <v>1</v>
      </c>
    </row>
    <row r="2673" spans="1:5">
      <c r="A2673" s="65">
        <v>81709</v>
      </c>
      <c r="B2673" s="66" t="s">
        <v>3593</v>
      </c>
      <c r="C2673" s="66" t="s">
        <v>6398</v>
      </c>
      <c r="D2673" s="65">
        <v>18</v>
      </c>
      <c r="E2673" s="65">
        <v>7</v>
      </c>
    </row>
    <row r="2674" spans="1:5">
      <c r="A2674" s="65">
        <v>82</v>
      </c>
      <c r="B2674" s="66" t="s">
        <v>3601</v>
      </c>
      <c r="C2674" s="66" t="s">
        <v>6399</v>
      </c>
      <c r="D2674" s="65">
        <v>73</v>
      </c>
      <c r="E2674" s="65">
        <v>41</v>
      </c>
    </row>
    <row r="2675" spans="1:5">
      <c r="A2675" s="65">
        <v>820</v>
      </c>
      <c r="B2675" s="66" t="s">
        <v>4610</v>
      </c>
      <c r="C2675" s="66" t="s">
        <v>6400</v>
      </c>
      <c r="D2675" s="65">
        <v>24</v>
      </c>
      <c r="E2675" s="65">
        <v>2</v>
      </c>
    </row>
    <row r="2676" spans="1:5">
      <c r="A2676" s="65">
        <v>82113</v>
      </c>
      <c r="B2676" s="66" t="s">
        <v>3904</v>
      </c>
      <c r="C2676" s="66" t="s">
        <v>6401</v>
      </c>
      <c r="D2676" s="65">
        <v>8</v>
      </c>
      <c r="E2676" s="65">
        <v>5</v>
      </c>
    </row>
    <row r="2677" spans="1:5">
      <c r="A2677" s="65">
        <v>82148</v>
      </c>
      <c r="B2677" s="66" t="s">
        <v>4791</v>
      </c>
      <c r="C2677" s="66" t="s">
        <v>6402</v>
      </c>
      <c r="D2677" s="65">
        <v>1</v>
      </c>
      <c r="E2677" s="65">
        <v>1</v>
      </c>
    </row>
    <row r="2678" spans="1:5">
      <c r="A2678" s="65">
        <v>823</v>
      </c>
      <c r="B2678" s="66" t="s">
        <v>3643</v>
      </c>
      <c r="C2678" s="66" t="s">
        <v>6403</v>
      </c>
      <c r="D2678" s="65">
        <v>3</v>
      </c>
      <c r="E2678" s="65">
        <v>2</v>
      </c>
    </row>
    <row r="2679" spans="1:5">
      <c r="A2679" s="65">
        <v>82337</v>
      </c>
      <c r="B2679" s="66" t="s">
        <v>3606</v>
      </c>
      <c r="C2679" s="66" t="s">
        <v>6404</v>
      </c>
      <c r="D2679" s="65">
        <v>21</v>
      </c>
      <c r="E2679" s="65">
        <v>6</v>
      </c>
    </row>
    <row r="2680" spans="1:5">
      <c r="A2680" s="65">
        <v>82352</v>
      </c>
      <c r="B2680" s="66" t="s">
        <v>3616</v>
      </c>
      <c r="C2680" s="66" t="s">
        <v>6405</v>
      </c>
      <c r="D2680" s="65">
        <v>28</v>
      </c>
      <c r="E2680" s="65">
        <v>16</v>
      </c>
    </row>
    <row r="2681" spans="1:5">
      <c r="A2681" s="65">
        <v>82370</v>
      </c>
      <c r="B2681" s="66" t="s">
        <v>3876</v>
      </c>
      <c r="C2681" s="66" t="s">
        <v>6406</v>
      </c>
      <c r="D2681" s="65">
        <v>8</v>
      </c>
      <c r="E2681" s="65">
        <v>7</v>
      </c>
    </row>
    <row r="2682" spans="1:5">
      <c r="A2682" s="65">
        <v>82390</v>
      </c>
      <c r="B2682" s="66" t="s">
        <v>3597</v>
      </c>
      <c r="C2682" s="66" t="s">
        <v>6407</v>
      </c>
      <c r="D2682" s="65">
        <v>539</v>
      </c>
      <c r="E2682" s="65">
        <v>57</v>
      </c>
    </row>
    <row r="2683" spans="1:5">
      <c r="A2683" s="65">
        <v>82391</v>
      </c>
      <c r="B2683" s="66" t="s">
        <v>3597</v>
      </c>
      <c r="C2683" s="66" t="s">
        <v>6408</v>
      </c>
      <c r="D2683" s="65">
        <v>534</v>
      </c>
      <c r="E2683" s="65">
        <v>54</v>
      </c>
    </row>
    <row r="2684" spans="1:5">
      <c r="A2684" s="65">
        <v>82430</v>
      </c>
      <c r="B2684" s="66" t="s">
        <v>3627</v>
      </c>
      <c r="C2684" s="66" t="s">
        <v>6409</v>
      </c>
      <c r="D2684" s="65">
        <v>8</v>
      </c>
      <c r="E2684" s="65">
        <v>6</v>
      </c>
    </row>
    <row r="2685" spans="1:5">
      <c r="A2685" s="65">
        <v>82458</v>
      </c>
      <c r="B2685" s="66" t="s">
        <v>3593</v>
      </c>
      <c r="C2685" s="66" t="s">
        <v>6410</v>
      </c>
      <c r="D2685" s="65">
        <v>34</v>
      </c>
      <c r="E2685" s="65">
        <v>31</v>
      </c>
    </row>
    <row r="2686" spans="1:5">
      <c r="A2686" s="65">
        <v>82460</v>
      </c>
      <c r="B2686" s="66" t="s">
        <v>3627</v>
      </c>
      <c r="C2686" s="66" t="s">
        <v>6411</v>
      </c>
      <c r="D2686" s="65">
        <v>6</v>
      </c>
      <c r="E2686" s="65">
        <v>6</v>
      </c>
    </row>
    <row r="2687" spans="1:5">
      <c r="A2687" s="65">
        <v>82462</v>
      </c>
      <c r="B2687" s="66" t="s">
        <v>3777</v>
      </c>
      <c r="C2687" s="66" t="s">
        <v>6412</v>
      </c>
      <c r="D2687" s="65">
        <v>5</v>
      </c>
      <c r="E2687" s="65">
        <v>5</v>
      </c>
    </row>
    <row r="2688" spans="1:5">
      <c r="A2688" s="65">
        <v>82493</v>
      </c>
      <c r="B2688" s="66" t="s">
        <v>3612</v>
      </c>
      <c r="C2688" s="66" t="s">
        <v>6413</v>
      </c>
      <c r="D2688" s="65">
        <v>11</v>
      </c>
      <c r="E2688" s="65">
        <v>2</v>
      </c>
    </row>
    <row r="2689" spans="1:5">
      <c r="A2689" s="65">
        <v>82494</v>
      </c>
      <c r="B2689" s="66" t="s">
        <v>5831</v>
      </c>
      <c r="C2689" s="66" t="s">
        <v>6414</v>
      </c>
      <c r="D2689" s="65">
        <v>23</v>
      </c>
      <c r="E2689" s="65">
        <v>3</v>
      </c>
    </row>
    <row r="2690" spans="1:5">
      <c r="A2690" s="65">
        <v>82521</v>
      </c>
      <c r="B2690" s="66" t="s">
        <v>3616</v>
      </c>
      <c r="C2690" s="66" t="s">
        <v>6415</v>
      </c>
      <c r="D2690" s="65">
        <v>1183</v>
      </c>
      <c r="E2690" s="65">
        <v>359</v>
      </c>
    </row>
    <row r="2691" spans="1:5">
      <c r="A2691" s="65">
        <v>82522</v>
      </c>
      <c r="B2691" s="66" t="s">
        <v>3627</v>
      </c>
      <c r="C2691" s="66" t="s">
        <v>6416</v>
      </c>
      <c r="D2691" s="65">
        <v>295</v>
      </c>
      <c r="E2691" s="65">
        <v>39</v>
      </c>
    </row>
    <row r="2692" spans="1:5">
      <c r="A2692" s="65">
        <v>82524</v>
      </c>
      <c r="B2692" s="66" t="s">
        <v>4707</v>
      </c>
      <c r="C2692" s="66" t="s">
        <v>6417</v>
      </c>
      <c r="D2692" s="65">
        <v>3</v>
      </c>
      <c r="E2692" s="65">
        <v>3</v>
      </c>
    </row>
    <row r="2693" spans="1:5">
      <c r="A2693" s="65">
        <v>82526</v>
      </c>
      <c r="B2693" s="66" t="s">
        <v>4822</v>
      </c>
      <c r="C2693" s="66" t="s">
        <v>6418</v>
      </c>
      <c r="D2693" s="65">
        <v>230</v>
      </c>
      <c r="E2693" s="65">
        <v>16</v>
      </c>
    </row>
    <row r="2694" spans="1:5">
      <c r="A2694" s="65">
        <v>82527</v>
      </c>
      <c r="B2694" s="66" t="s">
        <v>6419</v>
      </c>
      <c r="C2694" s="66" t="s">
        <v>6420</v>
      </c>
      <c r="D2694" s="65">
        <v>32</v>
      </c>
      <c r="E2694" s="65">
        <v>11</v>
      </c>
    </row>
    <row r="2695" spans="1:5">
      <c r="A2695" s="65">
        <v>82659</v>
      </c>
      <c r="B2695" s="66" t="s">
        <v>3742</v>
      </c>
      <c r="C2695" s="66" t="s">
        <v>6421</v>
      </c>
      <c r="D2695" s="65">
        <v>65</v>
      </c>
      <c r="E2695" s="65">
        <v>11</v>
      </c>
    </row>
    <row r="2696" spans="1:5">
      <c r="A2696" s="65">
        <v>82664</v>
      </c>
      <c r="B2696" s="66" t="s">
        <v>3593</v>
      </c>
      <c r="C2696" s="66" t="s">
        <v>6422</v>
      </c>
      <c r="D2696" s="65">
        <v>49</v>
      </c>
      <c r="E2696" s="65">
        <v>12</v>
      </c>
    </row>
    <row r="2697" spans="1:5">
      <c r="A2697" s="65">
        <v>82773</v>
      </c>
      <c r="B2697" s="66" t="s">
        <v>3597</v>
      </c>
      <c r="C2697" s="66" t="s">
        <v>6423</v>
      </c>
      <c r="D2697" s="65">
        <v>32</v>
      </c>
      <c r="E2697" s="65">
        <v>7</v>
      </c>
    </row>
    <row r="2698" spans="1:5">
      <c r="A2698" s="65">
        <v>82833</v>
      </c>
      <c r="B2698" s="66" t="s">
        <v>3667</v>
      </c>
      <c r="C2698" s="66" t="s">
        <v>6424</v>
      </c>
      <c r="D2698" s="65">
        <v>317</v>
      </c>
      <c r="E2698" s="65">
        <v>73</v>
      </c>
    </row>
    <row r="2699" spans="1:5">
      <c r="A2699" s="65">
        <v>82834</v>
      </c>
      <c r="B2699" s="66" t="s">
        <v>3667</v>
      </c>
      <c r="C2699" s="66" t="s">
        <v>6425</v>
      </c>
      <c r="D2699" s="65">
        <v>206</v>
      </c>
      <c r="E2699" s="65">
        <v>57</v>
      </c>
    </row>
    <row r="2700" spans="1:5">
      <c r="A2700" s="65">
        <v>82835</v>
      </c>
      <c r="B2700" s="66" t="s">
        <v>3606</v>
      </c>
      <c r="C2700" s="66" t="s">
        <v>6426</v>
      </c>
      <c r="D2700" s="65">
        <v>650</v>
      </c>
      <c r="E2700" s="65">
        <v>11</v>
      </c>
    </row>
    <row r="2701" spans="1:5">
      <c r="A2701" s="65">
        <v>83023</v>
      </c>
      <c r="B2701" s="66" t="s">
        <v>3627</v>
      </c>
      <c r="C2701" s="66" t="s">
        <v>6427</v>
      </c>
      <c r="D2701" s="65">
        <v>16</v>
      </c>
      <c r="E2701" s="65">
        <v>13</v>
      </c>
    </row>
    <row r="2702" spans="1:5">
      <c r="A2702" s="65">
        <v>83062</v>
      </c>
      <c r="B2702" s="66" t="s">
        <v>3639</v>
      </c>
      <c r="C2702" s="66" t="s">
        <v>6428</v>
      </c>
      <c r="D2702" s="65">
        <v>23</v>
      </c>
      <c r="E2702" s="65">
        <v>3</v>
      </c>
    </row>
    <row r="2703" spans="1:5">
      <c r="A2703" s="65">
        <v>83136</v>
      </c>
      <c r="B2703" s="66" t="s">
        <v>6429</v>
      </c>
      <c r="C2703" s="66" t="s">
        <v>6430</v>
      </c>
      <c r="D2703" s="65">
        <v>175</v>
      </c>
      <c r="E2703" s="65">
        <v>21</v>
      </c>
    </row>
    <row r="2704" spans="1:5">
      <c r="A2704" s="65">
        <v>83137</v>
      </c>
      <c r="B2704" s="66" t="s">
        <v>3593</v>
      </c>
      <c r="C2704" s="66" t="s">
        <v>6431</v>
      </c>
      <c r="D2704" s="65">
        <v>84</v>
      </c>
      <c r="E2704" s="65">
        <v>16</v>
      </c>
    </row>
    <row r="2705" spans="1:5">
      <c r="A2705" s="65">
        <v>83148</v>
      </c>
      <c r="B2705" s="66" t="s">
        <v>3614</v>
      </c>
      <c r="C2705" s="66" t="s">
        <v>6432</v>
      </c>
      <c r="D2705" s="65">
        <v>143</v>
      </c>
      <c r="E2705" s="65">
        <v>44</v>
      </c>
    </row>
    <row r="2706" spans="1:5">
      <c r="A2706" s="65">
        <v>83165</v>
      </c>
      <c r="B2706" s="66" t="s">
        <v>3665</v>
      </c>
      <c r="C2706" s="66" t="s">
        <v>6433</v>
      </c>
      <c r="D2706" s="65">
        <v>3</v>
      </c>
      <c r="E2706" s="65">
        <v>3</v>
      </c>
    </row>
    <row r="2707" spans="1:5">
      <c r="A2707" s="65">
        <v>83177</v>
      </c>
      <c r="B2707" s="66" t="s">
        <v>3593</v>
      </c>
      <c r="C2707" s="66" t="s">
        <v>6434</v>
      </c>
      <c r="D2707" s="65">
        <v>866</v>
      </c>
      <c r="E2707" s="65">
        <v>34</v>
      </c>
    </row>
    <row r="2708" spans="1:5">
      <c r="A2708" s="65">
        <v>83182</v>
      </c>
      <c r="B2708" s="66" t="s">
        <v>3614</v>
      </c>
      <c r="C2708" s="66" t="s">
        <v>6435</v>
      </c>
      <c r="D2708" s="65">
        <v>5</v>
      </c>
      <c r="E2708" s="65">
        <v>4</v>
      </c>
    </row>
    <row r="2709" spans="1:5">
      <c r="A2709" s="65">
        <v>8319</v>
      </c>
      <c r="B2709" s="66" t="s">
        <v>3649</v>
      </c>
      <c r="C2709" s="66" t="s">
        <v>6436</v>
      </c>
      <c r="D2709" s="65">
        <v>294</v>
      </c>
      <c r="E2709" s="65">
        <v>24</v>
      </c>
    </row>
    <row r="2710" spans="1:5">
      <c r="A2710" s="65">
        <v>8322</v>
      </c>
      <c r="B2710" s="66" t="s">
        <v>3614</v>
      </c>
      <c r="C2710" s="66" t="s">
        <v>6437</v>
      </c>
      <c r="D2710" s="65">
        <v>4</v>
      </c>
      <c r="E2710" s="65">
        <v>2</v>
      </c>
    </row>
    <row r="2711" spans="1:5">
      <c r="A2711" s="65">
        <v>83233</v>
      </c>
      <c r="B2711" s="66" t="s">
        <v>3593</v>
      </c>
      <c r="C2711" s="66" t="s">
        <v>6438</v>
      </c>
      <c r="D2711" s="65">
        <v>9</v>
      </c>
      <c r="E2711" s="65">
        <v>3</v>
      </c>
    </row>
    <row r="2712" spans="1:5">
      <c r="A2712" s="65">
        <v>8328</v>
      </c>
      <c r="B2712" s="66" t="s">
        <v>3620</v>
      </c>
      <c r="C2712" s="66" t="s">
        <v>6439</v>
      </c>
      <c r="D2712" s="65">
        <v>31</v>
      </c>
      <c r="E2712" s="65">
        <v>3</v>
      </c>
    </row>
    <row r="2713" spans="1:5">
      <c r="A2713" s="65">
        <v>83307</v>
      </c>
      <c r="B2713" s="66" t="s">
        <v>3904</v>
      </c>
      <c r="C2713" s="66" t="s">
        <v>6440</v>
      </c>
      <c r="D2713" s="65">
        <v>8</v>
      </c>
      <c r="E2713" s="65">
        <v>7</v>
      </c>
    </row>
    <row r="2714" spans="1:5">
      <c r="A2714" s="65">
        <v>83367</v>
      </c>
      <c r="B2714" s="66" t="s">
        <v>3731</v>
      </c>
      <c r="C2714" s="66" t="s">
        <v>6441</v>
      </c>
      <c r="D2714" s="65">
        <v>19</v>
      </c>
      <c r="E2714" s="65">
        <v>7</v>
      </c>
    </row>
    <row r="2715" spans="1:5">
      <c r="A2715" s="65">
        <v>83395</v>
      </c>
      <c r="B2715" s="66" t="s">
        <v>3614</v>
      </c>
      <c r="C2715" s="66" t="s">
        <v>6442</v>
      </c>
      <c r="D2715" s="65">
        <v>172</v>
      </c>
      <c r="E2715" s="65">
        <v>27</v>
      </c>
    </row>
    <row r="2716" spans="1:5">
      <c r="A2716" s="65">
        <v>83397</v>
      </c>
      <c r="B2716" s="66" t="s">
        <v>3606</v>
      </c>
      <c r="C2716" s="66" t="s">
        <v>6443</v>
      </c>
      <c r="D2716" s="65">
        <v>582</v>
      </c>
      <c r="E2716" s="65">
        <v>17</v>
      </c>
    </row>
    <row r="2717" spans="1:5">
      <c r="A2717" s="65">
        <v>8345</v>
      </c>
      <c r="B2717" s="66" t="s">
        <v>3742</v>
      </c>
      <c r="C2717" s="66" t="s">
        <v>6444</v>
      </c>
      <c r="D2717" s="65">
        <v>18</v>
      </c>
      <c r="E2717" s="65">
        <v>2</v>
      </c>
    </row>
    <row r="2718" spans="1:5">
      <c r="A2718" s="65">
        <v>83460</v>
      </c>
      <c r="B2718" s="66" t="s">
        <v>3625</v>
      </c>
      <c r="C2718" s="66" t="s">
        <v>6445</v>
      </c>
      <c r="D2718" s="65">
        <v>46</v>
      </c>
      <c r="E2718" s="65">
        <v>13</v>
      </c>
    </row>
    <row r="2719" spans="1:5">
      <c r="A2719" s="65">
        <v>83463</v>
      </c>
      <c r="B2719" s="66" t="s">
        <v>3667</v>
      </c>
      <c r="C2719" s="66" t="s">
        <v>6446</v>
      </c>
      <c r="D2719" s="65">
        <v>1</v>
      </c>
      <c r="E2719" s="65">
        <v>1</v>
      </c>
    </row>
    <row r="2720" spans="1:5">
      <c r="A2720" s="65">
        <v>835</v>
      </c>
      <c r="B2720" s="66" t="s">
        <v>3597</v>
      </c>
      <c r="C2720" s="66" t="s">
        <v>6447</v>
      </c>
      <c r="D2720" s="65">
        <v>675</v>
      </c>
      <c r="E2720" s="65">
        <v>9</v>
      </c>
    </row>
    <row r="2721" spans="1:5">
      <c r="A2721" s="65">
        <v>83629</v>
      </c>
      <c r="B2721" s="66" t="s">
        <v>3625</v>
      </c>
      <c r="C2721" s="66" t="s">
        <v>6448</v>
      </c>
      <c r="D2721" s="65">
        <v>320</v>
      </c>
      <c r="E2721" s="65">
        <v>10</v>
      </c>
    </row>
    <row r="2722" spans="1:5">
      <c r="A2722" s="65">
        <v>83630</v>
      </c>
      <c r="B2722" s="66" t="s">
        <v>3900</v>
      </c>
      <c r="C2722" s="66" t="s">
        <v>6449</v>
      </c>
      <c r="D2722" s="65">
        <v>1159</v>
      </c>
      <c r="E2722" s="65">
        <v>31</v>
      </c>
    </row>
    <row r="2723" spans="1:5">
      <c r="A2723" s="65">
        <v>83635</v>
      </c>
      <c r="B2723" s="66" t="s">
        <v>3973</v>
      </c>
      <c r="C2723" s="66" t="s">
        <v>6450</v>
      </c>
      <c r="D2723" s="65">
        <v>1</v>
      </c>
      <c r="E2723" s="65">
        <v>1</v>
      </c>
    </row>
    <row r="2724" spans="1:5">
      <c r="A2724" s="65">
        <v>8366</v>
      </c>
      <c r="B2724" s="66" t="s">
        <v>3649</v>
      </c>
      <c r="C2724" s="66" t="s">
        <v>6451</v>
      </c>
      <c r="D2724" s="65">
        <v>43</v>
      </c>
      <c r="E2724" s="65">
        <v>6</v>
      </c>
    </row>
    <row r="2725" spans="1:5">
      <c r="A2725" s="65">
        <v>83661</v>
      </c>
      <c r="B2725" s="66" t="s">
        <v>3639</v>
      </c>
      <c r="C2725" s="66" t="s">
        <v>6452</v>
      </c>
      <c r="D2725" s="65">
        <v>60</v>
      </c>
      <c r="E2725" s="65">
        <v>7</v>
      </c>
    </row>
    <row r="2726" spans="1:5">
      <c r="A2726" s="65">
        <v>83662</v>
      </c>
      <c r="B2726" s="66" t="s">
        <v>3614</v>
      </c>
      <c r="C2726" s="66" t="s">
        <v>6453</v>
      </c>
      <c r="D2726" s="65">
        <v>36</v>
      </c>
      <c r="E2726" s="65">
        <v>3</v>
      </c>
    </row>
    <row r="2727" spans="1:5">
      <c r="A2727" s="65">
        <v>83749</v>
      </c>
      <c r="B2727" s="66" t="s">
        <v>3820</v>
      </c>
      <c r="C2727" s="66" t="s">
        <v>6454</v>
      </c>
      <c r="D2727" s="65">
        <v>2</v>
      </c>
      <c r="E2727" s="65">
        <v>1</v>
      </c>
    </row>
    <row r="2728" spans="1:5">
      <c r="A2728" s="65">
        <v>83787</v>
      </c>
      <c r="B2728" s="66" t="s">
        <v>3820</v>
      </c>
      <c r="C2728" s="66" t="s">
        <v>6455</v>
      </c>
      <c r="D2728" s="65">
        <v>10</v>
      </c>
      <c r="E2728" s="65">
        <v>4</v>
      </c>
    </row>
    <row r="2729" spans="1:5">
      <c r="A2729" s="65">
        <v>83900</v>
      </c>
      <c r="B2729" s="66" t="s">
        <v>3667</v>
      </c>
      <c r="C2729" s="66" t="s">
        <v>6456</v>
      </c>
      <c r="D2729" s="65">
        <v>8</v>
      </c>
      <c r="E2729" s="65">
        <v>5</v>
      </c>
    </row>
    <row r="2730" spans="1:5">
      <c r="A2730" s="65">
        <v>83902</v>
      </c>
      <c r="B2730" s="66" t="s">
        <v>3593</v>
      </c>
      <c r="C2730" s="66" t="s">
        <v>6457</v>
      </c>
      <c r="D2730" s="65">
        <v>49</v>
      </c>
      <c r="E2730" s="65">
        <v>23</v>
      </c>
    </row>
    <row r="2731" spans="1:5">
      <c r="A2731" s="65">
        <v>83903</v>
      </c>
      <c r="B2731" s="66" t="s">
        <v>3820</v>
      </c>
      <c r="C2731" s="66" t="s">
        <v>6458</v>
      </c>
      <c r="D2731" s="65">
        <v>2</v>
      </c>
      <c r="E2731" s="65">
        <v>1</v>
      </c>
    </row>
    <row r="2732" spans="1:5">
      <c r="A2732" s="65">
        <v>83914</v>
      </c>
      <c r="B2732" s="66" t="s">
        <v>3820</v>
      </c>
      <c r="C2732" s="66" t="s">
        <v>6459</v>
      </c>
      <c r="D2732" s="65">
        <v>8</v>
      </c>
      <c r="E2732" s="65">
        <v>2</v>
      </c>
    </row>
    <row r="2733" spans="1:5">
      <c r="A2733" s="65">
        <v>83916</v>
      </c>
      <c r="B2733" s="66" t="s">
        <v>3608</v>
      </c>
      <c r="C2733" s="66" t="s">
        <v>6460</v>
      </c>
      <c r="D2733" s="65">
        <v>14</v>
      </c>
      <c r="E2733" s="65">
        <v>4</v>
      </c>
    </row>
    <row r="2734" spans="1:5">
      <c r="A2734" s="65">
        <v>83917</v>
      </c>
      <c r="B2734" s="66" t="s">
        <v>3597</v>
      </c>
      <c r="C2734" s="66" t="s">
        <v>6461</v>
      </c>
      <c r="D2734" s="65">
        <v>265</v>
      </c>
      <c r="E2734" s="65">
        <v>19</v>
      </c>
    </row>
    <row r="2735" spans="1:5">
      <c r="A2735" s="65">
        <v>83918</v>
      </c>
      <c r="B2735" s="66" t="s">
        <v>3597</v>
      </c>
      <c r="C2735" s="66" t="s">
        <v>6462</v>
      </c>
      <c r="D2735" s="65">
        <v>130</v>
      </c>
      <c r="E2735" s="65">
        <v>5</v>
      </c>
    </row>
    <row r="2736" spans="1:5">
      <c r="A2736" s="65">
        <v>83919</v>
      </c>
      <c r="B2736" s="66" t="s">
        <v>3597</v>
      </c>
      <c r="C2736" s="66" t="s">
        <v>6463</v>
      </c>
      <c r="D2736" s="65">
        <v>206</v>
      </c>
      <c r="E2736" s="65">
        <v>22</v>
      </c>
    </row>
    <row r="2737" spans="1:5">
      <c r="A2737" s="65">
        <v>83929</v>
      </c>
      <c r="B2737" s="66" t="s">
        <v>4972</v>
      </c>
      <c r="C2737" s="66" t="s">
        <v>6464</v>
      </c>
      <c r="D2737" s="65">
        <v>3</v>
      </c>
      <c r="E2737" s="65">
        <v>2</v>
      </c>
    </row>
    <row r="2738" spans="1:5">
      <c r="A2738" s="65">
        <v>83930</v>
      </c>
      <c r="B2738" s="66" t="s">
        <v>6465</v>
      </c>
      <c r="C2738" s="66" t="s">
        <v>6466</v>
      </c>
      <c r="D2738" s="65">
        <v>2</v>
      </c>
      <c r="E2738" s="65">
        <v>2</v>
      </c>
    </row>
    <row r="2739" spans="1:5">
      <c r="A2739" s="65">
        <v>83932</v>
      </c>
      <c r="B2739" s="66" t="s">
        <v>3804</v>
      </c>
      <c r="C2739" s="66" t="s">
        <v>6467</v>
      </c>
      <c r="D2739" s="65">
        <v>2</v>
      </c>
      <c r="E2739" s="65">
        <v>2</v>
      </c>
    </row>
    <row r="2740" spans="1:5">
      <c r="A2740" s="65">
        <v>83956</v>
      </c>
      <c r="B2740" s="66" t="s">
        <v>3593</v>
      </c>
      <c r="C2740" s="66" t="s">
        <v>6468</v>
      </c>
      <c r="D2740" s="65">
        <v>1</v>
      </c>
      <c r="E2740" s="65">
        <v>1</v>
      </c>
    </row>
    <row r="2741" spans="1:5">
      <c r="A2741" s="65">
        <v>84017</v>
      </c>
      <c r="B2741" s="66" t="s">
        <v>3597</v>
      </c>
      <c r="C2741" s="66" t="s">
        <v>6469</v>
      </c>
      <c r="D2741" s="65">
        <v>50</v>
      </c>
      <c r="E2741" s="65">
        <v>24</v>
      </c>
    </row>
    <row r="2742" spans="1:5">
      <c r="A2742" s="65">
        <v>84018</v>
      </c>
      <c r="B2742" s="66" t="s">
        <v>3597</v>
      </c>
      <c r="C2742" s="66" t="s">
        <v>6470</v>
      </c>
      <c r="D2742" s="65">
        <v>9</v>
      </c>
      <c r="E2742" s="65">
        <v>3</v>
      </c>
    </row>
    <row r="2743" spans="1:5">
      <c r="A2743" s="65">
        <v>84049</v>
      </c>
      <c r="B2743" s="66" t="s">
        <v>3660</v>
      </c>
      <c r="C2743" s="66" t="s">
        <v>6471</v>
      </c>
      <c r="D2743" s="65">
        <v>1</v>
      </c>
      <c r="E2743" s="65">
        <v>1</v>
      </c>
    </row>
    <row r="2744" spans="1:5">
      <c r="A2744" s="65">
        <v>84052</v>
      </c>
      <c r="B2744" s="66" t="s">
        <v>3667</v>
      </c>
      <c r="C2744" s="66" t="s">
        <v>6472</v>
      </c>
      <c r="D2744" s="65">
        <v>9</v>
      </c>
      <c r="E2744" s="65">
        <v>6</v>
      </c>
    </row>
    <row r="2745" spans="1:5">
      <c r="A2745" s="65">
        <v>8414</v>
      </c>
      <c r="B2745" s="66" t="s">
        <v>3713</v>
      </c>
      <c r="C2745" s="66" t="s">
        <v>6473</v>
      </c>
      <c r="D2745" s="65">
        <v>11</v>
      </c>
      <c r="E2745" s="65">
        <v>2</v>
      </c>
    </row>
    <row r="2746" spans="1:5">
      <c r="A2746" s="65">
        <v>84255</v>
      </c>
      <c r="B2746" s="66" t="s">
        <v>3597</v>
      </c>
      <c r="C2746" s="66" t="s">
        <v>6474</v>
      </c>
      <c r="D2746" s="65">
        <v>35</v>
      </c>
      <c r="E2746" s="65">
        <v>10</v>
      </c>
    </row>
    <row r="2747" spans="1:5">
      <c r="A2747" s="65">
        <v>8440</v>
      </c>
      <c r="B2747" s="66" t="s">
        <v>3593</v>
      </c>
      <c r="C2747" s="66" t="s">
        <v>6475</v>
      </c>
      <c r="D2747" s="65">
        <v>13</v>
      </c>
      <c r="E2747" s="65">
        <v>6</v>
      </c>
    </row>
    <row r="2748" spans="1:5">
      <c r="A2748" s="65">
        <v>8447</v>
      </c>
      <c r="B2748" s="66" t="s">
        <v>3597</v>
      </c>
      <c r="C2748" s="66" t="s">
        <v>6476</v>
      </c>
      <c r="D2748" s="65">
        <v>5</v>
      </c>
      <c r="E2748" s="65">
        <v>5</v>
      </c>
    </row>
    <row r="2749" spans="1:5">
      <c r="A2749" s="65">
        <v>84486</v>
      </c>
      <c r="B2749" s="66" t="s">
        <v>3616</v>
      </c>
      <c r="C2749" s="66" t="s">
        <v>6477</v>
      </c>
      <c r="D2749" s="65">
        <v>32</v>
      </c>
      <c r="E2749" s="65">
        <v>11</v>
      </c>
    </row>
    <row r="2750" spans="1:5">
      <c r="A2750" s="65">
        <v>84582</v>
      </c>
      <c r="B2750" s="66" t="s">
        <v>3786</v>
      </c>
      <c r="C2750" s="66" t="s">
        <v>6478</v>
      </c>
      <c r="D2750" s="65">
        <v>102</v>
      </c>
      <c r="E2750" s="65">
        <v>8</v>
      </c>
    </row>
    <row r="2751" spans="1:5">
      <c r="A2751" s="65">
        <v>84633</v>
      </c>
      <c r="B2751" s="66" t="s">
        <v>3639</v>
      </c>
      <c r="C2751" s="66" t="s">
        <v>6479</v>
      </c>
      <c r="D2751" s="65">
        <v>12</v>
      </c>
      <c r="E2751" s="65">
        <v>3</v>
      </c>
    </row>
    <row r="2752" spans="1:5">
      <c r="A2752" s="65">
        <v>84640</v>
      </c>
      <c r="B2752" s="66" t="s">
        <v>3593</v>
      </c>
      <c r="C2752" s="66" t="s">
        <v>6480</v>
      </c>
      <c r="D2752" s="65">
        <v>266</v>
      </c>
      <c r="E2752" s="65">
        <v>100</v>
      </c>
    </row>
    <row r="2753" spans="1:5">
      <c r="A2753" s="65">
        <v>84734</v>
      </c>
      <c r="B2753" s="66" t="s">
        <v>3625</v>
      </c>
      <c r="C2753" s="66" t="s">
        <v>6481</v>
      </c>
      <c r="D2753" s="65">
        <v>38</v>
      </c>
      <c r="E2753" s="65">
        <v>5</v>
      </c>
    </row>
    <row r="2754" spans="1:5">
      <c r="A2754" s="65">
        <v>84788</v>
      </c>
      <c r="B2754" s="66" t="s">
        <v>3649</v>
      </c>
      <c r="C2754" s="66" t="s">
        <v>6482</v>
      </c>
      <c r="D2754" s="65">
        <v>17</v>
      </c>
      <c r="E2754" s="65">
        <v>7</v>
      </c>
    </row>
    <row r="2755" spans="1:5">
      <c r="A2755" s="65">
        <v>84798</v>
      </c>
      <c r="B2755" s="66" t="s">
        <v>3620</v>
      </c>
      <c r="C2755" s="66" t="s">
        <v>6483</v>
      </c>
      <c r="D2755" s="65">
        <v>80</v>
      </c>
      <c r="E2755" s="65">
        <v>8</v>
      </c>
    </row>
    <row r="2756" spans="1:5">
      <c r="A2756" s="65">
        <v>848</v>
      </c>
      <c r="B2756" s="66" t="s">
        <v>4705</v>
      </c>
      <c r="C2756" s="66" t="s">
        <v>4999</v>
      </c>
      <c r="D2756" s="65">
        <v>46</v>
      </c>
      <c r="E2756" s="65">
        <v>15</v>
      </c>
    </row>
    <row r="2757" spans="1:5">
      <c r="A2757" s="65">
        <v>84869</v>
      </c>
      <c r="B2757" s="66" t="s">
        <v>3665</v>
      </c>
      <c r="C2757" s="66" t="s">
        <v>6484</v>
      </c>
      <c r="D2757" s="65">
        <v>7</v>
      </c>
      <c r="E2757" s="65">
        <v>5</v>
      </c>
    </row>
    <row r="2758" spans="1:5">
      <c r="A2758" s="65">
        <v>84895</v>
      </c>
      <c r="B2758" s="66" t="s">
        <v>3973</v>
      </c>
      <c r="C2758" s="66" t="s">
        <v>6485</v>
      </c>
      <c r="D2758" s="65">
        <v>12</v>
      </c>
      <c r="E2758" s="65">
        <v>1</v>
      </c>
    </row>
    <row r="2759" spans="1:5">
      <c r="A2759" s="65">
        <v>849</v>
      </c>
      <c r="B2759" s="66" t="s">
        <v>5287</v>
      </c>
      <c r="C2759" s="66" t="s">
        <v>6486</v>
      </c>
      <c r="D2759" s="65">
        <v>2</v>
      </c>
      <c r="E2759" s="65">
        <v>1</v>
      </c>
    </row>
    <row r="2760" spans="1:5">
      <c r="A2760" s="65">
        <v>8501</v>
      </c>
      <c r="B2760" s="66" t="s">
        <v>3597</v>
      </c>
      <c r="C2760" s="66" t="s">
        <v>6487</v>
      </c>
      <c r="D2760" s="65">
        <v>25</v>
      </c>
      <c r="E2760" s="65">
        <v>19</v>
      </c>
    </row>
    <row r="2761" spans="1:5">
      <c r="A2761" s="65">
        <v>85074</v>
      </c>
      <c r="B2761" s="66" t="s">
        <v>3593</v>
      </c>
      <c r="C2761" s="66" t="s">
        <v>6488</v>
      </c>
      <c r="D2761" s="65">
        <v>260</v>
      </c>
      <c r="E2761" s="65">
        <v>28</v>
      </c>
    </row>
    <row r="2762" spans="1:5">
      <c r="A2762" s="65">
        <v>85077</v>
      </c>
      <c r="B2762" s="66" t="s">
        <v>3786</v>
      </c>
      <c r="C2762" s="66" t="s">
        <v>6489</v>
      </c>
      <c r="D2762" s="65">
        <v>8</v>
      </c>
      <c r="E2762" s="65">
        <v>2</v>
      </c>
    </row>
    <row r="2763" spans="1:5">
      <c r="A2763" s="65">
        <v>85117</v>
      </c>
      <c r="B2763" s="66" t="s">
        <v>3779</v>
      </c>
      <c r="C2763" s="66" t="s">
        <v>6490</v>
      </c>
      <c r="D2763" s="65">
        <v>14</v>
      </c>
      <c r="E2763" s="65">
        <v>6</v>
      </c>
    </row>
    <row r="2764" spans="1:5">
      <c r="A2764" s="65">
        <v>85118</v>
      </c>
      <c r="B2764" s="66" t="s">
        <v>3662</v>
      </c>
      <c r="C2764" s="66" t="s">
        <v>6491</v>
      </c>
      <c r="D2764" s="65">
        <v>105</v>
      </c>
      <c r="E2764" s="65">
        <v>2</v>
      </c>
    </row>
    <row r="2765" spans="1:5">
      <c r="A2765" s="65">
        <v>85363</v>
      </c>
      <c r="B2765" s="66" t="s">
        <v>3639</v>
      </c>
      <c r="C2765" s="66" t="s">
        <v>6492</v>
      </c>
      <c r="D2765" s="65">
        <v>1</v>
      </c>
      <c r="E2765" s="65">
        <v>1</v>
      </c>
    </row>
    <row r="2766" spans="1:5">
      <c r="A2766" s="65">
        <v>8538</v>
      </c>
      <c r="B2766" s="66" t="s">
        <v>3620</v>
      </c>
      <c r="C2766" s="66" t="s">
        <v>6493</v>
      </c>
      <c r="D2766" s="65">
        <v>16</v>
      </c>
      <c r="E2766" s="65">
        <v>7</v>
      </c>
    </row>
    <row r="2767" spans="1:5">
      <c r="A2767" s="65">
        <v>854</v>
      </c>
      <c r="B2767" s="66" t="s">
        <v>3970</v>
      </c>
      <c r="C2767" s="66" t="s">
        <v>6494</v>
      </c>
      <c r="D2767" s="65">
        <v>5</v>
      </c>
      <c r="E2767" s="65">
        <v>4</v>
      </c>
    </row>
    <row r="2768" spans="1:5">
      <c r="A2768" s="65">
        <v>8541</v>
      </c>
      <c r="B2768" s="66" t="s">
        <v>3649</v>
      </c>
      <c r="C2768" s="66" t="s">
        <v>6495</v>
      </c>
      <c r="D2768" s="65">
        <v>30</v>
      </c>
      <c r="E2768" s="65">
        <v>5</v>
      </c>
    </row>
    <row r="2769" spans="1:5">
      <c r="A2769" s="65">
        <v>85468</v>
      </c>
      <c r="B2769" s="66" t="s">
        <v>3593</v>
      </c>
      <c r="C2769" s="66" t="s">
        <v>6496</v>
      </c>
      <c r="D2769" s="65">
        <v>4656</v>
      </c>
      <c r="E2769" s="65">
        <v>5</v>
      </c>
    </row>
    <row r="2770" spans="1:5">
      <c r="A2770" s="65">
        <v>8566</v>
      </c>
      <c r="B2770" s="66" t="s">
        <v>3639</v>
      </c>
      <c r="C2770" s="66" t="s">
        <v>6497</v>
      </c>
      <c r="D2770" s="65">
        <v>30</v>
      </c>
      <c r="E2770" s="65">
        <v>2</v>
      </c>
    </row>
    <row r="2771" spans="1:5">
      <c r="A2771" s="65">
        <v>857</v>
      </c>
      <c r="B2771" s="66" t="s">
        <v>4979</v>
      </c>
      <c r="C2771" s="66" t="s">
        <v>6498</v>
      </c>
      <c r="D2771" s="65">
        <v>33</v>
      </c>
      <c r="E2771" s="65">
        <v>14</v>
      </c>
    </row>
    <row r="2772" spans="1:5">
      <c r="A2772" s="65">
        <v>85729</v>
      </c>
      <c r="B2772" s="66" t="s">
        <v>3597</v>
      </c>
      <c r="C2772" s="66" t="s">
        <v>6499</v>
      </c>
      <c r="D2772" s="65">
        <v>8</v>
      </c>
      <c r="E2772" s="65">
        <v>3</v>
      </c>
    </row>
    <row r="2773" spans="1:5">
      <c r="A2773" s="65">
        <v>8575</v>
      </c>
      <c r="B2773" s="66" t="s">
        <v>3597</v>
      </c>
      <c r="C2773" s="66" t="s">
        <v>6500</v>
      </c>
      <c r="D2773" s="65">
        <v>601</v>
      </c>
      <c r="E2773" s="65">
        <v>45</v>
      </c>
    </row>
    <row r="2774" spans="1:5">
      <c r="A2774" s="65">
        <v>85780</v>
      </c>
      <c r="B2774" s="66" t="s">
        <v>3614</v>
      </c>
      <c r="C2774" s="66" t="s">
        <v>6501</v>
      </c>
      <c r="D2774" s="65">
        <v>9</v>
      </c>
      <c r="E2774" s="65">
        <v>5</v>
      </c>
    </row>
    <row r="2775" spans="1:5">
      <c r="A2775" s="65">
        <v>8592</v>
      </c>
      <c r="B2775" s="66" t="s">
        <v>3612</v>
      </c>
      <c r="C2775" s="66" t="s">
        <v>6502</v>
      </c>
      <c r="D2775" s="65">
        <v>6</v>
      </c>
      <c r="E2775" s="65">
        <v>1</v>
      </c>
    </row>
    <row r="2776" spans="1:5">
      <c r="A2776" s="65">
        <v>8597</v>
      </c>
      <c r="B2776" s="66" t="s">
        <v>4253</v>
      </c>
      <c r="C2776" s="66" t="s">
        <v>6503</v>
      </c>
      <c r="D2776" s="65">
        <v>105</v>
      </c>
      <c r="E2776" s="65">
        <v>2</v>
      </c>
    </row>
    <row r="2777" spans="1:5">
      <c r="A2777" s="65">
        <v>86031</v>
      </c>
      <c r="B2777" s="66" t="s">
        <v>3593</v>
      </c>
      <c r="C2777" s="66" t="s">
        <v>6504</v>
      </c>
      <c r="D2777" s="65">
        <v>43</v>
      </c>
      <c r="E2777" s="65">
        <v>26</v>
      </c>
    </row>
    <row r="2778" spans="1:5">
      <c r="A2778" s="65">
        <v>8606</v>
      </c>
      <c r="B2778" s="66" t="s">
        <v>3998</v>
      </c>
      <c r="C2778" s="66" t="s">
        <v>6505</v>
      </c>
      <c r="D2778" s="65">
        <v>10</v>
      </c>
      <c r="E2778" s="65">
        <v>8</v>
      </c>
    </row>
    <row r="2779" spans="1:5">
      <c r="A2779" s="65">
        <v>861</v>
      </c>
      <c r="B2779" s="66" t="s">
        <v>3593</v>
      </c>
      <c r="C2779" s="66" t="s">
        <v>6506</v>
      </c>
      <c r="D2779" s="65">
        <v>34</v>
      </c>
      <c r="E2779" s="65">
        <v>4</v>
      </c>
    </row>
    <row r="2780" spans="1:5">
      <c r="A2780" s="65">
        <v>86221</v>
      </c>
      <c r="B2780" s="66" t="s">
        <v>3595</v>
      </c>
      <c r="C2780" s="66" t="s">
        <v>6507</v>
      </c>
      <c r="D2780" s="65">
        <v>3100</v>
      </c>
      <c r="E2780" s="65">
        <v>9</v>
      </c>
    </row>
    <row r="2781" spans="1:5">
      <c r="A2781" s="65">
        <v>86223</v>
      </c>
      <c r="B2781" s="66" t="s">
        <v>3595</v>
      </c>
      <c r="C2781" s="66" t="s">
        <v>6508</v>
      </c>
      <c r="D2781" s="65">
        <v>89</v>
      </c>
      <c r="E2781" s="65">
        <v>11</v>
      </c>
    </row>
    <row r="2782" spans="1:5">
      <c r="A2782" s="65">
        <v>86224</v>
      </c>
      <c r="B2782" s="66" t="s">
        <v>3606</v>
      </c>
      <c r="C2782" s="66" t="s">
        <v>6509</v>
      </c>
      <c r="D2782" s="65">
        <v>4000</v>
      </c>
      <c r="E2782" s="65">
        <v>12</v>
      </c>
    </row>
    <row r="2783" spans="1:5">
      <c r="A2783" s="65">
        <v>86348</v>
      </c>
      <c r="B2783" s="66" t="s">
        <v>5307</v>
      </c>
      <c r="C2783" s="66" t="s">
        <v>6510</v>
      </c>
      <c r="D2783" s="65">
        <v>160</v>
      </c>
      <c r="E2783" s="65">
        <v>6</v>
      </c>
    </row>
    <row r="2784" spans="1:5">
      <c r="A2784" s="65">
        <v>86395</v>
      </c>
      <c r="B2784" s="66" t="s">
        <v>4097</v>
      </c>
      <c r="C2784" s="66" t="s">
        <v>6511</v>
      </c>
      <c r="D2784" s="65">
        <v>10</v>
      </c>
      <c r="E2784" s="65">
        <v>1</v>
      </c>
    </row>
    <row r="2785" spans="1:5">
      <c r="A2785" s="65">
        <v>86625</v>
      </c>
      <c r="B2785" s="66" t="s">
        <v>3597</v>
      </c>
      <c r="C2785" s="66" t="s">
        <v>6512</v>
      </c>
      <c r="D2785" s="65">
        <v>207</v>
      </c>
      <c r="E2785" s="65">
        <v>34</v>
      </c>
    </row>
    <row r="2786" spans="1:5">
      <c r="A2786" s="65">
        <v>86626</v>
      </c>
      <c r="B2786" s="66" t="s">
        <v>3597</v>
      </c>
      <c r="C2786" s="66" t="s">
        <v>6513</v>
      </c>
      <c r="D2786" s="65">
        <v>165</v>
      </c>
      <c r="E2786" s="65">
        <v>31</v>
      </c>
    </row>
    <row r="2787" spans="1:5">
      <c r="A2787" s="65">
        <v>86658</v>
      </c>
      <c r="B2787" s="66" t="s">
        <v>3667</v>
      </c>
      <c r="C2787" s="66" t="s">
        <v>6514</v>
      </c>
      <c r="D2787" s="65">
        <v>18192</v>
      </c>
      <c r="E2787" s="65">
        <v>163</v>
      </c>
    </row>
    <row r="2788" spans="1:5">
      <c r="A2788" s="65">
        <v>86672</v>
      </c>
      <c r="B2788" s="66" t="s">
        <v>3593</v>
      </c>
      <c r="C2788" s="66" t="s">
        <v>6515</v>
      </c>
      <c r="D2788" s="65">
        <v>37</v>
      </c>
      <c r="E2788" s="65">
        <v>23</v>
      </c>
    </row>
    <row r="2789" spans="1:5">
      <c r="A2789" s="65">
        <v>86730</v>
      </c>
      <c r="B2789" s="66" t="s">
        <v>4707</v>
      </c>
      <c r="C2789" s="66" t="s">
        <v>6516</v>
      </c>
      <c r="D2789" s="65">
        <v>78</v>
      </c>
      <c r="E2789" s="65">
        <v>4</v>
      </c>
    </row>
    <row r="2790" spans="1:5">
      <c r="A2790" s="65">
        <v>86736</v>
      </c>
      <c r="B2790" s="66" t="s">
        <v>3614</v>
      </c>
      <c r="C2790" s="66" t="s">
        <v>6517</v>
      </c>
      <c r="D2790" s="65">
        <v>147</v>
      </c>
      <c r="E2790" s="65">
        <v>35</v>
      </c>
    </row>
    <row r="2791" spans="1:5">
      <c r="A2791" s="65">
        <v>86758</v>
      </c>
      <c r="B2791" s="66" t="s">
        <v>3597</v>
      </c>
      <c r="C2791" s="66" t="s">
        <v>6518</v>
      </c>
      <c r="D2791" s="65">
        <v>14</v>
      </c>
      <c r="E2791" s="65">
        <v>11</v>
      </c>
    </row>
    <row r="2792" spans="1:5">
      <c r="A2792" s="65">
        <v>86760</v>
      </c>
      <c r="B2792" s="66" t="s">
        <v>3606</v>
      </c>
      <c r="C2792" s="66" t="s">
        <v>6519</v>
      </c>
      <c r="D2792" s="65">
        <v>665</v>
      </c>
      <c r="E2792" s="65">
        <v>16</v>
      </c>
    </row>
    <row r="2793" spans="1:5">
      <c r="A2793" s="65">
        <v>8682</v>
      </c>
      <c r="B2793" s="66" t="s">
        <v>3783</v>
      </c>
      <c r="C2793" s="66" t="s">
        <v>6520</v>
      </c>
      <c r="D2793" s="65">
        <v>10</v>
      </c>
      <c r="E2793" s="65">
        <v>10</v>
      </c>
    </row>
    <row r="2794" spans="1:5">
      <c r="A2794" s="65">
        <v>86906</v>
      </c>
      <c r="B2794" s="66" t="s">
        <v>6521</v>
      </c>
      <c r="C2794" s="66" t="s">
        <v>6522</v>
      </c>
      <c r="D2794" s="65">
        <v>7</v>
      </c>
      <c r="E2794" s="65">
        <v>5</v>
      </c>
    </row>
    <row r="2795" spans="1:5">
      <c r="A2795" s="65">
        <v>86991</v>
      </c>
      <c r="B2795" s="66" t="s">
        <v>5222</v>
      </c>
      <c r="C2795" s="66" t="s">
        <v>6523</v>
      </c>
      <c r="D2795" s="65">
        <v>1</v>
      </c>
      <c r="E2795" s="65">
        <v>1</v>
      </c>
    </row>
    <row r="2796" spans="1:5">
      <c r="A2796" s="65">
        <v>87</v>
      </c>
      <c r="B2796" s="66" t="s">
        <v>3608</v>
      </c>
      <c r="C2796" s="66" t="s">
        <v>6524</v>
      </c>
      <c r="D2796" s="65">
        <v>197</v>
      </c>
      <c r="E2796" s="65">
        <v>34</v>
      </c>
    </row>
    <row r="2797" spans="1:5">
      <c r="A2797" s="65">
        <v>8702</v>
      </c>
      <c r="B2797" s="66" t="s">
        <v>3601</v>
      </c>
      <c r="C2797" s="66" t="s">
        <v>6525</v>
      </c>
      <c r="D2797" s="65">
        <v>26</v>
      </c>
      <c r="E2797" s="65">
        <v>12</v>
      </c>
    </row>
    <row r="2798" spans="1:5">
      <c r="A2798" s="65">
        <v>87064</v>
      </c>
      <c r="B2798" s="66" t="s">
        <v>3614</v>
      </c>
      <c r="C2798" s="66" t="s">
        <v>6526</v>
      </c>
      <c r="D2798" s="65">
        <v>11</v>
      </c>
      <c r="E2798" s="65">
        <v>11</v>
      </c>
    </row>
    <row r="2799" spans="1:5">
      <c r="A2799" s="65">
        <v>87222</v>
      </c>
      <c r="B2799" s="66" t="s">
        <v>3876</v>
      </c>
      <c r="C2799" s="66" t="s">
        <v>6527</v>
      </c>
      <c r="D2799" s="65">
        <v>2</v>
      </c>
      <c r="E2799" s="65">
        <v>2</v>
      </c>
    </row>
    <row r="2800" spans="1:5">
      <c r="A2800" s="65">
        <v>87480</v>
      </c>
      <c r="B2800" s="66" t="s">
        <v>3804</v>
      </c>
      <c r="C2800" s="66" t="s">
        <v>6528</v>
      </c>
      <c r="D2800" s="65">
        <v>73</v>
      </c>
      <c r="E2800" s="65">
        <v>8</v>
      </c>
    </row>
    <row r="2801" spans="1:5">
      <c r="A2801" s="65">
        <v>87481</v>
      </c>
      <c r="B2801" s="66" t="s">
        <v>3614</v>
      </c>
      <c r="C2801" s="66" t="s">
        <v>6529</v>
      </c>
      <c r="D2801" s="65">
        <v>328</v>
      </c>
      <c r="E2801" s="65">
        <v>22</v>
      </c>
    </row>
    <row r="2802" spans="1:5">
      <c r="A2802" s="65">
        <v>87497</v>
      </c>
      <c r="B2802" s="66" t="s">
        <v>4268</v>
      </c>
      <c r="C2802" s="66" t="s">
        <v>6530</v>
      </c>
      <c r="D2802" s="65">
        <v>45</v>
      </c>
      <c r="E2802" s="65">
        <v>11</v>
      </c>
    </row>
    <row r="2803" spans="1:5">
      <c r="A2803" s="65">
        <v>87601</v>
      </c>
      <c r="B2803" s="66" t="s">
        <v>3894</v>
      </c>
      <c r="C2803" s="66" t="s">
        <v>6531</v>
      </c>
      <c r="D2803" s="65">
        <v>6</v>
      </c>
      <c r="E2803" s="65">
        <v>1</v>
      </c>
    </row>
    <row r="2804" spans="1:5">
      <c r="A2804" s="65">
        <v>87602</v>
      </c>
      <c r="B2804" s="66" t="s">
        <v>3894</v>
      </c>
      <c r="C2804" s="66" t="s">
        <v>6532</v>
      </c>
      <c r="D2804" s="65">
        <v>53</v>
      </c>
      <c r="E2804" s="65">
        <v>15</v>
      </c>
    </row>
    <row r="2805" spans="1:5">
      <c r="A2805" s="65">
        <v>87603</v>
      </c>
      <c r="B2805" s="66" t="s">
        <v>5904</v>
      </c>
      <c r="C2805" s="66" t="s">
        <v>6533</v>
      </c>
      <c r="D2805" s="65">
        <v>4</v>
      </c>
      <c r="E2805" s="65">
        <v>2</v>
      </c>
    </row>
    <row r="2806" spans="1:5">
      <c r="A2806" s="65">
        <v>87612</v>
      </c>
      <c r="B2806" s="66" t="s">
        <v>3601</v>
      </c>
      <c r="C2806" s="66" t="s">
        <v>6534</v>
      </c>
      <c r="D2806" s="65">
        <v>5</v>
      </c>
      <c r="E2806" s="65">
        <v>5</v>
      </c>
    </row>
    <row r="2807" spans="1:5">
      <c r="A2807" s="65">
        <v>87672</v>
      </c>
      <c r="B2807" s="66" t="s">
        <v>3616</v>
      </c>
      <c r="C2807" s="66" t="s">
        <v>6535</v>
      </c>
      <c r="D2807" s="65">
        <v>614</v>
      </c>
      <c r="E2807" s="65">
        <v>55</v>
      </c>
    </row>
    <row r="2808" spans="1:5">
      <c r="A2808" s="65">
        <v>87759</v>
      </c>
      <c r="B2808" s="66" t="s">
        <v>3612</v>
      </c>
      <c r="C2808" s="66" t="s">
        <v>6536</v>
      </c>
      <c r="D2808" s="65">
        <v>2</v>
      </c>
      <c r="E2808" s="65">
        <v>1</v>
      </c>
    </row>
    <row r="2809" spans="1:5">
      <c r="A2809" s="65">
        <v>87760</v>
      </c>
      <c r="B2809" s="66" t="s">
        <v>3625</v>
      </c>
      <c r="C2809" s="66" t="s">
        <v>6537</v>
      </c>
      <c r="D2809" s="65">
        <v>1</v>
      </c>
      <c r="E2809" s="65">
        <v>1</v>
      </c>
    </row>
    <row r="2810" spans="1:5">
      <c r="A2810" s="65">
        <v>87761</v>
      </c>
      <c r="B2810" s="66" t="s">
        <v>3625</v>
      </c>
      <c r="C2810" s="66" t="s">
        <v>6538</v>
      </c>
      <c r="D2810" s="65">
        <v>1</v>
      </c>
      <c r="E2810" s="65">
        <v>1</v>
      </c>
    </row>
    <row r="2811" spans="1:5">
      <c r="A2811" s="65">
        <v>8780</v>
      </c>
      <c r="B2811" s="66" t="s">
        <v>3616</v>
      </c>
      <c r="C2811" s="66" t="s">
        <v>6539</v>
      </c>
      <c r="D2811" s="65">
        <v>7264</v>
      </c>
      <c r="E2811" s="65">
        <v>86</v>
      </c>
    </row>
    <row r="2812" spans="1:5">
      <c r="A2812" s="65">
        <v>8797</v>
      </c>
      <c r="B2812" s="66" t="s">
        <v>3608</v>
      </c>
      <c r="C2812" s="66" t="s">
        <v>6540</v>
      </c>
      <c r="D2812" s="65">
        <v>11</v>
      </c>
      <c r="E2812" s="65">
        <v>2</v>
      </c>
    </row>
    <row r="2813" spans="1:5">
      <c r="A2813" s="65">
        <v>88073</v>
      </c>
      <c r="B2813" s="66" t="s">
        <v>4304</v>
      </c>
      <c r="C2813" s="66" t="s">
        <v>6541</v>
      </c>
      <c r="D2813" s="65">
        <v>15</v>
      </c>
      <c r="E2813" s="65">
        <v>1</v>
      </c>
    </row>
    <row r="2814" spans="1:5">
      <c r="A2814" s="65">
        <v>88081</v>
      </c>
      <c r="B2814" s="66" t="s">
        <v>3627</v>
      </c>
      <c r="C2814" s="66" t="s">
        <v>6542</v>
      </c>
      <c r="D2814" s="65">
        <v>56</v>
      </c>
      <c r="E2814" s="65">
        <v>11</v>
      </c>
    </row>
    <row r="2815" spans="1:5">
      <c r="A2815" s="65">
        <v>88150</v>
      </c>
      <c r="B2815" s="66" t="s">
        <v>3713</v>
      </c>
      <c r="C2815" s="66" t="s">
        <v>6543</v>
      </c>
      <c r="D2815" s="65">
        <v>13</v>
      </c>
      <c r="E2815" s="65">
        <v>6</v>
      </c>
    </row>
    <row r="2816" spans="1:5">
      <c r="A2816" s="65">
        <v>88215</v>
      </c>
      <c r="B2816" s="66" t="s">
        <v>5078</v>
      </c>
      <c r="C2816" s="66" t="s">
        <v>6544</v>
      </c>
      <c r="D2816" s="65">
        <v>8</v>
      </c>
      <c r="E2816" s="65">
        <v>3</v>
      </c>
    </row>
    <row r="2817" spans="1:5">
      <c r="A2817" s="65">
        <v>88216</v>
      </c>
      <c r="B2817" s="66" t="s">
        <v>3627</v>
      </c>
      <c r="C2817" s="66" t="s">
        <v>6545</v>
      </c>
      <c r="D2817" s="65">
        <v>6</v>
      </c>
      <c r="E2817" s="65">
        <v>5</v>
      </c>
    </row>
    <row r="2818" spans="1:5">
      <c r="A2818" s="65">
        <v>88217</v>
      </c>
      <c r="B2818" s="66" t="s">
        <v>3614</v>
      </c>
      <c r="C2818" s="66" t="s">
        <v>6546</v>
      </c>
      <c r="D2818" s="65">
        <v>7</v>
      </c>
      <c r="E2818" s="65">
        <v>3</v>
      </c>
    </row>
    <row r="2819" spans="1:5">
      <c r="A2819" s="65">
        <v>88304</v>
      </c>
      <c r="B2819" s="66" t="s">
        <v>3677</v>
      </c>
      <c r="C2819" s="66" t="s">
        <v>6547</v>
      </c>
      <c r="D2819" s="65">
        <v>28</v>
      </c>
      <c r="E2819" s="65">
        <v>6</v>
      </c>
    </row>
    <row r="2820" spans="1:5">
      <c r="A2820" s="65">
        <v>8831</v>
      </c>
      <c r="B2820" s="66" t="s">
        <v>3597</v>
      </c>
      <c r="C2820" s="66" t="s">
        <v>6548</v>
      </c>
      <c r="D2820" s="65">
        <v>234</v>
      </c>
      <c r="E2820" s="65">
        <v>19</v>
      </c>
    </row>
    <row r="2821" spans="1:5">
      <c r="A2821" s="65">
        <v>88330</v>
      </c>
      <c r="B2821" s="66" t="s">
        <v>3662</v>
      </c>
      <c r="C2821" s="66" t="s">
        <v>6549</v>
      </c>
      <c r="D2821" s="65">
        <v>3</v>
      </c>
      <c r="E2821" s="65">
        <v>1</v>
      </c>
    </row>
    <row r="2822" spans="1:5">
      <c r="A2822" s="65">
        <v>88350</v>
      </c>
      <c r="B2822" s="66" t="s">
        <v>3635</v>
      </c>
      <c r="C2822" s="66" t="s">
        <v>6550</v>
      </c>
      <c r="D2822" s="65">
        <v>4</v>
      </c>
      <c r="E2822" s="65">
        <v>3</v>
      </c>
    </row>
    <row r="2823" spans="1:5">
      <c r="A2823" s="65">
        <v>88353</v>
      </c>
      <c r="B2823" s="66" t="s">
        <v>3904</v>
      </c>
      <c r="C2823" s="66" t="s">
        <v>6551</v>
      </c>
      <c r="D2823" s="65">
        <v>1</v>
      </c>
      <c r="E2823" s="65">
        <v>1</v>
      </c>
    </row>
    <row r="2824" spans="1:5">
      <c r="A2824" s="65">
        <v>88439</v>
      </c>
      <c r="B2824" s="66" t="s">
        <v>3627</v>
      </c>
      <c r="C2824" s="66" t="s">
        <v>6552</v>
      </c>
      <c r="D2824" s="65">
        <v>21</v>
      </c>
      <c r="E2824" s="65">
        <v>12</v>
      </c>
    </row>
    <row r="2825" spans="1:5">
      <c r="A2825" s="65">
        <v>88442</v>
      </c>
      <c r="B2825" s="66" t="s">
        <v>5307</v>
      </c>
      <c r="C2825" s="66" t="s">
        <v>6553</v>
      </c>
      <c r="D2825" s="65">
        <v>2</v>
      </c>
      <c r="E2825" s="65">
        <v>1</v>
      </c>
    </row>
    <row r="2826" spans="1:5">
      <c r="A2826" s="65">
        <v>88457</v>
      </c>
      <c r="B2826" s="66" t="s">
        <v>3627</v>
      </c>
      <c r="C2826" s="66" t="s">
        <v>6554</v>
      </c>
      <c r="D2826" s="65">
        <v>23</v>
      </c>
      <c r="E2826" s="65">
        <v>16</v>
      </c>
    </row>
    <row r="2827" spans="1:5">
      <c r="A2827" s="65">
        <v>88784</v>
      </c>
      <c r="B2827" s="66" t="s">
        <v>3614</v>
      </c>
      <c r="C2827" s="66" t="s">
        <v>6555</v>
      </c>
      <c r="D2827" s="65">
        <v>4</v>
      </c>
      <c r="E2827" s="65">
        <v>3</v>
      </c>
    </row>
    <row r="2828" spans="1:5">
      <c r="A2828" s="65">
        <v>891</v>
      </c>
      <c r="B2828" s="66" t="s">
        <v>3593</v>
      </c>
      <c r="C2828" s="66" t="s">
        <v>6556</v>
      </c>
      <c r="D2828" s="65">
        <v>19</v>
      </c>
      <c r="E2828" s="65">
        <v>19</v>
      </c>
    </row>
    <row r="2829" spans="1:5">
      <c r="A2829" s="65">
        <v>89151</v>
      </c>
      <c r="B2829" s="66" t="s">
        <v>3597</v>
      </c>
      <c r="C2829" s="66" t="s">
        <v>6557</v>
      </c>
      <c r="D2829" s="65">
        <v>4060</v>
      </c>
      <c r="E2829" s="65">
        <v>80</v>
      </c>
    </row>
    <row r="2830" spans="1:5">
      <c r="A2830" s="65">
        <v>89153</v>
      </c>
      <c r="B2830" s="66" t="s">
        <v>3775</v>
      </c>
      <c r="C2830" s="66" t="s">
        <v>6558</v>
      </c>
      <c r="D2830" s="65">
        <v>508</v>
      </c>
      <c r="E2830" s="65">
        <v>32</v>
      </c>
    </row>
    <row r="2831" spans="1:5">
      <c r="A2831" s="65">
        <v>89154</v>
      </c>
      <c r="B2831" s="66" t="s">
        <v>3641</v>
      </c>
      <c r="C2831" s="66" t="s">
        <v>6559</v>
      </c>
      <c r="D2831" s="65">
        <v>115</v>
      </c>
      <c r="E2831" s="65">
        <v>7</v>
      </c>
    </row>
    <row r="2832" spans="1:5">
      <c r="A2832" s="65">
        <v>89157</v>
      </c>
      <c r="B2832" s="66" t="s">
        <v>3904</v>
      </c>
      <c r="C2832" s="66" t="s">
        <v>6560</v>
      </c>
      <c r="D2832" s="65">
        <v>25</v>
      </c>
      <c r="E2832" s="65">
        <v>4</v>
      </c>
    </row>
    <row r="2833" spans="1:5">
      <c r="A2833" s="65">
        <v>89162</v>
      </c>
      <c r="B2833" s="66" t="s">
        <v>3593</v>
      </c>
      <c r="C2833" s="66" t="s">
        <v>6561</v>
      </c>
      <c r="D2833" s="65">
        <v>39</v>
      </c>
      <c r="E2833" s="65">
        <v>19</v>
      </c>
    </row>
    <row r="2834" spans="1:5">
      <c r="A2834" s="65">
        <v>89242</v>
      </c>
      <c r="B2834" s="66" t="s">
        <v>3643</v>
      </c>
      <c r="C2834" s="66" t="s">
        <v>6562</v>
      </c>
      <c r="D2834" s="65">
        <v>5</v>
      </c>
      <c r="E2834" s="65">
        <v>5</v>
      </c>
    </row>
    <row r="2835" spans="1:5">
      <c r="A2835" s="65">
        <v>8928</v>
      </c>
      <c r="B2835" s="66" t="s">
        <v>3794</v>
      </c>
      <c r="C2835" s="66" t="s">
        <v>6563</v>
      </c>
      <c r="D2835" s="65">
        <v>7</v>
      </c>
      <c r="E2835" s="65">
        <v>6</v>
      </c>
    </row>
    <row r="2836" spans="1:5">
      <c r="A2836" s="65">
        <v>89400</v>
      </c>
      <c r="B2836" s="66" t="s">
        <v>3667</v>
      </c>
      <c r="C2836" s="66" t="s">
        <v>6564</v>
      </c>
      <c r="D2836" s="65">
        <v>34</v>
      </c>
      <c r="E2836" s="65">
        <v>6</v>
      </c>
    </row>
    <row r="2837" spans="1:5">
      <c r="A2837" s="65">
        <v>89401</v>
      </c>
      <c r="B2837" s="66" t="s">
        <v>3667</v>
      </c>
      <c r="C2837" s="66" t="s">
        <v>6565</v>
      </c>
      <c r="D2837" s="65">
        <v>215</v>
      </c>
      <c r="E2837" s="65">
        <v>15</v>
      </c>
    </row>
    <row r="2838" spans="1:5">
      <c r="A2838" s="65">
        <v>89402</v>
      </c>
      <c r="B2838" s="66" t="s">
        <v>3649</v>
      </c>
      <c r="C2838" s="66" t="s">
        <v>6566</v>
      </c>
      <c r="D2838" s="65">
        <v>11</v>
      </c>
      <c r="E2838" s="65">
        <v>10</v>
      </c>
    </row>
    <row r="2839" spans="1:5">
      <c r="A2839" s="65">
        <v>89551</v>
      </c>
      <c r="B2839" s="66" t="s">
        <v>3593</v>
      </c>
      <c r="C2839" s="66" t="s">
        <v>6567</v>
      </c>
      <c r="D2839" s="65">
        <v>895</v>
      </c>
      <c r="E2839" s="65">
        <v>35</v>
      </c>
    </row>
    <row r="2840" spans="1:5">
      <c r="A2840" s="65">
        <v>89702</v>
      </c>
      <c r="B2840" s="66" t="s">
        <v>3665</v>
      </c>
      <c r="C2840" s="66" t="s">
        <v>6568</v>
      </c>
      <c r="D2840" s="65">
        <v>10</v>
      </c>
      <c r="E2840" s="65">
        <v>1</v>
      </c>
    </row>
    <row r="2841" spans="1:5">
      <c r="A2841" s="65">
        <v>89703</v>
      </c>
      <c r="B2841" s="66" t="s">
        <v>4317</v>
      </c>
      <c r="C2841" s="66" t="s">
        <v>6569</v>
      </c>
      <c r="D2841" s="65">
        <v>9</v>
      </c>
      <c r="E2841" s="65">
        <v>2</v>
      </c>
    </row>
    <row r="2842" spans="1:5">
      <c r="A2842" s="65">
        <v>89774</v>
      </c>
      <c r="B2842" s="66" t="s">
        <v>3593</v>
      </c>
      <c r="C2842" s="66" t="s">
        <v>6570</v>
      </c>
      <c r="D2842" s="65">
        <v>27</v>
      </c>
      <c r="E2842" s="65">
        <v>19</v>
      </c>
    </row>
    <row r="2843" spans="1:5">
      <c r="A2843" s="65">
        <v>89857</v>
      </c>
      <c r="B2843" s="66" t="s">
        <v>5078</v>
      </c>
      <c r="C2843" s="66" t="s">
        <v>6571</v>
      </c>
      <c r="D2843" s="65">
        <v>7</v>
      </c>
      <c r="E2843" s="65">
        <v>2</v>
      </c>
    </row>
    <row r="2844" spans="1:5">
      <c r="A2844" s="65">
        <v>89955</v>
      </c>
      <c r="B2844" s="66" t="s">
        <v>3973</v>
      </c>
      <c r="C2844" s="66" t="s">
        <v>6572</v>
      </c>
      <c r="D2844" s="65">
        <v>6</v>
      </c>
      <c r="E2844" s="65">
        <v>2</v>
      </c>
    </row>
    <row r="2845" spans="1:5">
      <c r="A2845" s="65">
        <v>90149</v>
      </c>
      <c r="B2845" s="66" t="s">
        <v>3593</v>
      </c>
      <c r="C2845" s="66" t="s">
        <v>6573</v>
      </c>
      <c r="D2845" s="65">
        <v>1717</v>
      </c>
      <c r="E2845" s="65">
        <v>112</v>
      </c>
    </row>
    <row r="2846" spans="1:5">
      <c r="A2846" s="65">
        <v>903</v>
      </c>
      <c r="B2846" s="66" t="s">
        <v>3627</v>
      </c>
      <c r="C2846" s="66" t="s">
        <v>6574</v>
      </c>
      <c r="D2846" s="65">
        <v>32</v>
      </c>
      <c r="E2846" s="65">
        <v>12</v>
      </c>
    </row>
    <row r="2847" spans="1:5">
      <c r="A2847" s="65">
        <v>90435</v>
      </c>
      <c r="B2847" s="66" t="s">
        <v>6419</v>
      </c>
      <c r="C2847" s="66" t="s">
        <v>6575</v>
      </c>
      <c r="D2847" s="65">
        <v>19</v>
      </c>
      <c r="E2847" s="65">
        <v>4</v>
      </c>
    </row>
    <row r="2848" spans="1:5">
      <c r="A2848" s="65">
        <v>90436</v>
      </c>
      <c r="B2848" s="66" t="s">
        <v>3646</v>
      </c>
      <c r="C2848" s="66" t="s">
        <v>6576</v>
      </c>
      <c r="D2848" s="65">
        <v>13</v>
      </c>
      <c r="E2848" s="65">
        <v>4</v>
      </c>
    </row>
    <row r="2849" spans="1:5">
      <c r="A2849" s="65">
        <v>90458</v>
      </c>
      <c r="B2849" s="66" t="s">
        <v>3731</v>
      </c>
      <c r="C2849" s="66" t="s">
        <v>6577</v>
      </c>
      <c r="D2849" s="65">
        <v>1</v>
      </c>
      <c r="E2849" s="65">
        <v>1</v>
      </c>
    </row>
    <row r="2850" spans="1:5">
      <c r="A2850" s="65">
        <v>90495</v>
      </c>
      <c r="B2850" s="66" t="s">
        <v>3973</v>
      </c>
      <c r="C2850" s="66" t="s">
        <v>6578</v>
      </c>
      <c r="D2850" s="65">
        <v>14</v>
      </c>
      <c r="E2850" s="65">
        <v>5</v>
      </c>
    </row>
    <row r="2851" spans="1:5">
      <c r="A2851" s="65">
        <v>90496</v>
      </c>
      <c r="B2851" s="66" t="s">
        <v>3973</v>
      </c>
      <c r="C2851" s="66" t="s">
        <v>6579</v>
      </c>
      <c r="D2851" s="65">
        <v>12</v>
      </c>
      <c r="E2851" s="65">
        <v>6</v>
      </c>
    </row>
    <row r="2852" spans="1:5">
      <c r="A2852" s="65">
        <v>90499</v>
      </c>
      <c r="B2852" s="66" t="s">
        <v>3593</v>
      </c>
      <c r="C2852" s="66" t="s">
        <v>6580</v>
      </c>
      <c r="D2852" s="65">
        <v>450</v>
      </c>
      <c r="E2852" s="65">
        <v>17</v>
      </c>
    </row>
    <row r="2853" spans="1:5">
      <c r="A2853" s="65">
        <v>90501</v>
      </c>
      <c r="B2853" s="66" t="s">
        <v>4276</v>
      </c>
      <c r="C2853" s="66" t="s">
        <v>6581</v>
      </c>
      <c r="D2853" s="65">
        <v>40</v>
      </c>
      <c r="E2853" s="65">
        <v>4</v>
      </c>
    </row>
    <row r="2854" spans="1:5">
      <c r="A2854" s="65">
        <v>90516</v>
      </c>
      <c r="B2854" s="66" t="s">
        <v>3749</v>
      </c>
      <c r="C2854" s="66" t="s">
        <v>6582</v>
      </c>
      <c r="D2854" s="65">
        <v>60</v>
      </c>
      <c r="E2854" s="65">
        <v>2</v>
      </c>
    </row>
    <row r="2855" spans="1:5">
      <c r="A2855" s="65">
        <v>90530</v>
      </c>
      <c r="B2855" s="66" t="s">
        <v>3973</v>
      </c>
      <c r="C2855" s="66" t="s">
        <v>6583</v>
      </c>
      <c r="D2855" s="65">
        <v>1</v>
      </c>
      <c r="E2855" s="65">
        <v>1</v>
      </c>
    </row>
    <row r="2856" spans="1:5">
      <c r="A2856" s="65">
        <v>90532</v>
      </c>
      <c r="B2856" s="66" t="s">
        <v>3597</v>
      </c>
      <c r="C2856" s="66" t="s">
        <v>6584</v>
      </c>
      <c r="D2856" s="65">
        <v>128</v>
      </c>
      <c r="E2856" s="65">
        <v>66</v>
      </c>
    </row>
    <row r="2857" spans="1:5">
      <c r="A2857" s="65">
        <v>90766</v>
      </c>
      <c r="B2857" s="66" t="s">
        <v>3627</v>
      </c>
      <c r="C2857" s="66" t="s">
        <v>6585</v>
      </c>
      <c r="D2857" s="65">
        <v>5</v>
      </c>
      <c r="E2857" s="65">
        <v>2</v>
      </c>
    </row>
    <row r="2858" spans="1:5">
      <c r="A2858" s="65">
        <v>90767</v>
      </c>
      <c r="B2858" s="66" t="s">
        <v>3627</v>
      </c>
      <c r="C2858" s="66" t="s">
        <v>6586</v>
      </c>
      <c r="D2858" s="65">
        <v>1</v>
      </c>
      <c r="E2858" s="65">
        <v>1</v>
      </c>
    </row>
    <row r="2859" spans="1:5">
      <c r="A2859" s="65">
        <v>90895</v>
      </c>
      <c r="B2859" s="66" t="s">
        <v>3649</v>
      </c>
      <c r="C2859" s="66" t="s">
        <v>6587</v>
      </c>
      <c r="D2859" s="65">
        <v>170</v>
      </c>
      <c r="E2859" s="65">
        <v>17</v>
      </c>
    </row>
    <row r="2860" spans="1:5">
      <c r="A2860" s="65">
        <v>91</v>
      </c>
      <c r="B2860" s="66" t="s">
        <v>3616</v>
      </c>
      <c r="C2860" s="66" t="s">
        <v>6588</v>
      </c>
      <c r="D2860" s="65">
        <v>5400</v>
      </c>
      <c r="E2860" s="65">
        <v>25</v>
      </c>
    </row>
    <row r="2861" spans="1:5">
      <c r="A2861" s="65">
        <v>91022</v>
      </c>
      <c r="B2861" s="66" t="s">
        <v>3597</v>
      </c>
      <c r="C2861" s="66" t="s">
        <v>6589</v>
      </c>
      <c r="D2861" s="65">
        <v>1</v>
      </c>
      <c r="E2861" s="65">
        <v>1</v>
      </c>
    </row>
    <row r="2862" spans="1:5">
      <c r="A2862" s="65">
        <v>9123</v>
      </c>
      <c r="B2862" s="66" t="s">
        <v>3599</v>
      </c>
      <c r="C2862" s="66" t="s">
        <v>6590</v>
      </c>
      <c r="D2862" s="65">
        <v>168</v>
      </c>
      <c r="E2862" s="65">
        <v>35</v>
      </c>
    </row>
    <row r="2863" spans="1:5">
      <c r="A2863" s="65">
        <v>9124</v>
      </c>
      <c r="B2863" s="66" t="s">
        <v>3599</v>
      </c>
      <c r="C2863" s="66" t="s">
        <v>6591</v>
      </c>
      <c r="D2863" s="65">
        <v>181</v>
      </c>
      <c r="E2863" s="65">
        <v>10</v>
      </c>
    </row>
    <row r="2864" spans="1:5">
      <c r="A2864" s="65">
        <v>91286</v>
      </c>
      <c r="B2864" s="66" t="s">
        <v>3606</v>
      </c>
      <c r="C2864" s="66" t="s">
        <v>6592</v>
      </c>
      <c r="D2864" s="65">
        <v>11</v>
      </c>
      <c r="E2864" s="65">
        <v>6</v>
      </c>
    </row>
    <row r="2865" spans="1:5">
      <c r="A2865" s="65">
        <v>91304</v>
      </c>
      <c r="B2865" s="66" t="s">
        <v>3593</v>
      </c>
      <c r="C2865" s="66" t="s">
        <v>6593</v>
      </c>
      <c r="D2865" s="65">
        <v>3446</v>
      </c>
      <c r="E2865" s="65">
        <v>86</v>
      </c>
    </row>
    <row r="2866" spans="1:5">
      <c r="A2866" s="65">
        <v>91312</v>
      </c>
      <c r="B2866" s="66" t="s">
        <v>3804</v>
      </c>
      <c r="C2866" s="66" t="s">
        <v>6594</v>
      </c>
      <c r="D2866" s="65">
        <v>9</v>
      </c>
      <c r="E2866" s="65">
        <v>1</v>
      </c>
    </row>
    <row r="2867" spans="1:5">
      <c r="A2867" s="65">
        <v>91359</v>
      </c>
      <c r="B2867" s="66" t="s">
        <v>3627</v>
      </c>
      <c r="C2867" s="66" t="s">
        <v>6595</v>
      </c>
      <c r="D2867" s="65">
        <v>42</v>
      </c>
      <c r="E2867" s="65">
        <v>8</v>
      </c>
    </row>
    <row r="2868" spans="1:5">
      <c r="A2868" s="65">
        <v>91364</v>
      </c>
      <c r="B2868" s="66" t="s">
        <v>3639</v>
      </c>
      <c r="C2868" s="66" t="s">
        <v>6596</v>
      </c>
      <c r="D2868" s="65">
        <v>9</v>
      </c>
      <c r="E2868" s="65">
        <v>5</v>
      </c>
    </row>
    <row r="2869" spans="1:5">
      <c r="A2869" s="65">
        <v>91365</v>
      </c>
      <c r="B2869" s="66" t="s">
        <v>3639</v>
      </c>
      <c r="C2869" s="66" t="s">
        <v>6597</v>
      </c>
      <c r="D2869" s="65">
        <v>24</v>
      </c>
      <c r="E2869" s="65">
        <v>7</v>
      </c>
    </row>
    <row r="2870" spans="1:5">
      <c r="A2870" s="65">
        <v>91366</v>
      </c>
      <c r="B2870" s="66" t="s">
        <v>3639</v>
      </c>
      <c r="C2870" s="66" t="s">
        <v>6598</v>
      </c>
      <c r="D2870" s="65">
        <v>7</v>
      </c>
      <c r="E2870" s="65">
        <v>4</v>
      </c>
    </row>
    <row r="2871" spans="1:5">
      <c r="A2871" s="65">
        <v>91386</v>
      </c>
      <c r="B2871" s="66" t="s">
        <v>4059</v>
      </c>
      <c r="C2871" s="66" t="s">
        <v>6599</v>
      </c>
      <c r="D2871" s="65">
        <v>5</v>
      </c>
      <c r="E2871" s="65">
        <v>1</v>
      </c>
    </row>
    <row r="2872" spans="1:5">
      <c r="A2872" s="65">
        <v>91392</v>
      </c>
      <c r="B2872" s="66" t="s">
        <v>4304</v>
      </c>
      <c r="C2872" s="66" t="s">
        <v>6600</v>
      </c>
      <c r="D2872" s="65">
        <v>24</v>
      </c>
      <c r="E2872" s="65">
        <v>6</v>
      </c>
    </row>
    <row r="2873" spans="1:5">
      <c r="A2873" s="65">
        <v>914</v>
      </c>
      <c r="B2873" s="66" t="s">
        <v>3627</v>
      </c>
      <c r="C2873" s="66" t="s">
        <v>4225</v>
      </c>
      <c r="D2873" s="65">
        <v>9</v>
      </c>
      <c r="E2873" s="65">
        <v>9</v>
      </c>
    </row>
    <row r="2874" spans="1:5">
      <c r="A2874" s="65">
        <v>91601</v>
      </c>
      <c r="B2874" s="66" t="s">
        <v>3606</v>
      </c>
      <c r="C2874" s="66" t="s">
        <v>6601</v>
      </c>
      <c r="D2874" s="65">
        <v>161</v>
      </c>
      <c r="E2874" s="65">
        <v>39</v>
      </c>
    </row>
    <row r="2875" spans="1:5">
      <c r="A2875" s="65">
        <v>91602</v>
      </c>
      <c r="B2875" s="66" t="s">
        <v>3662</v>
      </c>
      <c r="C2875" s="66" t="s">
        <v>6602</v>
      </c>
      <c r="D2875" s="65">
        <v>1</v>
      </c>
      <c r="E2875" s="65">
        <v>1</v>
      </c>
    </row>
    <row r="2876" spans="1:5">
      <c r="A2876" s="65">
        <v>91603</v>
      </c>
      <c r="B2876" s="66" t="s">
        <v>3599</v>
      </c>
      <c r="C2876" s="66" t="s">
        <v>6603</v>
      </c>
      <c r="D2876" s="65">
        <v>86</v>
      </c>
      <c r="E2876" s="65">
        <v>18</v>
      </c>
    </row>
    <row r="2877" spans="1:5">
      <c r="A2877" s="65">
        <v>918</v>
      </c>
      <c r="B2877" s="66" t="s">
        <v>3614</v>
      </c>
      <c r="C2877" s="66" t="s">
        <v>6604</v>
      </c>
      <c r="D2877" s="65">
        <v>211</v>
      </c>
      <c r="E2877" s="65">
        <v>32</v>
      </c>
    </row>
    <row r="2878" spans="1:5">
      <c r="A2878" s="65">
        <v>91818</v>
      </c>
      <c r="B2878" s="66" t="s">
        <v>5831</v>
      </c>
      <c r="C2878" s="66" t="s">
        <v>6605</v>
      </c>
      <c r="D2878" s="65">
        <v>6</v>
      </c>
      <c r="E2878" s="65">
        <v>1</v>
      </c>
    </row>
    <row r="2879" spans="1:5">
      <c r="A2879" s="65">
        <v>92079</v>
      </c>
      <c r="B2879" s="66" t="s">
        <v>3876</v>
      </c>
      <c r="C2879" s="66" t="s">
        <v>6522</v>
      </c>
      <c r="D2879" s="65">
        <v>7</v>
      </c>
      <c r="E2879" s="65">
        <v>4</v>
      </c>
    </row>
    <row r="2880" spans="1:5">
      <c r="A2880" s="65">
        <v>9208</v>
      </c>
      <c r="B2880" s="66" t="s">
        <v>4293</v>
      </c>
      <c r="C2880" s="66" t="s">
        <v>6606</v>
      </c>
      <c r="D2880" s="65">
        <v>8</v>
      </c>
      <c r="E2880" s="65">
        <v>3</v>
      </c>
    </row>
    <row r="2881" spans="1:5">
      <c r="A2881" s="65">
        <v>92080</v>
      </c>
      <c r="B2881" s="66" t="s">
        <v>3876</v>
      </c>
      <c r="C2881" s="66" t="s">
        <v>6607</v>
      </c>
      <c r="D2881" s="65">
        <v>6</v>
      </c>
      <c r="E2881" s="65">
        <v>2</v>
      </c>
    </row>
    <row r="2882" spans="1:5">
      <c r="A2882" s="65">
        <v>92148</v>
      </c>
      <c r="B2882" s="66" t="s">
        <v>3614</v>
      </c>
      <c r="C2882" s="66" t="s">
        <v>6608</v>
      </c>
      <c r="D2882" s="65">
        <v>8</v>
      </c>
      <c r="E2882" s="65">
        <v>1</v>
      </c>
    </row>
    <row r="2883" spans="1:5">
      <c r="A2883" s="65">
        <v>92160</v>
      </c>
      <c r="B2883" s="66" t="s">
        <v>3820</v>
      </c>
      <c r="C2883" s="66" t="s">
        <v>6609</v>
      </c>
      <c r="D2883" s="65">
        <v>5</v>
      </c>
      <c r="E2883" s="65">
        <v>4</v>
      </c>
    </row>
    <row r="2884" spans="1:5">
      <c r="A2884" s="65">
        <v>9225</v>
      </c>
      <c r="B2884" s="66" t="s">
        <v>3597</v>
      </c>
      <c r="C2884" s="66" t="s">
        <v>6610</v>
      </c>
      <c r="D2884" s="65">
        <v>4650</v>
      </c>
      <c r="E2884" s="65">
        <v>88</v>
      </c>
    </row>
    <row r="2885" spans="1:5">
      <c r="A2885" s="65">
        <v>92256</v>
      </c>
      <c r="B2885" s="66" t="s">
        <v>3627</v>
      </c>
      <c r="C2885" s="66" t="s">
        <v>6611</v>
      </c>
      <c r="D2885" s="65">
        <v>2</v>
      </c>
      <c r="E2885" s="65">
        <v>2</v>
      </c>
    </row>
    <row r="2886" spans="1:5">
      <c r="A2886" s="65">
        <v>923</v>
      </c>
      <c r="B2886" s="66" t="s">
        <v>3639</v>
      </c>
      <c r="C2886" s="66" t="s">
        <v>6612</v>
      </c>
      <c r="D2886" s="65">
        <v>16</v>
      </c>
      <c r="E2886" s="65">
        <v>3</v>
      </c>
    </row>
    <row r="2887" spans="1:5">
      <c r="A2887" s="65">
        <v>92707</v>
      </c>
      <c r="B2887" s="66" t="s">
        <v>3599</v>
      </c>
      <c r="C2887" s="66" t="s">
        <v>6613</v>
      </c>
      <c r="D2887" s="65">
        <v>15</v>
      </c>
      <c r="E2887" s="65">
        <v>1</v>
      </c>
    </row>
    <row r="2888" spans="1:5">
      <c r="A2888" s="65">
        <v>9280</v>
      </c>
      <c r="B2888" s="66" t="s">
        <v>3597</v>
      </c>
      <c r="C2888" s="66" t="s">
        <v>6614</v>
      </c>
      <c r="D2888" s="65">
        <v>23</v>
      </c>
      <c r="E2888" s="65">
        <v>5</v>
      </c>
    </row>
    <row r="2889" spans="1:5">
      <c r="A2889" s="65">
        <v>92933</v>
      </c>
      <c r="B2889" s="66" t="s">
        <v>3804</v>
      </c>
      <c r="C2889" s="66" t="s">
        <v>6615</v>
      </c>
      <c r="D2889" s="65">
        <v>45</v>
      </c>
      <c r="E2889" s="65">
        <v>9</v>
      </c>
    </row>
    <row r="2890" spans="1:5">
      <c r="A2890" s="65">
        <v>92936</v>
      </c>
      <c r="B2890" s="66" t="s">
        <v>3804</v>
      </c>
      <c r="C2890" s="66" t="s">
        <v>6616</v>
      </c>
      <c r="D2890" s="65">
        <v>20</v>
      </c>
      <c r="E2890" s="65">
        <v>5</v>
      </c>
    </row>
    <row r="2891" spans="1:5">
      <c r="A2891" s="65">
        <v>92937</v>
      </c>
      <c r="B2891" s="66" t="s">
        <v>3804</v>
      </c>
      <c r="C2891" s="66" t="s">
        <v>6617</v>
      </c>
      <c r="D2891" s="65">
        <v>30</v>
      </c>
      <c r="E2891" s="65">
        <v>6</v>
      </c>
    </row>
    <row r="2892" spans="1:5">
      <c r="A2892" s="65">
        <v>92938</v>
      </c>
      <c r="B2892" s="66" t="s">
        <v>3804</v>
      </c>
      <c r="C2892" s="66" t="s">
        <v>6618</v>
      </c>
      <c r="D2892" s="65">
        <v>15</v>
      </c>
      <c r="E2892" s="65">
        <v>3</v>
      </c>
    </row>
    <row r="2893" spans="1:5">
      <c r="A2893" s="65">
        <v>93085</v>
      </c>
      <c r="B2893" s="66" t="s">
        <v>3649</v>
      </c>
      <c r="C2893" s="66" t="s">
        <v>6619</v>
      </c>
      <c r="D2893" s="65">
        <v>26</v>
      </c>
      <c r="E2893" s="65">
        <v>3</v>
      </c>
    </row>
    <row r="2894" spans="1:5">
      <c r="A2894" s="65">
        <v>9314</v>
      </c>
      <c r="B2894" s="66" t="s">
        <v>3667</v>
      </c>
      <c r="C2894" s="66" t="s">
        <v>6620</v>
      </c>
      <c r="D2894" s="65">
        <v>29376</v>
      </c>
      <c r="E2894" s="65">
        <v>142</v>
      </c>
    </row>
    <row r="2895" spans="1:5">
      <c r="A2895" s="65">
        <v>9316</v>
      </c>
      <c r="B2895" s="66" t="s">
        <v>3599</v>
      </c>
      <c r="C2895" s="66" t="s">
        <v>6621</v>
      </c>
      <c r="D2895" s="65">
        <v>2</v>
      </c>
      <c r="E2895" s="65">
        <v>2</v>
      </c>
    </row>
    <row r="2896" spans="1:5">
      <c r="A2896" s="65">
        <v>93323</v>
      </c>
      <c r="B2896" s="66" t="s">
        <v>3649</v>
      </c>
      <c r="C2896" s="66" t="s">
        <v>6622</v>
      </c>
      <c r="D2896" s="65">
        <v>73</v>
      </c>
      <c r="E2896" s="65">
        <v>12</v>
      </c>
    </row>
    <row r="2897" spans="1:5">
      <c r="A2897" s="65">
        <v>93333</v>
      </c>
      <c r="B2897" s="66" t="s">
        <v>3804</v>
      </c>
      <c r="C2897" s="66" t="s">
        <v>6623</v>
      </c>
      <c r="D2897" s="65">
        <v>10</v>
      </c>
      <c r="E2897" s="65">
        <v>4</v>
      </c>
    </row>
    <row r="2898" spans="1:5">
      <c r="A2898" s="65">
        <v>93343</v>
      </c>
      <c r="B2898" s="66" t="s">
        <v>4317</v>
      </c>
      <c r="C2898" s="66" t="s">
        <v>6624</v>
      </c>
      <c r="D2898" s="65">
        <v>5</v>
      </c>
      <c r="E2898" s="65">
        <v>1</v>
      </c>
    </row>
    <row r="2899" spans="1:5">
      <c r="A2899" s="65">
        <v>93376</v>
      </c>
      <c r="B2899" s="66" t="s">
        <v>3876</v>
      </c>
      <c r="C2899" s="66" t="s">
        <v>6625</v>
      </c>
      <c r="D2899" s="65">
        <v>51</v>
      </c>
      <c r="E2899" s="65">
        <v>3</v>
      </c>
    </row>
    <row r="2900" spans="1:5">
      <c r="A2900" s="65">
        <v>9339</v>
      </c>
      <c r="B2900" s="66" t="s">
        <v>3662</v>
      </c>
      <c r="C2900" s="66" t="s">
        <v>6626</v>
      </c>
      <c r="D2900" s="65">
        <v>24</v>
      </c>
      <c r="E2900" s="65">
        <v>3</v>
      </c>
    </row>
    <row r="2901" spans="1:5">
      <c r="A2901" s="65">
        <v>93413</v>
      </c>
      <c r="B2901" s="66" t="s">
        <v>3599</v>
      </c>
      <c r="C2901" s="66" t="s">
        <v>6627</v>
      </c>
      <c r="D2901" s="65">
        <v>417</v>
      </c>
      <c r="E2901" s="65">
        <v>57</v>
      </c>
    </row>
    <row r="2902" spans="1:5">
      <c r="A2902" s="65">
        <v>93438</v>
      </c>
      <c r="B2902" s="66" t="s">
        <v>3649</v>
      </c>
      <c r="C2902" s="66" t="s">
        <v>6628</v>
      </c>
      <c r="D2902" s="65">
        <v>36</v>
      </c>
      <c r="E2902" s="65">
        <v>17</v>
      </c>
    </row>
    <row r="2903" spans="1:5">
      <c r="A2903" s="65">
        <v>93630</v>
      </c>
      <c r="B2903" s="66" t="s">
        <v>3804</v>
      </c>
      <c r="C2903" s="66" t="s">
        <v>6629</v>
      </c>
      <c r="D2903" s="65">
        <v>45</v>
      </c>
      <c r="E2903" s="65">
        <v>14</v>
      </c>
    </row>
    <row r="2904" spans="1:5">
      <c r="A2904" s="65">
        <v>93780</v>
      </c>
      <c r="B2904" s="66" t="s">
        <v>3599</v>
      </c>
      <c r="C2904" s="66" t="s">
        <v>6630</v>
      </c>
      <c r="D2904" s="65">
        <v>32</v>
      </c>
      <c r="E2904" s="65">
        <v>5</v>
      </c>
    </row>
    <row r="2905" spans="1:5">
      <c r="A2905" s="65">
        <v>93785</v>
      </c>
      <c r="B2905" s="66" t="s">
        <v>3662</v>
      </c>
      <c r="C2905" s="66" t="s">
        <v>6631</v>
      </c>
      <c r="D2905" s="65">
        <v>2</v>
      </c>
      <c r="E2905" s="65">
        <v>1</v>
      </c>
    </row>
    <row r="2906" spans="1:5">
      <c r="A2906" s="65">
        <v>93827</v>
      </c>
      <c r="B2906" s="66" t="s">
        <v>3804</v>
      </c>
      <c r="C2906" s="66" t="s">
        <v>6632</v>
      </c>
      <c r="D2906" s="65">
        <v>4</v>
      </c>
      <c r="E2906" s="65">
        <v>1</v>
      </c>
    </row>
    <row r="2907" spans="1:5">
      <c r="A2907" s="65">
        <v>9384</v>
      </c>
      <c r="B2907" s="66" t="s">
        <v>3677</v>
      </c>
      <c r="C2907" s="66" t="s">
        <v>6633</v>
      </c>
      <c r="D2907" s="65">
        <v>166</v>
      </c>
      <c r="E2907" s="65">
        <v>20</v>
      </c>
    </row>
    <row r="2908" spans="1:5">
      <c r="A2908" s="65">
        <v>9385</v>
      </c>
      <c r="B2908" s="66" t="s">
        <v>3597</v>
      </c>
      <c r="C2908" s="66" t="s">
        <v>6634</v>
      </c>
      <c r="D2908" s="65">
        <v>169</v>
      </c>
      <c r="E2908" s="65">
        <v>18</v>
      </c>
    </row>
    <row r="2909" spans="1:5">
      <c r="A2909" s="65">
        <v>9386</v>
      </c>
      <c r="B2909" s="66" t="s">
        <v>3597</v>
      </c>
      <c r="C2909" s="66" t="s">
        <v>6635</v>
      </c>
      <c r="D2909" s="65">
        <v>202</v>
      </c>
      <c r="E2909" s="65">
        <v>19</v>
      </c>
    </row>
    <row r="2910" spans="1:5">
      <c r="A2910" s="65">
        <v>939</v>
      </c>
      <c r="B2910" s="66" t="s">
        <v>4227</v>
      </c>
      <c r="C2910" s="66" t="s">
        <v>6636</v>
      </c>
      <c r="D2910" s="65">
        <v>10</v>
      </c>
      <c r="E2910" s="65">
        <v>1</v>
      </c>
    </row>
    <row r="2911" spans="1:5">
      <c r="A2911" s="65">
        <v>93977</v>
      </c>
      <c r="B2911" s="66" t="s">
        <v>3593</v>
      </c>
      <c r="C2911" s="66" t="s">
        <v>6637</v>
      </c>
      <c r="D2911" s="65">
        <v>93</v>
      </c>
      <c r="E2911" s="65">
        <v>34</v>
      </c>
    </row>
    <row r="2912" spans="1:5">
      <c r="A2912" s="65">
        <v>94128</v>
      </c>
      <c r="B2912" s="66" t="s">
        <v>3665</v>
      </c>
      <c r="C2912" s="66" t="s">
        <v>6638</v>
      </c>
      <c r="D2912" s="65">
        <v>24</v>
      </c>
      <c r="E2912" s="65">
        <v>4</v>
      </c>
    </row>
    <row r="2913" spans="1:5">
      <c r="A2913" s="65">
        <v>94337</v>
      </c>
      <c r="B2913" s="66" t="s">
        <v>3731</v>
      </c>
      <c r="C2913" s="66" t="s">
        <v>6639</v>
      </c>
      <c r="D2913" s="65">
        <v>36</v>
      </c>
      <c r="E2913" s="65">
        <v>30</v>
      </c>
    </row>
    <row r="2914" spans="1:5">
      <c r="A2914" s="65">
        <v>94360</v>
      </c>
      <c r="B2914" s="66" t="s">
        <v>3627</v>
      </c>
      <c r="C2914" s="66" t="s">
        <v>6640</v>
      </c>
      <c r="D2914" s="65">
        <v>33</v>
      </c>
      <c r="E2914" s="65">
        <v>15</v>
      </c>
    </row>
    <row r="2915" spans="1:5">
      <c r="A2915" s="65">
        <v>9437</v>
      </c>
      <c r="B2915" s="66" t="s">
        <v>3942</v>
      </c>
      <c r="C2915" s="66" t="s">
        <v>6641</v>
      </c>
      <c r="D2915" s="65">
        <v>5</v>
      </c>
      <c r="E2915" s="65">
        <v>3</v>
      </c>
    </row>
    <row r="2916" spans="1:5">
      <c r="A2916" s="65">
        <v>94371</v>
      </c>
      <c r="B2916" s="66" t="s">
        <v>3614</v>
      </c>
      <c r="C2916" s="66" t="s">
        <v>6642</v>
      </c>
      <c r="D2916" s="65">
        <v>27</v>
      </c>
      <c r="E2916" s="65">
        <v>7</v>
      </c>
    </row>
    <row r="2917" spans="1:5">
      <c r="A2917" s="65">
        <v>9438</v>
      </c>
      <c r="B2917" s="66" t="s">
        <v>3786</v>
      </c>
      <c r="C2917" s="66" t="s">
        <v>6643</v>
      </c>
      <c r="D2917" s="65">
        <v>44</v>
      </c>
      <c r="E2917" s="65">
        <v>12</v>
      </c>
    </row>
    <row r="2918" spans="1:5">
      <c r="A2918" s="65">
        <v>9458</v>
      </c>
      <c r="B2918" s="66" t="s">
        <v>3731</v>
      </c>
      <c r="C2918" s="66" t="s">
        <v>6644</v>
      </c>
      <c r="D2918" s="65">
        <v>1</v>
      </c>
      <c r="E2918" s="65">
        <v>1</v>
      </c>
    </row>
    <row r="2919" spans="1:5">
      <c r="A2919" s="65">
        <v>9470</v>
      </c>
      <c r="B2919" s="66" t="s">
        <v>3804</v>
      </c>
      <c r="C2919" s="66" t="s">
        <v>6645</v>
      </c>
      <c r="D2919" s="65">
        <v>16</v>
      </c>
      <c r="E2919" s="65">
        <v>2</v>
      </c>
    </row>
    <row r="2920" spans="1:5">
      <c r="A2920" s="65">
        <v>94726</v>
      </c>
      <c r="B2920" s="66" t="s">
        <v>3677</v>
      </c>
      <c r="C2920" s="66" t="s">
        <v>6646</v>
      </c>
      <c r="D2920" s="65">
        <v>21</v>
      </c>
      <c r="E2920" s="65">
        <v>9</v>
      </c>
    </row>
    <row r="2921" spans="1:5">
      <c r="A2921" s="65">
        <v>94727</v>
      </c>
      <c r="B2921" s="66" t="s">
        <v>3593</v>
      </c>
      <c r="C2921" s="66" t="s">
        <v>6647</v>
      </c>
      <c r="D2921" s="65">
        <v>47</v>
      </c>
      <c r="E2921" s="65">
        <v>32</v>
      </c>
    </row>
    <row r="2922" spans="1:5">
      <c r="A2922" s="65">
        <v>94746</v>
      </c>
      <c r="B2922" s="66" t="s">
        <v>3627</v>
      </c>
      <c r="C2922" s="66" t="s">
        <v>6648</v>
      </c>
      <c r="D2922" s="65">
        <v>6</v>
      </c>
      <c r="E2922" s="65">
        <v>6</v>
      </c>
    </row>
    <row r="2923" spans="1:5">
      <c r="A2923" s="65">
        <v>9478</v>
      </c>
      <c r="B2923" s="66" t="s">
        <v>3620</v>
      </c>
      <c r="C2923" s="66" t="s">
        <v>6649</v>
      </c>
      <c r="D2923" s="65">
        <v>1</v>
      </c>
      <c r="E2923" s="65">
        <v>1</v>
      </c>
    </row>
    <row r="2924" spans="1:5">
      <c r="A2924" s="65">
        <v>94823</v>
      </c>
      <c r="B2924" s="66" t="s">
        <v>3786</v>
      </c>
      <c r="C2924" s="66" t="s">
        <v>6650</v>
      </c>
      <c r="D2924" s="65">
        <v>72</v>
      </c>
      <c r="E2924" s="65">
        <v>10</v>
      </c>
    </row>
    <row r="2925" spans="1:5">
      <c r="A2925" s="65">
        <v>9484</v>
      </c>
      <c r="B2925" s="66" t="s">
        <v>3612</v>
      </c>
      <c r="C2925" s="66" t="s">
        <v>6651</v>
      </c>
      <c r="D2925" s="65">
        <v>4</v>
      </c>
      <c r="E2925" s="65">
        <v>4</v>
      </c>
    </row>
    <row r="2926" spans="1:5">
      <c r="A2926" s="65">
        <v>94840</v>
      </c>
      <c r="B2926" s="66" t="s">
        <v>3625</v>
      </c>
      <c r="C2926" s="66" t="s">
        <v>6652</v>
      </c>
      <c r="D2926" s="65">
        <v>169</v>
      </c>
      <c r="E2926" s="65">
        <v>6</v>
      </c>
    </row>
    <row r="2927" spans="1:5">
      <c r="A2927" s="65">
        <v>94916</v>
      </c>
      <c r="B2927" s="66" t="s">
        <v>3627</v>
      </c>
      <c r="C2927" s="66" t="s">
        <v>6653</v>
      </c>
      <c r="D2927" s="65">
        <v>32</v>
      </c>
      <c r="E2927" s="65">
        <v>7</v>
      </c>
    </row>
    <row r="2928" spans="1:5">
      <c r="A2928" s="65">
        <v>94996</v>
      </c>
      <c r="B2928" s="66" t="s">
        <v>3662</v>
      </c>
      <c r="C2928" s="66" t="s">
        <v>6654</v>
      </c>
      <c r="D2928" s="65">
        <v>4</v>
      </c>
      <c r="E2928" s="65">
        <v>4</v>
      </c>
    </row>
    <row r="2929" spans="1:5">
      <c r="A2929" s="65">
        <v>951</v>
      </c>
      <c r="B2929" s="66" t="s">
        <v>3649</v>
      </c>
      <c r="C2929" s="66" t="s">
        <v>6655</v>
      </c>
      <c r="D2929" s="65">
        <v>92</v>
      </c>
      <c r="E2929" s="65">
        <v>15</v>
      </c>
    </row>
    <row r="2930" spans="1:5">
      <c r="A2930" s="65">
        <v>95111</v>
      </c>
      <c r="B2930" s="66" t="s">
        <v>3786</v>
      </c>
      <c r="C2930" s="66" t="s">
        <v>6656</v>
      </c>
      <c r="D2930" s="65">
        <v>46</v>
      </c>
      <c r="E2930" s="65">
        <v>10</v>
      </c>
    </row>
    <row r="2931" spans="1:5">
      <c r="A2931" s="65">
        <v>952</v>
      </c>
      <c r="B2931" s="66" t="s">
        <v>3649</v>
      </c>
      <c r="C2931" s="66" t="s">
        <v>6657</v>
      </c>
      <c r="D2931" s="65">
        <v>277</v>
      </c>
      <c r="E2931" s="65">
        <v>22</v>
      </c>
    </row>
    <row r="2932" spans="1:5">
      <c r="A2932" s="65">
        <v>95214</v>
      </c>
      <c r="B2932" s="66" t="s">
        <v>3747</v>
      </c>
      <c r="C2932" s="66" t="s">
        <v>6658</v>
      </c>
      <c r="D2932" s="65">
        <v>1</v>
      </c>
      <c r="E2932" s="65">
        <v>1</v>
      </c>
    </row>
    <row r="2933" spans="1:5">
      <c r="A2933" s="65">
        <v>95215</v>
      </c>
      <c r="B2933" s="66" t="s">
        <v>3593</v>
      </c>
      <c r="C2933" s="66" t="s">
        <v>6659</v>
      </c>
      <c r="D2933" s="65">
        <v>12</v>
      </c>
      <c r="E2933" s="65">
        <v>6</v>
      </c>
    </row>
    <row r="2934" spans="1:5">
      <c r="A2934" s="65">
        <v>95216</v>
      </c>
      <c r="B2934" s="66" t="s">
        <v>3593</v>
      </c>
      <c r="C2934" s="66" t="s">
        <v>6660</v>
      </c>
      <c r="D2934" s="65">
        <v>3</v>
      </c>
      <c r="E2934" s="65">
        <v>2</v>
      </c>
    </row>
    <row r="2935" spans="1:5">
      <c r="A2935" s="65">
        <v>95263</v>
      </c>
      <c r="B2935" s="66" t="s">
        <v>3904</v>
      </c>
      <c r="C2935" s="66" t="s">
        <v>6661</v>
      </c>
      <c r="D2935" s="65">
        <v>5</v>
      </c>
      <c r="E2935" s="65">
        <v>1</v>
      </c>
    </row>
    <row r="2936" spans="1:5">
      <c r="A2936" s="65">
        <v>95278</v>
      </c>
      <c r="B2936" s="66" t="s">
        <v>4253</v>
      </c>
      <c r="C2936" s="66" t="s">
        <v>6662</v>
      </c>
      <c r="D2936" s="65">
        <v>30</v>
      </c>
      <c r="E2936" s="65">
        <v>1</v>
      </c>
    </row>
    <row r="2937" spans="1:5">
      <c r="A2937" s="65">
        <v>95299</v>
      </c>
      <c r="B2937" s="66" t="s">
        <v>3616</v>
      </c>
      <c r="C2937" s="66" t="s">
        <v>6663</v>
      </c>
      <c r="D2937" s="65">
        <v>662</v>
      </c>
      <c r="E2937" s="65">
        <v>47</v>
      </c>
    </row>
    <row r="2938" spans="1:5">
      <c r="A2938" s="65">
        <v>95328</v>
      </c>
      <c r="B2938" s="66" t="s">
        <v>3894</v>
      </c>
      <c r="C2938" s="66" t="s">
        <v>6664</v>
      </c>
      <c r="D2938" s="65">
        <v>2</v>
      </c>
      <c r="E2938" s="65">
        <v>1</v>
      </c>
    </row>
    <row r="2939" spans="1:5">
      <c r="A2939" s="65">
        <v>95330</v>
      </c>
      <c r="B2939" s="66" t="s">
        <v>3894</v>
      </c>
      <c r="C2939" s="66" t="s">
        <v>6665</v>
      </c>
      <c r="D2939" s="65">
        <v>7</v>
      </c>
      <c r="E2939" s="65">
        <v>2</v>
      </c>
    </row>
    <row r="2940" spans="1:5">
      <c r="A2940" s="65">
        <v>95331</v>
      </c>
      <c r="B2940" s="66" t="s">
        <v>3894</v>
      </c>
      <c r="C2940" s="66" t="s">
        <v>6666</v>
      </c>
      <c r="D2940" s="65">
        <v>6</v>
      </c>
      <c r="E2940" s="65">
        <v>2</v>
      </c>
    </row>
    <row r="2941" spans="1:5">
      <c r="A2941" s="65">
        <v>95356</v>
      </c>
      <c r="B2941" s="66" t="s">
        <v>3635</v>
      </c>
      <c r="C2941" s="66" t="s">
        <v>6667</v>
      </c>
      <c r="D2941" s="65">
        <v>50</v>
      </c>
      <c r="E2941" s="65">
        <v>5</v>
      </c>
    </row>
    <row r="2942" spans="1:5">
      <c r="A2942" s="65">
        <v>95357</v>
      </c>
      <c r="B2942" s="66" t="s">
        <v>3677</v>
      </c>
      <c r="C2942" s="66" t="s">
        <v>6668</v>
      </c>
      <c r="D2942" s="65">
        <v>94</v>
      </c>
      <c r="E2942" s="65">
        <v>9</v>
      </c>
    </row>
    <row r="2943" spans="1:5">
      <c r="A2943" s="65">
        <v>95389</v>
      </c>
      <c r="B2943" s="66" t="s">
        <v>3804</v>
      </c>
      <c r="C2943" s="66" t="s">
        <v>6669</v>
      </c>
      <c r="D2943" s="65">
        <v>200</v>
      </c>
      <c r="E2943" s="65">
        <v>9</v>
      </c>
    </row>
    <row r="2944" spans="1:5">
      <c r="A2944" s="65">
        <v>95450</v>
      </c>
      <c r="B2944" s="66" t="s">
        <v>3662</v>
      </c>
      <c r="C2944" s="66" t="s">
        <v>6670</v>
      </c>
      <c r="D2944" s="65">
        <v>28</v>
      </c>
      <c r="E2944" s="65">
        <v>5</v>
      </c>
    </row>
    <row r="2945" spans="1:5">
      <c r="A2945" s="65">
        <v>95529</v>
      </c>
      <c r="B2945" s="66" t="s">
        <v>4304</v>
      </c>
      <c r="C2945" s="66" t="s">
        <v>6671</v>
      </c>
      <c r="D2945" s="65">
        <v>40</v>
      </c>
      <c r="E2945" s="65">
        <v>1</v>
      </c>
    </row>
    <row r="2946" spans="1:5">
      <c r="A2946" s="65">
        <v>95531</v>
      </c>
      <c r="B2946" s="66" t="s">
        <v>5085</v>
      </c>
      <c r="C2946" s="66" t="s">
        <v>6672</v>
      </c>
      <c r="D2946" s="65">
        <v>10</v>
      </c>
      <c r="E2946" s="65">
        <v>1</v>
      </c>
    </row>
    <row r="2947" spans="1:5">
      <c r="A2947" s="65">
        <v>95533</v>
      </c>
      <c r="B2947" s="66" t="s">
        <v>3649</v>
      </c>
      <c r="C2947" s="66" t="s">
        <v>6673</v>
      </c>
      <c r="D2947" s="65">
        <v>10</v>
      </c>
      <c r="E2947" s="65">
        <v>1</v>
      </c>
    </row>
    <row r="2948" spans="1:5">
      <c r="A2948" s="65">
        <v>9555</v>
      </c>
      <c r="B2948" s="66" t="s">
        <v>3597</v>
      </c>
      <c r="C2948" s="66" t="s">
        <v>6674</v>
      </c>
      <c r="D2948" s="65">
        <v>546</v>
      </c>
      <c r="E2948" s="65">
        <v>65</v>
      </c>
    </row>
    <row r="2949" spans="1:5">
      <c r="A2949" s="65">
        <v>95575</v>
      </c>
      <c r="B2949" s="66" t="s">
        <v>4317</v>
      </c>
      <c r="C2949" s="66" t="s">
        <v>6675</v>
      </c>
      <c r="D2949" s="65">
        <v>8</v>
      </c>
      <c r="E2949" s="65">
        <v>2</v>
      </c>
    </row>
    <row r="2950" spans="1:5">
      <c r="A2950" s="65">
        <v>95576</v>
      </c>
      <c r="B2950" s="66" t="s">
        <v>3973</v>
      </c>
      <c r="C2950" s="66" t="s">
        <v>6676</v>
      </c>
      <c r="D2950" s="65">
        <v>30</v>
      </c>
      <c r="E2950" s="65">
        <v>2</v>
      </c>
    </row>
    <row r="2951" spans="1:5">
      <c r="A2951" s="65">
        <v>9564</v>
      </c>
      <c r="B2951" s="66" t="s">
        <v>3627</v>
      </c>
      <c r="C2951" s="66" t="s">
        <v>6677</v>
      </c>
      <c r="D2951" s="65">
        <v>29</v>
      </c>
      <c r="E2951" s="65">
        <v>3</v>
      </c>
    </row>
    <row r="2952" spans="1:5">
      <c r="A2952" s="65">
        <v>95684</v>
      </c>
      <c r="B2952" s="66" t="s">
        <v>3593</v>
      </c>
      <c r="C2952" s="66" t="s">
        <v>6678</v>
      </c>
      <c r="D2952" s="65">
        <v>7</v>
      </c>
      <c r="E2952" s="65">
        <v>4</v>
      </c>
    </row>
    <row r="2953" spans="1:5">
      <c r="A2953" s="65">
        <v>95685</v>
      </c>
      <c r="B2953" s="66" t="s">
        <v>3593</v>
      </c>
      <c r="C2953" s="66" t="s">
        <v>6679</v>
      </c>
      <c r="D2953" s="65">
        <v>36</v>
      </c>
      <c r="E2953" s="65">
        <v>11</v>
      </c>
    </row>
    <row r="2954" spans="1:5">
      <c r="A2954" s="65">
        <v>95764</v>
      </c>
      <c r="B2954" s="66" t="s">
        <v>3919</v>
      </c>
      <c r="C2954" s="66" t="s">
        <v>6680</v>
      </c>
      <c r="D2954" s="65">
        <v>82</v>
      </c>
      <c r="E2954" s="65">
        <v>5</v>
      </c>
    </row>
    <row r="2955" spans="1:5">
      <c r="A2955" s="65">
        <v>95801</v>
      </c>
      <c r="B2955" s="66" t="s">
        <v>3786</v>
      </c>
      <c r="C2955" s="66" t="s">
        <v>6681</v>
      </c>
      <c r="D2955" s="65">
        <v>15</v>
      </c>
      <c r="E2955" s="65">
        <v>11</v>
      </c>
    </row>
    <row r="2956" spans="1:5">
      <c r="A2956" s="65">
        <v>95802</v>
      </c>
      <c r="B2956" s="66" t="s">
        <v>3625</v>
      </c>
      <c r="C2956" s="66" t="s">
        <v>6682</v>
      </c>
      <c r="D2956" s="65">
        <v>7</v>
      </c>
      <c r="E2956" s="65">
        <v>5</v>
      </c>
    </row>
    <row r="2957" spans="1:5">
      <c r="A2957" s="65">
        <v>95836</v>
      </c>
      <c r="B2957" s="66" t="s">
        <v>5654</v>
      </c>
      <c r="C2957" s="66" t="s">
        <v>6683</v>
      </c>
      <c r="D2957" s="65">
        <v>2</v>
      </c>
      <c r="E2957" s="65">
        <v>1</v>
      </c>
    </row>
    <row r="2958" spans="1:5">
      <c r="A2958" s="65">
        <v>95995</v>
      </c>
      <c r="B2958" s="66" t="s">
        <v>3643</v>
      </c>
      <c r="C2958" s="66" t="s">
        <v>6684</v>
      </c>
      <c r="D2958" s="65">
        <v>24</v>
      </c>
      <c r="E2958" s="65">
        <v>7</v>
      </c>
    </row>
    <row r="2959" spans="1:5">
      <c r="A2959" s="65">
        <v>96</v>
      </c>
      <c r="B2959" s="66" t="s">
        <v>3616</v>
      </c>
      <c r="C2959" s="66" t="s">
        <v>6685</v>
      </c>
      <c r="D2959" s="65">
        <v>103</v>
      </c>
      <c r="E2959" s="65">
        <v>28</v>
      </c>
    </row>
    <row r="2960" spans="1:5">
      <c r="A2960" s="65">
        <v>96046</v>
      </c>
      <c r="B2960" s="66" t="s">
        <v>3635</v>
      </c>
      <c r="C2960" s="66" t="s">
        <v>6686</v>
      </c>
      <c r="D2960" s="65">
        <v>817</v>
      </c>
      <c r="E2960" s="65">
        <v>21</v>
      </c>
    </row>
    <row r="2961" spans="1:5">
      <c r="A2961" s="65">
        <v>9621</v>
      </c>
      <c r="B2961" s="66" t="s">
        <v>3677</v>
      </c>
      <c r="C2961" s="66" t="s">
        <v>6687</v>
      </c>
      <c r="D2961" s="65">
        <v>119</v>
      </c>
      <c r="E2961" s="65">
        <v>24</v>
      </c>
    </row>
    <row r="2962" spans="1:5">
      <c r="A2962" s="65">
        <v>96225</v>
      </c>
      <c r="B2962" s="66" t="s">
        <v>3894</v>
      </c>
      <c r="C2962" s="66" t="s">
        <v>6688</v>
      </c>
      <c r="D2962" s="65">
        <v>19</v>
      </c>
      <c r="E2962" s="65">
        <v>6</v>
      </c>
    </row>
    <row r="2963" spans="1:5">
      <c r="A2963" s="65">
        <v>96259</v>
      </c>
      <c r="B2963" s="66" t="s">
        <v>3614</v>
      </c>
      <c r="C2963" s="66" t="s">
        <v>6689</v>
      </c>
      <c r="D2963" s="65">
        <v>6</v>
      </c>
      <c r="E2963" s="65">
        <v>3</v>
      </c>
    </row>
    <row r="2964" spans="1:5">
      <c r="A2964" s="65">
        <v>96261</v>
      </c>
      <c r="B2964" s="66" t="s">
        <v>3731</v>
      </c>
      <c r="C2964" s="66" t="s">
        <v>6690</v>
      </c>
      <c r="D2964" s="65">
        <v>25</v>
      </c>
      <c r="E2964" s="65">
        <v>11</v>
      </c>
    </row>
    <row r="2965" spans="1:5">
      <c r="A2965" s="65">
        <v>96288</v>
      </c>
      <c r="B2965" s="66" t="s">
        <v>3599</v>
      </c>
      <c r="C2965" s="66" t="s">
        <v>6691</v>
      </c>
      <c r="D2965" s="65">
        <v>660</v>
      </c>
      <c r="E2965" s="65">
        <v>27</v>
      </c>
    </row>
    <row r="2966" spans="1:5">
      <c r="A2966" s="65">
        <v>9629</v>
      </c>
      <c r="B2966" s="66" t="s">
        <v>3786</v>
      </c>
      <c r="C2966" s="66" t="s">
        <v>6692</v>
      </c>
      <c r="D2966" s="65">
        <v>169</v>
      </c>
      <c r="E2966" s="65">
        <v>42</v>
      </c>
    </row>
    <row r="2967" spans="1:5">
      <c r="A2967" s="65">
        <v>963</v>
      </c>
      <c r="B2967" s="66" t="s">
        <v>3667</v>
      </c>
      <c r="C2967" s="66" t="s">
        <v>6693</v>
      </c>
      <c r="D2967" s="65">
        <v>30</v>
      </c>
      <c r="E2967" s="65">
        <v>6</v>
      </c>
    </row>
    <row r="2968" spans="1:5">
      <c r="A2968" s="65">
        <v>96315</v>
      </c>
      <c r="B2968" s="66" t="s">
        <v>3649</v>
      </c>
      <c r="C2968" s="66" t="s">
        <v>6694</v>
      </c>
      <c r="D2968" s="65">
        <v>2</v>
      </c>
      <c r="E2968" s="65">
        <v>2</v>
      </c>
    </row>
    <row r="2969" spans="1:5">
      <c r="A2969" s="65">
        <v>96316</v>
      </c>
      <c r="B2969" s="66" t="s">
        <v>3649</v>
      </c>
      <c r="C2969" s="66" t="s">
        <v>6695</v>
      </c>
      <c r="D2969" s="65">
        <v>17</v>
      </c>
      <c r="E2969" s="65">
        <v>8</v>
      </c>
    </row>
    <row r="2970" spans="1:5">
      <c r="A2970" s="65">
        <v>96317</v>
      </c>
      <c r="B2970" s="66" t="s">
        <v>3786</v>
      </c>
      <c r="C2970" s="66" t="s">
        <v>6696</v>
      </c>
      <c r="D2970" s="65">
        <v>20</v>
      </c>
      <c r="E2970" s="65">
        <v>6</v>
      </c>
    </row>
    <row r="2971" spans="1:5">
      <c r="A2971" s="65">
        <v>96319</v>
      </c>
      <c r="B2971" s="66" t="s">
        <v>3593</v>
      </c>
      <c r="C2971" s="66" t="s">
        <v>6697</v>
      </c>
      <c r="D2971" s="65">
        <v>10</v>
      </c>
      <c r="E2971" s="65">
        <v>4</v>
      </c>
    </row>
    <row r="2972" spans="1:5">
      <c r="A2972" s="65">
        <v>96326</v>
      </c>
      <c r="B2972" s="66" t="s">
        <v>3973</v>
      </c>
      <c r="C2972" s="66" t="s">
        <v>6698</v>
      </c>
      <c r="D2972" s="65">
        <v>2</v>
      </c>
      <c r="E2972" s="65">
        <v>1</v>
      </c>
    </row>
    <row r="2973" spans="1:5">
      <c r="A2973" s="65">
        <v>96352</v>
      </c>
      <c r="B2973" s="66" t="s">
        <v>5078</v>
      </c>
      <c r="C2973" s="66" t="s">
        <v>6699</v>
      </c>
      <c r="D2973" s="65">
        <v>8</v>
      </c>
      <c r="E2973" s="65">
        <v>6</v>
      </c>
    </row>
    <row r="2974" spans="1:5">
      <c r="A2974" s="65">
        <v>96363</v>
      </c>
      <c r="B2974" s="66" t="s">
        <v>3649</v>
      </c>
      <c r="C2974" s="66" t="s">
        <v>6700</v>
      </c>
      <c r="D2974" s="65">
        <v>66</v>
      </c>
      <c r="E2974" s="65">
        <v>46</v>
      </c>
    </row>
    <row r="2975" spans="1:5">
      <c r="A2975" s="65">
        <v>96427</v>
      </c>
      <c r="B2975" s="66" t="s">
        <v>3614</v>
      </c>
      <c r="C2975" s="66" t="s">
        <v>6701</v>
      </c>
      <c r="D2975" s="65">
        <v>13</v>
      </c>
      <c r="E2975" s="65">
        <v>6</v>
      </c>
    </row>
    <row r="2976" spans="1:5">
      <c r="A2976" s="65">
        <v>96428</v>
      </c>
      <c r="B2976" s="66" t="s">
        <v>3786</v>
      </c>
      <c r="C2976" s="66" t="s">
        <v>6702</v>
      </c>
      <c r="D2976" s="65">
        <v>20</v>
      </c>
      <c r="E2976" s="65">
        <v>10</v>
      </c>
    </row>
    <row r="2977" spans="1:5">
      <c r="A2977" s="65">
        <v>96429</v>
      </c>
      <c r="B2977" s="66" t="s">
        <v>3786</v>
      </c>
      <c r="C2977" s="66" t="s">
        <v>6703</v>
      </c>
      <c r="D2977" s="65">
        <v>8</v>
      </c>
      <c r="E2977" s="65">
        <v>7</v>
      </c>
    </row>
    <row r="2978" spans="1:5">
      <c r="A2978" s="65">
        <v>96468</v>
      </c>
      <c r="B2978" s="66" t="s">
        <v>3593</v>
      </c>
      <c r="C2978" s="66" t="s">
        <v>6704</v>
      </c>
      <c r="D2978" s="65">
        <v>4</v>
      </c>
      <c r="E2978" s="65">
        <v>4</v>
      </c>
    </row>
    <row r="2979" spans="1:5">
      <c r="A2979" s="65">
        <v>9662</v>
      </c>
      <c r="B2979" s="66" t="s">
        <v>3599</v>
      </c>
      <c r="C2979" s="66" t="s">
        <v>6705</v>
      </c>
      <c r="D2979" s="65">
        <v>18</v>
      </c>
      <c r="E2979" s="65">
        <v>4</v>
      </c>
    </row>
    <row r="2980" spans="1:5">
      <c r="A2980" s="65">
        <v>96650</v>
      </c>
      <c r="B2980" s="66" t="s">
        <v>3731</v>
      </c>
      <c r="C2980" s="66" t="s">
        <v>6706</v>
      </c>
      <c r="D2980" s="65">
        <v>17</v>
      </c>
      <c r="E2980" s="65">
        <v>4</v>
      </c>
    </row>
    <row r="2981" spans="1:5">
      <c r="A2981" s="65">
        <v>96718</v>
      </c>
      <c r="B2981" s="66" t="s">
        <v>3919</v>
      </c>
      <c r="C2981" s="66" t="s">
        <v>6707</v>
      </c>
      <c r="D2981" s="65">
        <v>4</v>
      </c>
      <c r="E2981" s="65">
        <v>4</v>
      </c>
    </row>
    <row r="2982" spans="1:5">
      <c r="A2982" s="65">
        <v>96726</v>
      </c>
      <c r="B2982" s="66" t="s">
        <v>3616</v>
      </c>
      <c r="C2982" s="66" t="s">
        <v>6708</v>
      </c>
      <c r="D2982" s="65">
        <v>46</v>
      </c>
      <c r="E2982" s="65">
        <v>11</v>
      </c>
    </row>
    <row r="2983" spans="1:5">
      <c r="A2983" s="65">
        <v>968</v>
      </c>
      <c r="B2983" s="66" t="s">
        <v>4117</v>
      </c>
      <c r="C2983" s="66" t="s">
        <v>6709</v>
      </c>
      <c r="D2983" s="65">
        <v>51</v>
      </c>
      <c r="E2983" s="65">
        <v>39</v>
      </c>
    </row>
    <row r="2984" spans="1:5">
      <c r="A2984" s="65">
        <v>96856</v>
      </c>
      <c r="B2984" s="66" t="s">
        <v>3625</v>
      </c>
      <c r="C2984" s="66" t="s">
        <v>6710</v>
      </c>
      <c r="D2984" s="65">
        <v>45</v>
      </c>
      <c r="E2984" s="65">
        <v>4</v>
      </c>
    </row>
    <row r="2985" spans="1:5">
      <c r="A2985" s="65">
        <v>96857</v>
      </c>
      <c r="B2985" s="66" t="s">
        <v>3625</v>
      </c>
      <c r="C2985" s="66" t="s">
        <v>6711</v>
      </c>
      <c r="D2985" s="65">
        <v>20</v>
      </c>
      <c r="E2985" s="65">
        <v>2</v>
      </c>
    </row>
    <row r="2986" spans="1:5">
      <c r="A2986" s="65">
        <v>96871</v>
      </c>
      <c r="B2986" s="66" t="s">
        <v>3742</v>
      </c>
      <c r="C2986" s="66" t="s">
        <v>6712</v>
      </c>
      <c r="D2986" s="65">
        <v>8</v>
      </c>
      <c r="E2986" s="65">
        <v>3</v>
      </c>
    </row>
    <row r="2987" spans="1:5">
      <c r="A2987" s="65">
        <v>969</v>
      </c>
      <c r="B2987" s="66" t="s">
        <v>3713</v>
      </c>
      <c r="C2987" s="66" t="s">
        <v>6713</v>
      </c>
      <c r="D2987" s="65">
        <v>1</v>
      </c>
      <c r="E2987" s="65">
        <v>1</v>
      </c>
    </row>
    <row r="2988" spans="1:5">
      <c r="A2988" s="65">
        <v>96941</v>
      </c>
      <c r="B2988" s="66" t="s">
        <v>5220</v>
      </c>
      <c r="C2988" s="66" t="s">
        <v>6714</v>
      </c>
      <c r="D2988" s="65">
        <v>133</v>
      </c>
      <c r="E2988" s="65">
        <v>26</v>
      </c>
    </row>
    <row r="2989" spans="1:5">
      <c r="A2989" s="65">
        <v>96942</v>
      </c>
      <c r="B2989" s="66" t="s">
        <v>5220</v>
      </c>
      <c r="C2989" s="66" t="s">
        <v>6715</v>
      </c>
      <c r="D2989" s="65">
        <v>2</v>
      </c>
      <c r="E2989" s="65">
        <v>1</v>
      </c>
    </row>
    <row r="2990" spans="1:5">
      <c r="A2990" s="65">
        <v>96943</v>
      </c>
      <c r="B2990" s="66" t="s">
        <v>5220</v>
      </c>
      <c r="C2990" s="66" t="s">
        <v>6716</v>
      </c>
      <c r="D2990" s="65">
        <v>28</v>
      </c>
      <c r="E2990" s="65">
        <v>13</v>
      </c>
    </row>
    <row r="2991" spans="1:5">
      <c r="A2991" s="65">
        <v>96944</v>
      </c>
      <c r="B2991" s="66" t="s">
        <v>5220</v>
      </c>
      <c r="C2991" s="66" t="s">
        <v>6717</v>
      </c>
      <c r="D2991" s="65">
        <v>25</v>
      </c>
      <c r="E2991" s="65">
        <v>12</v>
      </c>
    </row>
    <row r="2992" spans="1:5">
      <c r="A2992" s="65">
        <v>96945</v>
      </c>
      <c r="B2992" s="66" t="s">
        <v>5220</v>
      </c>
      <c r="C2992" s="66" t="s">
        <v>6718</v>
      </c>
      <c r="D2992" s="65">
        <v>62</v>
      </c>
      <c r="E2992" s="65">
        <v>22</v>
      </c>
    </row>
    <row r="2993" spans="1:5">
      <c r="A2993" s="65">
        <v>96946</v>
      </c>
      <c r="B2993" s="66" t="s">
        <v>5220</v>
      </c>
      <c r="C2993" s="66" t="s">
        <v>6719</v>
      </c>
      <c r="D2993" s="65">
        <v>19</v>
      </c>
      <c r="E2993" s="65">
        <v>9</v>
      </c>
    </row>
    <row r="2994" spans="1:5">
      <c r="A2994" s="65">
        <v>96947</v>
      </c>
      <c r="B2994" s="66" t="s">
        <v>5220</v>
      </c>
      <c r="C2994" s="66" t="s">
        <v>6720</v>
      </c>
      <c r="D2994" s="65">
        <v>23</v>
      </c>
      <c r="E2994" s="65">
        <v>15</v>
      </c>
    </row>
    <row r="2995" spans="1:5">
      <c r="A2995" s="65">
        <v>96948</v>
      </c>
      <c r="B2995" s="66" t="s">
        <v>5220</v>
      </c>
      <c r="C2995" s="66" t="s">
        <v>6721</v>
      </c>
      <c r="D2995" s="65">
        <v>68</v>
      </c>
      <c r="E2995" s="65">
        <v>22</v>
      </c>
    </row>
    <row r="2996" spans="1:5">
      <c r="A2996" s="65">
        <v>96955</v>
      </c>
      <c r="B2996" s="66" t="s">
        <v>3606</v>
      </c>
      <c r="C2996" s="66" t="s">
        <v>6722</v>
      </c>
      <c r="D2996" s="65">
        <v>14</v>
      </c>
      <c r="E2996" s="65">
        <v>5</v>
      </c>
    </row>
    <row r="2997" spans="1:5">
      <c r="A2997" s="65">
        <v>96958</v>
      </c>
      <c r="B2997" s="66" t="s">
        <v>3625</v>
      </c>
      <c r="C2997" s="66" t="s">
        <v>6723</v>
      </c>
      <c r="D2997" s="65">
        <v>3</v>
      </c>
      <c r="E2997" s="65">
        <v>3</v>
      </c>
    </row>
    <row r="2998" spans="1:5">
      <c r="A2998" s="65">
        <v>9696</v>
      </c>
      <c r="B2998" s="66" t="s">
        <v>3593</v>
      </c>
      <c r="C2998" s="66" t="s">
        <v>6724</v>
      </c>
      <c r="D2998" s="65">
        <v>7</v>
      </c>
      <c r="E2998" s="65">
        <v>6</v>
      </c>
    </row>
    <row r="2999" spans="1:5">
      <c r="A2999" s="65">
        <v>96960</v>
      </c>
      <c r="B2999" s="66" t="s">
        <v>4972</v>
      </c>
      <c r="C2999" s="66" t="s">
        <v>6725</v>
      </c>
      <c r="D2999" s="65">
        <v>7</v>
      </c>
      <c r="E2999" s="65">
        <v>3</v>
      </c>
    </row>
    <row r="3000" spans="1:5">
      <c r="A3000" s="65">
        <v>97052</v>
      </c>
      <c r="B3000" s="66" t="s">
        <v>3639</v>
      </c>
      <c r="C3000" s="66" t="s">
        <v>6726</v>
      </c>
      <c r="D3000" s="65">
        <v>84</v>
      </c>
      <c r="E3000" s="65">
        <v>7</v>
      </c>
    </row>
    <row r="3001" spans="1:5">
      <c r="A3001" s="65">
        <v>97053</v>
      </c>
      <c r="B3001" s="66" t="s">
        <v>3641</v>
      </c>
      <c r="C3001" s="66" t="s">
        <v>6727</v>
      </c>
      <c r="D3001" s="65">
        <v>45</v>
      </c>
      <c r="E3001" s="65">
        <v>4</v>
      </c>
    </row>
    <row r="3002" spans="1:5">
      <c r="A3002" s="65">
        <v>97069</v>
      </c>
      <c r="B3002" s="66" t="s">
        <v>3649</v>
      </c>
      <c r="C3002" s="66" t="s">
        <v>6728</v>
      </c>
      <c r="D3002" s="65">
        <v>5</v>
      </c>
      <c r="E3002" s="65">
        <v>2</v>
      </c>
    </row>
    <row r="3003" spans="1:5">
      <c r="A3003" s="65">
        <v>97071</v>
      </c>
      <c r="B3003" s="66" t="s">
        <v>3731</v>
      </c>
      <c r="C3003" s="66" t="s">
        <v>6729</v>
      </c>
      <c r="D3003" s="65">
        <v>33</v>
      </c>
      <c r="E3003" s="65">
        <v>12</v>
      </c>
    </row>
    <row r="3004" spans="1:5">
      <c r="A3004" s="65">
        <v>97110</v>
      </c>
      <c r="B3004" s="66" t="s">
        <v>3731</v>
      </c>
      <c r="C3004" s="66" t="s">
        <v>6730</v>
      </c>
      <c r="D3004" s="65">
        <v>4</v>
      </c>
      <c r="E3004" s="65">
        <v>3</v>
      </c>
    </row>
    <row r="3005" spans="1:5">
      <c r="A3005" s="65">
        <v>97116</v>
      </c>
      <c r="B3005" s="66" t="s">
        <v>3667</v>
      </c>
      <c r="C3005" s="66" t="s">
        <v>6731</v>
      </c>
      <c r="D3005" s="65">
        <v>125</v>
      </c>
      <c r="E3005" s="65">
        <v>44</v>
      </c>
    </row>
    <row r="3006" spans="1:5">
      <c r="A3006" s="65">
        <v>97123</v>
      </c>
      <c r="B3006" s="66" t="s">
        <v>4117</v>
      </c>
      <c r="C3006" s="66" t="s">
        <v>6732</v>
      </c>
      <c r="D3006" s="65">
        <v>40</v>
      </c>
      <c r="E3006" s="65">
        <v>19</v>
      </c>
    </row>
    <row r="3007" spans="1:5">
      <c r="A3007" s="65">
        <v>97130</v>
      </c>
      <c r="B3007" s="66" t="s">
        <v>3593</v>
      </c>
      <c r="C3007" s="66" t="s">
        <v>6733</v>
      </c>
      <c r="D3007" s="65">
        <v>289</v>
      </c>
      <c r="E3007" s="65">
        <v>31</v>
      </c>
    </row>
    <row r="3008" spans="1:5">
      <c r="A3008" s="65">
        <v>97131</v>
      </c>
      <c r="B3008" s="66" t="s">
        <v>3731</v>
      </c>
      <c r="C3008" s="66" t="s">
        <v>6547</v>
      </c>
      <c r="D3008" s="65">
        <v>12</v>
      </c>
      <c r="E3008" s="65">
        <v>10</v>
      </c>
    </row>
    <row r="3009" spans="1:5">
      <c r="A3009" s="65">
        <v>97137</v>
      </c>
      <c r="B3009" s="66" t="s">
        <v>4237</v>
      </c>
      <c r="C3009" s="66" t="s">
        <v>6734</v>
      </c>
      <c r="D3009" s="65">
        <v>20</v>
      </c>
      <c r="E3009" s="65">
        <v>1</v>
      </c>
    </row>
    <row r="3010" spans="1:5">
      <c r="A3010" s="65">
        <v>9718</v>
      </c>
      <c r="B3010" s="66" t="s">
        <v>3593</v>
      </c>
      <c r="C3010" s="66" t="s">
        <v>6735</v>
      </c>
      <c r="D3010" s="65">
        <v>327</v>
      </c>
      <c r="E3010" s="65">
        <v>14</v>
      </c>
    </row>
    <row r="3011" spans="1:5">
      <c r="A3011" s="65">
        <v>97188</v>
      </c>
      <c r="B3011" s="66" t="s">
        <v>3731</v>
      </c>
      <c r="C3011" s="66" t="s">
        <v>6736</v>
      </c>
      <c r="D3011" s="65">
        <v>10</v>
      </c>
      <c r="E3011" s="65">
        <v>4</v>
      </c>
    </row>
    <row r="3012" spans="1:5">
      <c r="A3012" s="65">
        <v>97197</v>
      </c>
      <c r="B3012" s="66" t="s">
        <v>3597</v>
      </c>
      <c r="C3012" s="66" t="s">
        <v>6737</v>
      </c>
      <c r="D3012" s="65">
        <v>283</v>
      </c>
      <c r="E3012" s="65">
        <v>111</v>
      </c>
    </row>
    <row r="3013" spans="1:5">
      <c r="A3013" s="65">
        <v>9720</v>
      </c>
      <c r="B3013" s="66" t="s">
        <v>3625</v>
      </c>
      <c r="C3013" s="66" t="s">
        <v>6738</v>
      </c>
      <c r="D3013" s="65">
        <v>21</v>
      </c>
      <c r="E3013" s="65">
        <v>12</v>
      </c>
    </row>
    <row r="3014" spans="1:5">
      <c r="A3014" s="65">
        <v>97208</v>
      </c>
      <c r="B3014" s="66" t="s">
        <v>3606</v>
      </c>
      <c r="C3014" s="66" t="s">
        <v>6739</v>
      </c>
      <c r="D3014" s="65">
        <v>255</v>
      </c>
      <c r="E3014" s="65">
        <v>17</v>
      </c>
    </row>
    <row r="3015" spans="1:5">
      <c r="A3015" s="65">
        <v>97210</v>
      </c>
      <c r="B3015" s="66" t="s">
        <v>3677</v>
      </c>
      <c r="C3015" s="66" t="s">
        <v>6740</v>
      </c>
      <c r="D3015" s="65">
        <v>84</v>
      </c>
      <c r="E3015" s="65">
        <v>23</v>
      </c>
    </row>
    <row r="3016" spans="1:5">
      <c r="A3016" s="65">
        <v>97220</v>
      </c>
      <c r="B3016" s="66" t="s">
        <v>3593</v>
      </c>
      <c r="C3016" s="66" t="s">
        <v>6741</v>
      </c>
      <c r="D3016" s="65">
        <v>104</v>
      </c>
      <c r="E3016" s="65">
        <v>38</v>
      </c>
    </row>
    <row r="3017" spans="1:5">
      <c r="A3017" s="65">
        <v>9723</v>
      </c>
      <c r="B3017" s="66" t="s">
        <v>3597</v>
      </c>
      <c r="C3017" s="66" t="s">
        <v>6742</v>
      </c>
      <c r="D3017" s="65">
        <v>43</v>
      </c>
      <c r="E3017" s="65">
        <v>26</v>
      </c>
    </row>
    <row r="3018" spans="1:5">
      <c r="A3018" s="65">
        <v>97264</v>
      </c>
      <c r="B3018" s="66" t="s">
        <v>3649</v>
      </c>
      <c r="C3018" s="66" t="s">
        <v>6743</v>
      </c>
      <c r="D3018" s="65">
        <v>15</v>
      </c>
      <c r="E3018" s="65">
        <v>4</v>
      </c>
    </row>
    <row r="3019" spans="1:5">
      <c r="A3019" s="65">
        <v>9730</v>
      </c>
      <c r="B3019" s="66" t="s">
        <v>3731</v>
      </c>
      <c r="C3019" s="66" t="s">
        <v>6744</v>
      </c>
      <c r="D3019" s="65">
        <v>202</v>
      </c>
      <c r="E3019" s="65">
        <v>26</v>
      </c>
    </row>
    <row r="3020" spans="1:5">
      <c r="A3020" s="65">
        <v>9733</v>
      </c>
      <c r="B3020" s="66" t="s">
        <v>3731</v>
      </c>
      <c r="C3020" s="66" t="s">
        <v>6745</v>
      </c>
      <c r="D3020" s="65">
        <v>68</v>
      </c>
      <c r="E3020" s="65">
        <v>5</v>
      </c>
    </row>
    <row r="3021" spans="1:5">
      <c r="A3021" s="65">
        <v>97344</v>
      </c>
      <c r="B3021" s="66" t="s">
        <v>3731</v>
      </c>
      <c r="C3021" s="66" t="s">
        <v>6746</v>
      </c>
      <c r="D3021" s="65">
        <v>14</v>
      </c>
      <c r="E3021" s="65">
        <v>10</v>
      </c>
    </row>
    <row r="3022" spans="1:5">
      <c r="A3022" s="65">
        <v>97366</v>
      </c>
      <c r="B3022" s="66" t="s">
        <v>3627</v>
      </c>
      <c r="C3022" s="66" t="s">
        <v>6747</v>
      </c>
      <c r="D3022" s="65">
        <v>35</v>
      </c>
      <c r="E3022" s="65">
        <v>6</v>
      </c>
    </row>
    <row r="3023" spans="1:5">
      <c r="A3023" s="65">
        <v>97476</v>
      </c>
      <c r="B3023" s="66" t="s">
        <v>3742</v>
      </c>
      <c r="C3023" s="66" t="s">
        <v>6748</v>
      </c>
      <c r="D3023" s="65">
        <v>36</v>
      </c>
      <c r="E3023" s="65">
        <v>2</v>
      </c>
    </row>
    <row r="3024" spans="1:5">
      <c r="A3024" s="65">
        <v>97690</v>
      </c>
      <c r="B3024" s="66" t="s">
        <v>3593</v>
      </c>
      <c r="C3024" s="66" t="s">
        <v>6749</v>
      </c>
      <c r="D3024" s="65">
        <v>23</v>
      </c>
      <c r="E3024" s="65">
        <v>13</v>
      </c>
    </row>
    <row r="3025" spans="1:5">
      <c r="A3025" s="65">
        <v>97706</v>
      </c>
      <c r="B3025" s="66" t="s">
        <v>4317</v>
      </c>
      <c r="C3025" s="66" t="s">
        <v>6750</v>
      </c>
      <c r="D3025" s="65">
        <v>6</v>
      </c>
      <c r="E3025" s="65">
        <v>3</v>
      </c>
    </row>
    <row r="3026" spans="1:5">
      <c r="A3026" s="65">
        <v>97854</v>
      </c>
      <c r="B3026" s="66" t="s">
        <v>4317</v>
      </c>
      <c r="C3026" s="66" t="s">
        <v>6751</v>
      </c>
      <c r="D3026" s="65">
        <v>10</v>
      </c>
      <c r="E3026" s="65">
        <v>2</v>
      </c>
    </row>
    <row r="3027" spans="1:5">
      <c r="A3027" s="65">
        <v>97855</v>
      </c>
      <c r="B3027" s="66" t="s">
        <v>4317</v>
      </c>
      <c r="C3027" s="66" t="s">
        <v>6752</v>
      </c>
      <c r="D3027" s="65">
        <v>10</v>
      </c>
      <c r="E3027" s="65">
        <v>2</v>
      </c>
    </row>
    <row r="3028" spans="1:5">
      <c r="A3028" s="65">
        <v>9803</v>
      </c>
      <c r="B3028" s="66" t="s">
        <v>3742</v>
      </c>
      <c r="C3028" s="66" t="s">
        <v>6753</v>
      </c>
      <c r="D3028" s="65">
        <v>98</v>
      </c>
      <c r="E3028" s="65">
        <v>13</v>
      </c>
    </row>
    <row r="3029" spans="1:5">
      <c r="A3029" s="65">
        <v>9808</v>
      </c>
      <c r="B3029" s="66" t="s">
        <v>3627</v>
      </c>
      <c r="C3029" s="66" t="s">
        <v>6754</v>
      </c>
      <c r="D3029" s="65">
        <v>958</v>
      </c>
      <c r="E3029" s="65">
        <v>143</v>
      </c>
    </row>
    <row r="3030" spans="1:5">
      <c r="A3030" s="65">
        <v>9815</v>
      </c>
      <c r="B3030" s="66" t="s">
        <v>3616</v>
      </c>
      <c r="C3030" s="66" t="s">
        <v>6755</v>
      </c>
      <c r="D3030" s="65">
        <v>4</v>
      </c>
      <c r="E3030" s="65">
        <v>1</v>
      </c>
    </row>
    <row r="3031" spans="1:5">
      <c r="A3031" s="65">
        <v>98212</v>
      </c>
      <c r="B3031" s="66" t="s">
        <v>3627</v>
      </c>
      <c r="C3031" s="66" t="s">
        <v>6756</v>
      </c>
      <c r="D3031" s="65">
        <v>11</v>
      </c>
      <c r="E3031" s="65">
        <v>2</v>
      </c>
    </row>
    <row r="3032" spans="1:5">
      <c r="A3032" s="65">
        <v>9836</v>
      </c>
      <c r="B3032" s="66" t="s">
        <v>3597</v>
      </c>
      <c r="C3032" s="66" t="s">
        <v>6757</v>
      </c>
      <c r="D3032" s="65">
        <v>274</v>
      </c>
      <c r="E3032" s="65">
        <v>52</v>
      </c>
    </row>
    <row r="3033" spans="1:5">
      <c r="A3033" s="65">
        <v>9840</v>
      </c>
      <c r="B3033" s="66" t="s">
        <v>4610</v>
      </c>
      <c r="C3033" s="66" t="s">
        <v>6758</v>
      </c>
      <c r="D3033" s="65">
        <v>5</v>
      </c>
      <c r="E3033" s="65">
        <v>1</v>
      </c>
    </row>
    <row r="3034" spans="1:5">
      <c r="A3034" s="65">
        <v>98959</v>
      </c>
      <c r="B3034" s="66" t="s">
        <v>3742</v>
      </c>
      <c r="C3034" s="66" t="s">
        <v>6759</v>
      </c>
      <c r="D3034" s="65">
        <v>18</v>
      </c>
      <c r="E3034" s="65">
        <v>17</v>
      </c>
    </row>
    <row r="3035" spans="1:5">
      <c r="A3035" s="65">
        <v>98974</v>
      </c>
      <c r="B3035" s="66" t="s">
        <v>3641</v>
      </c>
      <c r="C3035" s="66" t="s">
        <v>6760</v>
      </c>
      <c r="D3035" s="65">
        <v>3</v>
      </c>
      <c r="E3035" s="65">
        <v>2</v>
      </c>
    </row>
    <row r="3036" spans="1:5">
      <c r="A3036" s="65">
        <v>98975</v>
      </c>
      <c r="B3036" s="66" t="s">
        <v>3649</v>
      </c>
      <c r="C3036" s="66" t="s">
        <v>6761</v>
      </c>
      <c r="D3036" s="65">
        <v>1</v>
      </c>
      <c r="E3036" s="65">
        <v>1</v>
      </c>
    </row>
    <row r="3037" spans="1:5">
      <c r="A3037" s="65">
        <v>99062</v>
      </c>
      <c r="B3037" s="66" t="s">
        <v>5220</v>
      </c>
      <c r="C3037" s="66" t="s">
        <v>6762</v>
      </c>
      <c r="D3037" s="65">
        <v>9</v>
      </c>
      <c r="E3037" s="65">
        <v>5</v>
      </c>
    </row>
    <row r="3038" spans="1:5">
      <c r="A3038" s="65">
        <v>99206</v>
      </c>
      <c r="B3038" s="66" t="s">
        <v>3876</v>
      </c>
      <c r="C3038" s="66" t="s">
        <v>6763</v>
      </c>
      <c r="D3038" s="65">
        <v>9</v>
      </c>
      <c r="E3038" s="65">
        <v>7</v>
      </c>
    </row>
    <row r="3039" spans="1:5">
      <c r="A3039" s="65">
        <v>9928</v>
      </c>
      <c r="B3039" s="66" t="s">
        <v>5831</v>
      </c>
      <c r="C3039" s="66" t="s">
        <v>6764</v>
      </c>
      <c r="D3039" s="65">
        <v>132</v>
      </c>
      <c r="E3039" s="65">
        <v>2</v>
      </c>
    </row>
    <row r="3040" spans="1:5">
      <c r="A3040" s="65">
        <v>9937</v>
      </c>
      <c r="B3040" s="66" t="s">
        <v>3612</v>
      </c>
      <c r="C3040" s="66" t="s">
        <v>6765</v>
      </c>
      <c r="D3040" s="65">
        <v>1</v>
      </c>
      <c r="E3040" s="65">
        <v>1</v>
      </c>
    </row>
    <row r="3041" spans="1:5">
      <c r="A3041" s="65">
        <v>99550</v>
      </c>
      <c r="B3041" s="66" t="s">
        <v>3616</v>
      </c>
      <c r="C3041" s="66" t="s">
        <v>6766</v>
      </c>
      <c r="D3041" s="65">
        <v>60</v>
      </c>
      <c r="E3041" s="65">
        <v>1</v>
      </c>
    </row>
    <row r="3042" spans="1:5">
      <c r="A3042" s="65">
        <v>996</v>
      </c>
      <c r="B3042" s="66" t="s">
        <v>3616</v>
      </c>
      <c r="C3042" s="66" t="s">
        <v>6767</v>
      </c>
      <c r="D3042" s="65">
        <v>43</v>
      </c>
      <c r="E3042" s="65">
        <v>39</v>
      </c>
    </row>
    <row r="3043" spans="1:5">
      <c r="A3043" s="65">
        <v>99731</v>
      </c>
      <c r="B3043" s="66" t="s">
        <v>5220</v>
      </c>
      <c r="C3043" s="66" t="s">
        <v>6768</v>
      </c>
      <c r="D3043" s="65">
        <v>48</v>
      </c>
      <c r="E3043" s="65">
        <v>8</v>
      </c>
    </row>
    <row r="3044" spans="1:5">
      <c r="A3044" s="65">
        <v>99739</v>
      </c>
      <c r="B3044" s="66" t="s">
        <v>3665</v>
      </c>
      <c r="C3044" s="66" t="s">
        <v>6769</v>
      </c>
      <c r="D3044" s="65">
        <v>11</v>
      </c>
      <c r="E3044" s="65">
        <v>7</v>
      </c>
    </row>
    <row r="3045" spans="1:5">
      <c r="A3045" s="65">
        <v>99746</v>
      </c>
      <c r="B3045" s="66" t="s">
        <v>3614</v>
      </c>
      <c r="C3045" s="66" t="s">
        <v>6770</v>
      </c>
      <c r="D3045" s="65">
        <v>177</v>
      </c>
      <c r="E3045" s="65">
        <v>37</v>
      </c>
    </row>
    <row r="3046" spans="1:5">
      <c r="A3046" s="65">
        <v>99765</v>
      </c>
      <c r="B3046" s="66" t="s">
        <v>3763</v>
      </c>
      <c r="C3046" s="66" t="s">
        <v>6771</v>
      </c>
      <c r="D3046" s="65">
        <v>30</v>
      </c>
      <c r="E3046" s="65">
        <v>2</v>
      </c>
    </row>
    <row r="3047" spans="1:5">
      <c r="A3047" s="65">
        <v>99783</v>
      </c>
      <c r="B3047" s="66" t="s">
        <v>3643</v>
      </c>
      <c r="C3047" s="66" t="s">
        <v>6772</v>
      </c>
      <c r="D3047" s="65">
        <v>15</v>
      </c>
      <c r="E3047" s="65">
        <v>12</v>
      </c>
    </row>
    <row r="3048" spans="1:5">
      <c r="A3048" s="65">
        <v>99840</v>
      </c>
      <c r="B3048" s="66" t="s">
        <v>3643</v>
      </c>
      <c r="C3048" s="66" t="s">
        <v>6773</v>
      </c>
      <c r="D3048" s="65">
        <v>4</v>
      </c>
      <c r="E3048" s="65">
        <v>4</v>
      </c>
    </row>
    <row r="3049" spans="1:5">
      <c r="A3049" s="65">
        <v>99854</v>
      </c>
      <c r="B3049" s="66" t="s">
        <v>3667</v>
      </c>
      <c r="C3049" s="66" t="s">
        <v>6774</v>
      </c>
      <c r="D3049" s="65">
        <v>1860</v>
      </c>
      <c r="E3049" s="65">
        <v>183</v>
      </c>
    </row>
    <row r="3050" spans="1:5">
      <c r="A3050" s="65">
        <v>99855</v>
      </c>
      <c r="B3050" s="66" t="s">
        <v>3616</v>
      </c>
      <c r="C3050" s="66" t="s">
        <v>6775</v>
      </c>
      <c r="D3050" s="65">
        <v>647</v>
      </c>
      <c r="E3050" s="65">
        <v>93</v>
      </c>
    </row>
    <row r="3051" spans="1:5">
      <c r="A3051" s="65">
        <v>99868</v>
      </c>
      <c r="B3051" s="66" t="s">
        <v>3667</v>
      </c>
      <c r="C3051" s="66" t="s">
        <v>6776</v>
      </c>
      <c r="D3051" s="65">
        <v>30</v>
      </c>
      <c r="E3051" s="65">
        <v>3</v>
      </c>
    </row>
    <row r="3052" spans="1:5">
      <c r="A3052" s="65">
        <v>9993</v>
      </c>
      <c r="B3052" s="66" t="s">
        <v>3641</v>
      </c>
      <c r="C3052" s="66" t="s">
        <v>6777</v>
      </c>
      <c r="D3052" s="65">
        <v>1</v>
      </c>
      <c r="E3052" s="65">
        <v>1</v>
      </c>
    </row>
    <row r="3053" spans="1:5">
      <c r="A3053" s="65">
        <v>99988</v>
      </c>
      <c r="B3053" s="66" t="s">
        <v>6778</v>
      </c>
      <c r="C3053" s="66" t="s">
        <v>6779</v>
      </c>
      <c r="D3053" s="65">
        <v>6</v>
      </c>
      <c r="E3053" s="65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7911-3F60-4032-BC02-407EFC95B08E}">
  <dimension ref="A1:B2284"/>
  <sheetViews>
    <sheetView workbookViewId="0">
      <selection activeCell="B11" sqref="B11"/>
    </sheetView>
  </sheetViews>
  <sheetFormatPr defaultColWidth="8.85546875" defaultRowHeight="15"/>
  <cols>
    <col min="1" max="1" width="10.7109375" style="281" bestFit="1" customWidth="1"/>
    <col min="2" max="2" width="14.42578125" bestFit="1" customWidth="1"/>
  </cols>
  <sheetData>
    <row r="1" spans="1:2" ht="27">
      <c r="A1" s="279" t="s">
        <v>2603</v>
      </c>
      <c r="B1" s="67" t="s">
        <v>6780</v>
      </c>
    </row>
    <row r="2" spans="1:2">
      <c r="A2" s="280" t="s">
        <v>254</v>
      </c>
      <c r="B2" s="65">
        <v>157034</v>
      </c>
    </row>
    <row r="3" spans="1:2">
      <c r="A3" s="280" t="s">
        <v>252</v>
      </c>
      <c r="B3" s="65">
        <v>138956</v>
      </c>
    </row>
    <row r="4" spans="1:2">
      <c r="A4" s="280" t="s">
        <v>251</v>
      </c>
      <c r="B4" s="65">
        <v>177434</v>
      </c>
    </row>
    <row r="5" spans="1:2">
      <c r="A5" s="280" t="s">
        <v>250</v>
      </c>
      <c r="B5" s="65">
        <v>175924</v>
      </c>
    </row>
    <row r="6" spans="1:2">
      <c r="A6" s="280" t="s">
        <v>249</v>
      </c>
      <c r="B6" s="65">
        <v>60924</v>
      </c>
    </row>
    <row r="7" spans="1:2">
      <c r="A7" s="280" t="s">
        <v>147</v>
      </c>
      <c r="B7" s="65">
        <v>35300</v>
      </c>
    </row>
    <row r="8" spans="1:2">
      <c r="A8" s="280" t="s">
        <v>146</v>
      </c>
      <c r="B8" s="65">
        <v>59358</v>
      </c>
    </row>
    <row r="9" spans="1:2">
      <c r="A9" s="280" t="s">
        <v>145</v>
      </c>
      <c r="B9" s="65">
        <v>14773</v>
      </c>
    </row>
    <row r="10" spans="1:2">
      <c r="A10" s="280" t="s">
        <v>144</v>
      </c>
      <c r="B10" s="65">
        <v>157032</v>
      </c>
    </row>
    <row r="11" spans="1:2">
      <c r="A11" s="280" t="s">
        <v>38</v>
      </c>
      <c r="B11" s="65">
        <v>112479</v>
      </c>
    </row>
    <row r="12" spans="1:2">
      <c r="A12" s="280" t="s">
        <v>35</v>
      </c>
      <c r="B12" s="65">
        <v>137425</v>
      </c>
    </row>
    <row r="13" spans="1:2">
      <c r="A13" s="280" t="s">
        <v>34</v>
      </c>
      <c r="B13" s="65">
        <v>136207</v>
      </c>
    </row>
    <row r="14" spans="1:2">
      <c r="A14" s="280" t="s">
        <v>33</v>
      </c>
      <c r="B14" s="65">
        <v>66985</v>
      </c>
    </row>
    <row r="15" spans="1:2">
      <c r="A15" s="280" t="s">
        <v>248</v>
      </c>
      <c r="B15" s="65">
        <v>209353</v>
      </c>
    </row>
    <row r="16" spans="1:2">
      <c r="A16" s="280" t="s">
        <v>245</v>
      </c>
      <c r="B16" s="65">
        <v>6061</v>
      </c>
    </row>
    <row r="17" spans="1:2">
      <c r="A17" s="280" t="s">
        <v>244</v>
      </c>
      <c r="B17" s="65">
        <v>4643</v>
      </c>
    </row>
    <row r="18" spans="1:2">
      <c r="A18" s="280" t="s">
        <v>243</v>
      </c>
      <c r="B18" s="65">
        <v>2490</v>
      </c>
    </row>
    <row r="19" spans="1:2">
      <c r="A19" s="280" t="s">
        <v>141</v>
      </c>
      <c r="B19" s="65">
        <v>453</v>
      </c>
    </row>
    <row r="20" spans="1:2">
      <c r="A20" s="280" t="s">
        <v>140</v>
      </c>
      <c r="B20" s="65">
        <v>138819</v>
      </c>
    </row>
    <row r="21" spans="1:2">
      <c r="A21" s="280" t="s">
        <v>139</v>
      </c>
      <c r="B21" s="65">
        <v>177435</v>
      </c>
    </row>
    <row r="22" spans="1:2">
      <c r="A22" s="280" t="s">
        <v>138</v>
      </c>
      <c r="B22" s="65">
        <v>1398</v>
      </c>
    </row>
    <row r="23" spans="1:2">
      <c r="A23" s="280" t="s">
        <v>32</v>
      </c>
      <c r="B23" s="65">
        <v>143535</v>
      </c>
    </row>
    <row r="24" spans="1:2">
      <c r="A24" s="280" t="s">
        <v>31</v>
      </c>
      <c r="B24" s="65">
        <v>121332</v>
      </c>
    </row>
    <row r="25" spans="1:2">
      <c r="A25" s="280" t="s">
        <v>30</v>
      </c>
      <c r="B25" s="65">
        <v>274</v>
      </c>
    </row>
    <row r="26" spans="1:2">
      <c r="A26" s="280" t="s">
        <v>29</v>
      </c>
      <c r="B26" s="65">
        <v>39345</v>
      </c>
    </row>
    <row r="27" spans="1:2">
      <c r="A27" s="280" t="s">
        <v>28</v>
      </c>
      <c r="B27" s="65">
        <v>1495</v>
      </c>
    </row>
    <row r="28" spans="1:2">
      <c r="A28" s="280" t="s">
        <v>27</v>
      </c>
      <c r="B28" s="65">
        <v>1935</v>
      </c>
    </row>
    <row r="29" spans="1:2">
      <c r="A29" s="280" t="s">
        <v>242</v>
      </c>
      <c r="B29" s="65">
        <v>126105</v>
      </c>
    </row>
    <row r="30" spans="1:2">
      <c r="A30" s="280" t="s">
        <v>241</v>
      </c>
      <c r="B30" s="65">
        <v>79183</v>
      </c>
    </row>
    <row r="31" spans="1:2">
      <c r="A31" s="280" t="s">
        <v>240</v>
      </c>
      <c r="B31" s="65">
        <v>131598</v>
      </c>
    </row>
    <row r="32" spans="1:2">
      <c r="A32" s="280" t="s">
        <v>239</v>
      </c>
      <c r="B32" s="65">
        <v>178357</v>
      </c>
    </row>
    <row r="33" spans="1:2">
      <c r="A33" s="280" t="s">
        <v>238</v>
      </c>
      <c r="B33" s="65">
        <v>74434</v>
      </c>
    </row>
    <row r="34" spans="1:2">
      <c r="A34" s="280" t="s">
        <v>237</v>
      </c>
      <c r="B34" s="65">
        <v>68068</v>
      </c>
    </row>
    <row r="35" spans="1:2">
      <c r="A35" s="280" t="s">
        <v>135</v>
      </c>
      <c r="B35" s="65">
        <v>101738</v>
      </c>
    </row>
    <row r="36" spans="1:2">
      <c r="A36" s="280" t="s">
        <v>134</v>
      </c>
      <c r="B36" s="65">
        <v>60152</v>
      </c>
    </row>
    <row r="37" spans="1:2">
      <c r="A37" s="280" t="s">
        <v>133</v>
      </c>
      <c r="B37" s="65">
        <v>59688</v>
      </c>
    </row>
    <row r="38" spans="1:2">
      <c r="A38" s="280" t="s">
        <v>132</v>
      </c>
      <c r="B38" s="65">
        <v>42042</v>
      </c>
    </row>
    <row r="39" spans="1:2">
      <c r="A39" s="280" t="s">
        <v>131</v>
      </c>
      <c r="B39" s="65">
        <v>37393</v>
      </c>
    </row>
    <row r="40" spans="1:2">
      <c r="A40" s="280" t="s">
        <v>130</v>
      </c>
      <c r="B40" s="65">
        <v>20032</v>
      </c>
    </row>
    <row r="41" spans="1:2">
      <c r="A41" s="280" t="s">
        <v>26</v>
      </c>
      <c r="B41" s="65">
        <v>108193</v>
      </c>
    </row>
    <row r="42" spans="1:2">
      <c r="A42" s="280" t="s">
        <v>25</v>
      </c>
      <c r="B42" s="65">
        <v>11271</v>
      </c>
    </row>
    <row r="43" spans="1:2">
      <c r="A43" s="280" t="s">
        <v>24</v>
      </c>
      <c r="B43" s="65">
        <v>110490</v>
      </c>
    </row>
    <row r="44" spans="1:2">
      <c r="A44" s="280" t="s">
        <v>23</v>
      </c>
      <c r="B44" s="65">
        <v>174235</v>
      </c>
    </row>
    <row r="45" spans="1:2">
      <c r="A45" s="280" t="s">
        <v>22</v>
      </c>
      <c r="B45" s="65">
        <v>8538</v>
      </c>
    </row>
    <row r="46" spans="1:2">
      <c r="A46" s="280" t="s">
        <v>21</v>
      </c>
      <c r="B46" s="65">
        <v>7494</v>
      </c>
    </row>
    <row r="47" spans="1:2">
      <c r="A47" s="280" t="s">
        <v>236</v>
      </c>
      <c r="B47" s="65">
        <v>124940</v>
      </c>
    </row>
    <row r="48" spans="1:2">
      <c r="A48" s="280" t="s">
        <v>235</v>
      </c>
      <c r="B48" s="65">
        <v>1461</v>
      </c>
    </row>
    <row r="49" spans="1:2">
      <c r="A49" s="280" t="s">
        <v>234</v>
      </c>
      <c r="B49" s="65">
        <v>118443</v>
      </c>
    </row>
    <row r="50" spans="1:2">
      <c r="A50" s="280" t="s">
        <v>233</v>
      </c>
      <c r="B50" s="65">
        <v>1030</v>
      </c>
    </row>
    <row r="51" spans="1:2">
      <c r="A51" s="280" t="s">
        <v>232</v>
      </c>
      <c r="B51" s="65">
        <v>97706</v>
      </c>
    </row>
    <row r="52" spans="1:2">
      <c r="A52" s="280" t="s">
        <v>129</v>
      </c>
      <c r="B52" s="65">
        <v>12778</v>
      </c>
    </row>
    <row r="53" spans="1:2">
      <c r="A53" s="280" t="s">
        <v>128</v>
      </c>
      <c r="B53" s="65">
        <v>157430</v>
      </c>
    </row>
    <row r="54" spans="1:2">
      <c r="A54" s="280" t="s">
        <v>127</v>
      </c>
      <c r="B54" s="65">
        <v>112169</v>
      </c>
    </row>
    <row r="55" spans="1:2">
      <c r="A55" s="280" t="s">
        <v>126</v>
      </c>
      <c r="B55" s="65">
        <v>108468</v>
      </c>
    </row>
    <row r="56" spans="1:2">
      <c r="A56" s="280" t="s">
        <v>125</v>
      </c>
      <c r="B56" s="65">
        <v>106380</v>
      </c>
    </row>
    <row r="57" spans="1:2">
      <c r="A57" s="280" t="s">
        <v>124</v>
      </c>
      <c r="B57" s="65">
        <v>104614</v>
      </c>
    </row>
    <row r="58" spans="1:2">
      <c r="A58" s="280" t="s">
        <v>20</v>
      </c>
      <c r="B58" s="65">
        <v>95389</v>
      </c>
    </row>
    <row r="59" spans="1:2">
      <c r="A59" s="280" t="s">
        <v>19</v>
      </c>
      <c r="B59" s="65">
        <v>80793</v>
      </c>
    </row>
    <row r="60" spans="1:2">
      <c r="A60" s="280" t="s">
        <v>18</v>
      </c>
      <c r="B60" s="65">
        <v>97694</v>
      </c>
    </row>
    <row r="61" spans="1:2">
      <c r="A61" s="280" t="s">
        <v>17</v>
      </c>
      <c r="B61" s="65">
        <v>177110</v>
      </c>
    </row>
    <row r="62" spans="1:2">
      <c r="A62" s="280" t="s">
        <v>16</v>
      </c>
      <c r="B62" s="65">
        <v>93333</v>
      </c>
    </row>
    <row r="63" spans="1:2">
      <c r="A63" s="280" t="s">
        <v>15</v>
      </c>
      <c r="B63" s="65">
        <v>87480</v>
      </c>
    </row>
    <row r="64" spans="1:2">
      <c r="A64" s="280" t="s">
        <v>230</v>
      </c>
      <c r="B64" s="65">
        <v>116906</v>
      </c>
    </row>
    <row r="65" spans="1:2">
      <c r="A65" s="280" t="s">
        <v>229</v>
      </c>
      <c r="B65" s="65">
        <v>126103</v>
      </c>
    </row>
    <row r="66" spans="1:2">
      <c r="A66" s="280" t="s">
        <v>228</v>
      </c>
      <c r="B66" s="65">
        <v>139736</v>
      </c>
    </row>
    <row r="67" spans="1:2">
      <c r="A67" s="280" t="s">
        <v>227</v>
      </c>
      <c r="B67" s="65">
        <v>139050</v>
      </c>
    </row>
    <row r="68" spans="1:2">
      <c r="A68" s="280" t="s">
        <v>226</v>
      </c>
      <c r="B68" s="65">
        <v>138946</v>
      </c>
    </row>
    <row r="69" spans="1:2">
      <c r="A69" s="280" t="s">
        <v>123</v>
      </c>
      <c r="B69" s="65">
        <v>159074</v>
      </c>
    </row>
    <row r="70" spans="1:2">
      <c r="A70" s="280" t="s">
        <v>122</v>
      </c>
      <c r="B70" s="65">
        <v>138510</v>
      </c>
    </row>
    <row r="71" spans="1:2">
      <c r="A71" s="280" t="s">
        <v>121</v>
      </c>
      <c r="B71" s="65">
        <v>160486</v>
      </c>
    </row>
    <row r="72" spans="1:2">
      <c r="A72" s="280" t="s">
        <v>120</v>
      </c>
      <c r="B72" s="65">
        <v>134290</v>
      </c>
    </row>
    <row r="73" spans="1:2">
      <c r="A73" s="280" t="s">
        <v>119</v>
      </c>
      <c r="B73" s="65">
        <v>133639</v>
      </c>
    </row>
    <row r="74" spans="1:2">
      <c r="A74" s="280" t="s">
        <v>14</v>
      </c>
      <c r="B74" s="65">
        <v>159069</v>
      </c>
    </row>
    <row r="75" spans="1:2">
      <c r="A75" s="280" t="s">
        <v>12</v>
      </c>
      <c r="B75" s="65">
        <v>132831</v>
      </c>
    </row>
    <row r="76" spans="1:2">
      <c r="A76" s="280" t="s">
        <v>11</v>
      </c>
      <c r="B76" s="65">
        <v>132703</v>
      </c>
    </row>
    <row r="77" spans="1:2">
      <c r="A77" s="280" t="s">
        <v>10</v>
      </c>
      <c r="B77" s="65">
        <v>131496</v>
      </c>
    </row>
    <row r="78" spans="1:2">
      <c r="A78" s="280" t="s">
        <v>9</v>
      </c>
      <c r="B78" s="65">
        <v>158198</v>
      </c>
    </row>
    <row r="79" spans="1:2">
      <c r="A79" s="280" t="s">
        <v>225</v>
      </c>
      <c r="B79" s="65">
        <v>84582</v>
      </c>
    </row>
    <row r="80" spans="1:2">
      <c r="A80" s="280" t="s">
        <v>224</v>
      </c>
      <c r="B80" s="65">
        <v>119975</v>
      </c>
    </row>
    <row r="81" spans="1:2">
      <c r="A81" s="280" t="s">
        <v>223</v>
      </c>
      <c r="B81" s="65">
        <v>88216</v>
      </c>
    </row>
    <row r="82" spans="1:2">
      <c r="A82" s="280" t="s">
        <v>222</v>
      </c>
      <c r="B82" s="65">
        <v>116845</v>
      </c>
    </row>
    <row r="83" spans="1:2">
      <c r="A83" s="280" t="s">
        <v>221</v>
      </c>
      <c r="B83" s="65">
        <v>1966</v>
      </c>
    </row>
    <row r="84" spans="1:2">
      <c r="A84" s="280" t="s">
        <v>220</v>
      </c>
      <c r="B84" s="65">
        <v>95995</v>
      </c>
    </row>
    <row r="85" spans="1:2">
      <c r="A85" s="280" t="s">
        <v>118</v>
      </c>
      <c r="B85" s="65">
        <v>114170</v>
      </c>
    </row>
    <row r="86" spans="1:2">
      <c r="A86" s="280" t="s">
        <v>117</v>
      </c>
      <c r="B86" s="65">
        <v>94840</v>
      </c>
    </row>
    <row r="87" spans="1:2">
      <c r="A87" s="280" t="s">
        <v>116</v>
      </c>
      <c r="B87" s="65">
        <v>77908</v>
      </c>
    </row>
    <row r="88" spans="1:2">
      <c r="A88" s="280" t="s">
        <v>115</v>
      </c>
      <c r="B88" s="65">
        <v>136330</v>
      </c>
    </row>
    <row r="89" spans="1:2">
      <c r="A89" s="280" t="s">
        <v>114</v>
      </c>
      <c r="B89" s="65">
        <v>142657</v>
      </c>
    </row>
    <row r="90" spans="1:2">
      <c r="A90" s="280" t="s">
        <v>113</v>
      </c>
      <c r="B90" s="65">
        <v>661</v>
      </c>
    </row>
    <row r="91" spans="1:2">
      <c r="A91" s="280" t="s">
        <v>8</v>
      </c>
      <c r="B91" s="65">
        <v>138661</v>
      </c>
    </row>
    <row r="92" spans="1:2">
      <c r="A92" s="280" t="s">
        <v>7</v>
      </c>
      <c r="B92" s="65">
        <v>156308</v>
      </c>
    </row>
    <row r="93" spans="1:2">
      <c r="A93" s="280" t="s">
        <v>6</v>
      </c>
      <c r="B93" s="65">
        <v>133420</v>
      </c>
    </row>
    <row r="94" spans="1:2">
      <c r="A94" s="280" t="s">
        <v>5</v>
      </c>
      <c r="B94" s="65">
        <v>176124</v>
      </c>
    </row>
    <row r="95" spans="1:2">
      <c r="A95" s="280" t="s">
        <v>4</v>
      </c>
      <c r="B95" s="65">
        <v>60044</v>
      </c>
    </row>
    <row r="96" spans="1:2">
      <c r="A96" s="280" t="s">
        <v>3</v>
      </c>
      <c r="B96" s="65">
        <v>90495</v>
      </c>
    </row>
    <row r="97" spans="1:2">
      <c r="A97" s="280" t="s">
        <v>375</v>
      </c>
      <c r="B97" s="65">
        <v>131860</v>
      </c>
    </row>
    <row r="98" spans="1:2">
      <c r="A98" s="280" t="s">
        <v>374</v>
      </c>
      <c r="B98" s="65">
        <v>110680</v>
      </c>
    </row>
    <row r="99" spans="1:2">
      <c r="A99" s="280" t="s">
        <v>373</v>
      </c>
      <c r="B99" s="65">
        <v>177161</v>
      </c>
    </row>
    <row r="100" spans="1:2">
      <c r="A100" s="280" t="s">
        <v>372</v>
      </c>
      <c r="B100" s="65">
        <v>39529</v>
      </c>
    </row>
    <row r="101" spans="1:2">
      <c r="A101" s="280" t="s">
        <v>371</v>
      </c>
      <c r="B101" s="65">
        <v>134366</v>
      </c>
    </row>
    <row r="102" spans="1:2">
      <c r="A102" s="280" t="s">
        <v>370</v>
      </c>
      <c r="B102" s="65">
        <v>135745</v>
      </c>
    </row>
    <row r="103" spans="1:2">
      <c r="A103" s="280" t="s">
        <v>486</v>
      </c>
      <c r="B103" s="65">
        <v>177437</v>
      </c>
    </row>
    <row r="104" spans="1:2">
      <c r="A104" s="280" t="s">
        <v>485</v>
      </c>
      <c r="B104" s="65">
        <v>1822</v>
      </c>
    </row>
    <row r="105" spans="1:2">
      <c r="A105" s="280" t="s">
        <v>484</v>
      </c>
      <c r="B105" s="65">
        <v>132706</v>
      </c>
    </row>
    <row r="106" spans="1:2">
      <c r="A106" s="280" t="s">
        <v>483</v>
      </c>
      <c r="B106" s="65">
        <v>138519</v>
      </c>
    </row>
    <row r="107" spans="1:2">
      <c r="A107" s="280" t="s">
        <v>482</v>
      </c>
      <c r="B107" s="66" t="s">
        <v>6781</v>
      </c>
    </row>
    <row r="108" spans="1:2">
      <c r="A108" s="280" t="s">
        <v>481</v>
      </c>
      <c r="B108" s="65">
        <v>155999</v>
      </c>
    </row>
    <row r="109" spans="1:2">
      <c r="A109" s="280" t="s">
        <v>597</v>
      </c>
      <c r="B109" s="65">
        <v>142566</v>
      </c>
    </row>
    <row r="110" spans="1:2">
      <c r="A110" s="280" t="s">
        <v>596</v>
      </c>
      <c r="B110" s="65">
        <v>1498</v>
      </c>
    </row>
    <row r="111" spans="1:2">
      <c r="A111" s="280" t="s">
        <v>595</v>
      </c>
      <c r="B111" s="65">
        <v>113448</v>
      </c>
    </row>
    <row r="112" spans="1:2">
      <c r="A112" s="280" t="s">
        <v>594</v>
      </c>
      <c r="B112" s="65">
        <v>136239</v>
      </c>
    </row>
    <row r="113" spans="1:2">
      <c r="A113" s="280" t="s">
        <v>593</v>
      </c>
      <c r="B113" s="65">
        <v>132790</v>
      </c>
    </row>
    <row r="114" spans="1:2">
      <c r="A114" s="280" t="s">
        <v>592</v>
      </c>
      <c r="B114" s="65">
        <v>443</v>
      </c>
    </row>
    <row r="115" spans="1:2">
      <c r="A115" s="280" t="s">
        <v>369</v>
      </c>
      <c r="B115" s="65">
        <v>131705</v>
      </c>
    </row>
    <row r="116" spans="1:2">
      <c r="A116" s="280" t="s">
        <v>368</v>
      </c>
      <c r="B116" s="65">
        <v>87481</v>
      </c>
    </row>
    <row r="117" spans="1:2">
      <c r="A117" s="280" t="s">
        <v>367</v>
      </c>
      <c r="B117" s="65">
        <v>130156</v>
      </c>
    </row>
    <row r="118" spans="1:2">
      <c r="A118" s="280" t="s">
        <v>366</v>
      </c>
      <c r="B118" s="65">
        <v>27577</v>
      </c>
    </row>
    <row r="119" spans="1:2">
      <c r="A119" s="280" t="s">
        <v>365</v>
      </c>
      <c r="B119" s="65">
        <v>17967</v>
      </c>
    </row>
    <row r="120" spans="1:2">
      <c r="A120" s="280" t="s">
        <v>364</v>
      </c>
      <c r="B120" s="65">
        <v>64491</v>
      </c>
    </row>
    <row r="121" spans="1:2">
      <c r="A121" s="280" t="s">
        <v>480</v>
      </c>
      <c r="B121" s="65">
        <v>35193</v>
      </c>
    </row>
    <row r="122" spans="1:2">
      <c r="A122" s="280" t="s">
        <v>479</v>
      </c>
      <c r="B122" s="65">
        <v>9208</v>
      </c>
    </row>
    <row r="123" spans="1:2">
      <c r="A123" s="280" t="s">
        <v>478</v>
      </c>
      <c r="B123" s="65">
        <v>107</v>
      </c>
    </row>
    <row r="124" spans="1:2">
      <c r="A124" s="280" t="s">
        <v>476</v>
      </c>
      <c r="B124" s="65">
        <v>114252</v>
      </c>
    </row>
    <row r="125" spans="1:2">
      <c r="A125" s="280" t="s">
        <v>475</v>
      </c>
      <c r="B125" s="65">
        <v>132598</v>
      </c>
    </row>
    <row r="126" spans="1:2">
      <c r="A126" s="280" t="s">
        <v>591</v>
      </c>
      <c r="B126" s="65">
        <v>35098</v>
      </c>
    </row>
    <row r="127" spans="1:2">
      <c r="A127" s="280" t="s">
        <v>590</v>
      </c>
      <c r="B127" s="65">
        <v>112834</v>
      </c>
    </row>
    <row r="128" spans="1:2">
      <c r="A128" s="280" t="s">
        <v>589</v>
      </c>
      <c r="B128" s="65">
        <v>111259</v>
      </c>
    </row>
    <row r="129" spans="1:2">
      <c r="A129" s="280" t="s">
        <v>588</v>
      </c>
      <c r="B129" s="65">
        <v>131408</v>
      </c>
    </row>
    <row r="130" spans="1:2">
      <c r="A130" s="280" t="s">
        <v>587</v>
      </c>
      <c r="B130" s="65">
        <v>172868</v>
      </c>
    </row>
    <row r="131" spans="1:2">
      <c r="A131" s="280" t="s">
        <v>586</v>
      </c>
      <c r="B131" s="65">
        <v>131954</v>
      </c>
    </row>
    <row r="132" spans="1:2">
      <c r="A132" s="280" t="s">
        <v>363</v>
      </c>
      <c r="B132" s="65">
        <v>27578</v>
      </c>
    </row>
    <row r="133" spans="1:2">
      <c r="A133" s="280" t="s">
        <v>362</v>
      </c>
      <c r="B133" s="65">
        <v>114251</v>
      </c>
    </row>
    <row r="134" spans="1:2">
      <c r="A134" s="280" t="s">
        <v>361</v>
      </c>
      <c r="B134" s="65">
        <v>176611</v>
      </c>
    </row>
    <row r="135" spans="1:2">
      <c r="A135" s="280" t="s">
        <v>360</v>
      </c>
      <c r="B135" s="65">
        <v>113439</v>
      </c>
    </row>
    <row r="136" spans="1:2">
      <c r="A136" s="280" t="s">
        <v>359</v>
      </c>
      <c r="B136" s="65">
        <v>91603</v>
      </c>
    </row>
    <row r="137" spans="1:2">
      <c r="A137" s="280" t="s">
        <v>358</v>
      </c>
      <c r="B137" s="65">
        <v>388</v>
      </c>
    </row>
    <row r="138" spans="1:2">
      <c r="A138" s="280" t="s">
        <v>474</v>
      </c>
      <c r="B138" s="65">
        <v>147</v>
      </c>
    </row>
    <row r="139" spans="1:2">
      <c r="A139" s="280" t="s">
        <v>473</v>
      </c>
      <c r="B139" s="65">
        <v>126059</v>
      </c>
    </row>
    <row r="140" spans="1:2">
      <c r="A140" s="280" t="s">
        <v>472</v>
      </c>
      <c r="B140" s="65">
        <v>48964</v>
      </c>
    </row>
    <row r="141" spans="1:2">
      <c r="A141" s="280" t="s">
        <v>471</v>
      </c>
      <c r="B141" s="65">
        <v>159279</v>
      </c>
    </row>
    <row r="142" spans="1:2">
      <c r="A142" s="280" t="s">
        <v>470</v>
      </c>
      <c r="B142" s="65">
        <v>135983</v>
      </c>
    </row>
    <row r="143" spans="1:2">
      <c r="A143" s="280" t="s">
        <v>469</v>
      </c>
      <c r="B143" s="65">
        <v>140837</v>
      </c>
    </row>
    <row r="144" spans="1:2">
      <c r="A144" s="280" t="s">
        <v>585</v>
      </c>
      <c r="B144" s="65">
        <v>126007</v>
      </c>
    </row>
    <row r="145" spans="1:2">
      <c r="A145" s="280" t="s">
        <v>584</v>
      </c>
      <c r="B145" s="65">
        <v>1022</v>
      </c>
    </row>
    <row r="146" spans="1:2">
      <c r="A146" s="280" t="s">
        <v>583</v>
      </c>
      <c r="B146" s="65">
        <v>6669</v>
      </c>
    </row>
    <row r="147" spans="1:2">
      <c r="A147" s="280" t="s">
        <v>582</v>
      </c>
      <c r="B147" s="65">
        <v>177014</v>
      </c>
    </row>
    <row r="148" spans="1:2">
      <c r="A148" s="280" t="s">
        <v>581</v>
      </c>
      <c r="B148" s="65">
        <v>114182</v>
      </c>
    </row>
    <row r="149" spans="1:2">
      <c r="A149" s="280" t="s">
        <v>580</v>
      </c>
      <c r="B149" s="65">
        <v>100105</v>
      </c>
    </row>
    <row r="150" spans="1:2">
      <c r="A150" s="280" t="s">
        <v>357</v>
      </c>
      <c r="B150" s="65">
        <v>1523</v>
      </c>
    </row>
    <row r="151" spans="1:2">
      <c r="A151" s="280" t="s">
        <v>356</v>
      </c>
      <c r="B151" s="65">
        <v>174179</v>
      </c>
    </row>
    <row r="152" spans="1:2">
      <c r="A152" s="280" t="s">
        <v>355</v>
      </c>
      <c r="B152" s="65">
        <v>112675</v>
      </c>
    </row>
    <row r="153" spans="1:2">
      <c r="A153" s="280" t="s">
        <v>354</v>
      </c>
      <c r="B153" s="65">
        <v>86991</v>
      </c>
    </row>
    <row r="154" spans="1:2">
      <c r="A154" s="280" t="s">
        <v>353</v>
      </c>
      <c r="B154" s="65">
        <v>156819</v>
      </c>
    </row>
    <row r="155" spans="1:2">
      <c r="A155" s="280" t="s">
        <v>352</v>
      </c>
      <c r="B155" s="65">
        <v>156820</v>
      </c>
    </row>
    <row r="156" spans="1:2">
      <c r="A156" s="280" t="s">
        <v>468</v>
      </c>
      <c r="B156" s="65">
        <v>173006</v>
      </c>
    </row>
    <row r="157" spans="1:2">
      <c r="A157" s="280" t="s">
        <v>467</v>
      </c>
      <c r="B157" s="65">
        <v>53285</v>
      </c>
    </row>
    <row r="158" spans="1:2">
      <c r="A158" s="280" t="s">
        <v>466</v>
      </c>
      <c r="B158" s="65">
        <v>158211</v>
      </c>
    </row>
    <row r="159" spans="1:2">
      <c r="A159" s="280" t="s">
        <v>465</v>
      </c>
      <c r="B159" s="65">
        <v>137029</v>
      </c>
    </row>
    <row r="160" spans="1:2">
      <c r="A160" s="280" t="s">
        <v>464</v>
      </c>
      <c r="B160" s="65">
        <v>132721</v>
      </c>
    </row>
    <row r="161" spans="1:2">
      <c r="A161" s="280" t="s">
        <v>463</v>
      </c>
      <c r="B161" s="65">
        <v>93343</v>
      </c>
    </row>
    <row r="162" spans="1:2">
      <c r="A162" s="280" t="s">
        <v>579</v>
      </c>
      <c r="B162" s="65">
        <v>81131</v>
      </c>
    </row>
    <row r="163" spans="1:2">
      <c r="A163" s="280" t="s">
        <v>578</v>
      </c>
      <c r="B163" s="65">
        <v>726</v>
      </c>
    </row>
    <row r="164" spans="1:2">
      <c r="A164" s="280" t="s">
        <v>577</v>
      </c>
      <c r="B164" s="65">
        <v>114357</v>
      </c>
    </row>
    <row r="165" spans="1:2">
      <c r="A165" s="280" t="s">
        <v>576</v>
      </c>
      <c r="B165" s="65">
        <v>116843</v>
      </c>
    </row>
    <row r="166" spans="1:2">
      <c r="A166" s="280" t="s">
        <v>575</v>
      </c>
      <c r="B166" s="65">
        <v>178082</v>
      </c>
    </row>
    <row r="167" spans="1:2">
      <c r="A167" s="280" t="s">
        <v>574</v>
      </c>
      <c r="B167" s="65">
        <v>119935</v>
      </c>
    </row>
    <row r="168" spans="1:2">
      <c r="A168" s="280" t="s">
        <v>351</v>
      </c>
      <c r="B168" s="65">
        <v>138557</v>
      </c>
    </row>
    <row r="169" spans="1:2">
      <c r="A169" s="280" t="s">
        <v>350</v>
      </c>
      <c r="B169" s="65">
        <v>140189</v>
      </c>
    </row>
    <row r="170" spans="1:2">
      <c r="A170" s="280" t="s">
        <v>349</v>
      </c>
      <c r="B170" s="65">
        <v>60575</v>
      </c>
    </row>
    <row r="171" spans="1:2">
      <c r="A171" s="280" t="s">
        <v>348</v>
      </c>
      <c r="B171" s="65">
        <v>84486</v>
      </c>
    </row>
    <row r="172" spans="1:2">
      <c r="A172" s="280" t="s">
        <v>347</v>
      </c>
      <c r="B172" s="65">
        <v>125447</v>
      </c>
    </row>
    <row r="173" spans="1:2">
      <c r="A173" s="280" t="s">
        <v>346</v>
      </c>
      <c r="B173" s="65">
        <v>155908</v>
      </c>
    </row>
    <row r="174" spans="1:2">
      <c r="A174" s="280" t="s">
        <v>462</v>
      </c>
      <c r="B174" s="65">
        <v>139776</v>
      </c>
    </row>
    <row r="175" spans="1:2">
      <c r="A175" s="280" t="s">
        <v>461</v>
      </c>
      <c r="B175" s="65">
        <v>100409</v>
      </c>
    </row>
    <row r="176" spans="1:2">
      <c r="A176" s="280" t="s">
        <v>460</v>
      </c>
      <c r="B176" s="65">
        <v>116097</v>
      </c>
    </row>
    <row r="177" spans="1:2">
      <c r="A177" s="280" t="s">
        <v>459</v>
      </c>
      <c r="B177" s="65">
        <v>68</v>
      </c>
    </row>
    <row r="178" spans="1:2">
      <c r="A178" s="280" t="s">
        <v>458</v>
      </c>
      <c r="B178" s="65">
        <v>155913</v>
      </c>
    </row>
    <row r="179" spans="1:2">
      <c r="A179" s="280" t="s">
        <v>457</v>
      </c>
      <c r="B179" s="65">
        <v>18869</v>
      </c>
    </row>
    <row r="180" spans="1:2">
      <c r="A180" s="280" t="s">
        <v>573</v>
      </c>
      <c r="B180" s="65">
        <v>172870</v>
      </c>
    </row>
    <row r="181" spans="1:2">
      <c r="A181" s="280" t="s">
        <v>572</v>
      </c>
      <c r="B181" s="65">
        <v>175876</v>
      </c>
    </row>
    <row r="182" spans="1:2">
      <c r="A182" s="280" t="s">
        <v>571</v>
      </c>
      <c r="B182" s="65">
        <v>108877</v>
      </c>
    </row>
    <row r="183" spans="1:2">
      <c r="A183" s="280" t="s">
        <v>570</v>
      </c>
      <c r="B183" s="65">
        <v>6270</v>
      </c>
    </row>
    <row r="184" spans="1:2">
      <c r="A184" s="280" t="s">
        <v>569</v>
      </c>
      <c r="B184" s="65">
        <v>99855</v>
      </c>
    </row>
    <row r="185" spans="1:2">
      <c r="A185" s="280" t="s">
        <v>568</v>
      </c>
      <c r="B185" s="65">
        <v>177178</v>
      </c>
    </row>
    <row r="186" spans="1:2">
      <c r="A186" s="280" t="s">
        <v>345</v>
      </c>
      <c r="B186" s="65">
        <v>223313</v>
      </c>
    </row>
    <row r="187" spans="1:2">
      <c r="A187" s="280" t="s">
        <v>344</v>
      </c>
      <c r="B187" s="65">
        <v>1045</v>
      </c>
    </row>
    <row r="188" spans="1:2">
      <c r="A188" s="280" t="s">
        <v>343</v>
      </c>
      <c r="B188" s="65">
        <v>176167</v>
      </c>
    </row>
    <row r="189" spans="1:2">
      <c r="A189" s="280" t="s">
        <v>342</v>
      </c>
      <c r="B189" s="65">
        <v>35294</v>
      </c>
    </row>
    <row r="190" spans="1:2">
      <c r="A190" s="280" t="s">
        <v>341</v>
      </c>
      <c r="B190" s="65">
        <v>177436</v>
      </c>
    </row>
    <row r="191" spans="1:2">
      <c r="A191" s="280" t="s">
        <v>340</v>
      </c>
      <c r="B191" s="65">
        <v>77307</v>
      </c>
    </row>
    <row r="192" spans="1:2">
      <c r="A192" s="280" t="s">
        <v>456</v>
      </c>
      <c r="B192" s="65">
        <v>177009</v>
      </c>
    </row>
    <row r="193" spans="1:2">
      <c r="A193" s="280" t="s">
        <v>455</v>
      </c>
      <c r="B193" s="65">
        <v>100771</v>
      </c>
    </row>
    <row r="194" spans="1:2">
      <c r="A194" s="280" t="s">
        <v>454</v>
      </c>
      <c r="B194" s="65">
        <v>120005</v>
      </c>
    </row>
    <row r="195" spans="1:2">
      <c r="A195" s="280" t="s">
        <v>453</v>
      </c>
      <c r="B195" s="65">
        <v>172563</v>
      </c>
    </row>
    <row r="196" spans="1:2">
      <c r="A196" s="280" t="s">
        <v>452</v>
      </c>
      <c r="B196" s="65">
        <v>97690</v>
      </c>
    </row>
    <row r="197" spans="1:2">
      <c r="A197" s="280" t="s">
        <v>451</v>
      </c>
      <c r="B197" s="65">
        <v>141177</v>
      </c>
    </row>
    <row r="198" spans="1:2">
      <c r="A198" s="280" t="s">
        <v>567</v>
      </c>
      <c r="B198" s="65">
        <v>468</v>
      </c>
    </row>
    <row r="199" spans="1:2">
      <c r="A199" s="280" t="s">
        <v>566</v>
      </c>
      <c r="B199" s="65">
        <v>130169</v>
      </c>
    </row>
    <row r="200" spans="1:2">
      <c r="A200" s="280" t="s">
        <v>565</v>
      </c>
      <c r="B200" s="65">
        <v>77270</v>
      </c>
    </row>
    <row r="201" spans="1:2">
      <c r="A201" s="280" t="s">
        <v>564</v>
      </c>
      <c r="B201" s="65">
        <v>60733</v>
      </c>
    </row>
    <row r="202" spans="1:2">
      <c r="A202" s="280" t="s">
        <v>563</v>
      </c>
      <c r="B202" s="65">
        <v>157330</v>
      </c>
    </row>
    <row r="203" spans="1:2">
      <c r="A203" s="280" t="s">
        <v>562</v>
      </c>
      <c r="B203" s="65">
        <v>132789</v>
      </c>
    </row>
    <row r="204" spans="1:2">
      <c r="A204" s="280" t="s">
        <v>83</v>
      </c>
      <c r="B204" s="65">
        <v>62617</v>
      </c>
    </row>
    <row r="205" spans="1:2">
      <c r="A205" s="280" t="s">
        <v>95</v>
      </c>
      <c r="B205" s="65">
        <v>30143</v>
      </c>
    </row>
    <row r="206" spans="1:2">
      <c r="A206" s="280" t="s">
        <v>107</v>
      </c>
      <c r="B206" s="65">
        <v>123945</v>
      </c>
    </row>
    <row r="207" spans="1:2">
      <c r="A207" s="280" t="s">
        <v>190</v>
      </c>
      <c r="B207" s="65">
        <v>177087</v>
      </c>
    </row>
    <row r="208" spans="1:2">
      <c r="A208" s="280" t="s">
        <v>202</v>
      </c>
      <c r="B208" s="65">
        <v>107130</v>
      </c>
    </row>
    <row r="209" spans="1:2">
      <c r="A209" s="280" t="s">
        <v>214</v>
      </c>
      <c r="B209" s="65">
        <v>100134</v>
      </c>
    </row>
    <row r="210" spans="1:2">
      <c r="A210" s="280" t="s">
        <v>297</v>
      </c>
      <c r="B210" s="65">
        <v>65257</v>
      </c>
    </row>
    <row r="211" spans="1:2">
      <c r="A211" s="280" t="s">
        <v>308</v>
      </c>
      <c r="B211" s="65">
        <v>120173</v>
      </c>
    </row>
    <row r="212" spans="1:2">
      <c r="A212" s="280" t="s">
        <v>316</v>
      </c>
      <c r="B212" s="65">
        <v>108911</v>
      </c>
    </row>
    <row r="213" spans="1:2">
      <c r="A213" s="280" t="s">
        <v>84</v>
      </c>
      <c r="B213" s="65">
        <v>87064</v>
      </c>
    </row>
    <row r="214" spans="1:2">
      <c r="A214" s="280" t="s">
        <v>96</v>
      </c>
      <c r="B214" s="65">
        <v>28740</v>
      </c>
    </row>
    <row r="215" spans="1:2">
      <c r="A215" s="280" t="s">
        <v>108</v>
      </c>
      <c r="B215" s="65">
        <v>81</v>
      </c>
    </row>
    <row r="216" spans="1:2">
      <c r="A216" s="280" t="s">
        <v>191</v>
      </c>
      <c r="B216" s="65">
        <v>8250</v>
      </c>
    </row>
    <row r="217" spans="1:2">
      <c r="A217" s="280" t="s">
        <v>203</v>
      </c>
      <c r="B217" s="65">
        <v>192</v>
      </c>
    </row>
    <row r="218" spans="1:2">
      <c r="A218" s="280" t="s">
        <v>215</v>
      </c>
      <c r="B218" s="65">
        <v>116911</v>
      </c>
    </row>
    <row r="219" spans="1:2">
      <c r="A219" s="280" t="s">
        <v>298</v>
      </c>
      <c r="B219" s="65">
        <v>63153</v>
      </c>
    </row>
    <row r="220" spans="1:2">
      <c r="A220" s="280" t="s">
        <v>309</v>
      </c>
      <c r="B220" s="65">
        <v>95684</v>
      </c>
    </row>
    <row r="221" spans="1:2">
      <c r="A221" s="280" t="s">
        <v>317</v>
      </c>
      <c r="B221" s="65">
        <v>18602</v>
      </c>
    </row>
    <row r="222" spans="1:2">
      <c r="A222" s="280" t="s">
        <v>86</v>
      </c>
      <c r="B222" s="65">
        <v>131492</v>
      </c>
    </row>
    <row r="223" spans="1:2">
      <c r="A223" s="280" t="s">
        <v>98</v>
      </c>
      <c r="B223" s="65">
        <v>13801</v>
      </c>
    </row>
    <row r="224" spans="1:2">
      <c r="A224" s="280" t="s">
        <v>110</v>
      </c>
      <c r="B224" s="65">
        <v>330</v>
      </c>
    </row>
    <row r="225" spans="1:2">
      <c r="A225" s="280" t="s">
        <v>193</v>
      </c>
      <c r="B225" s="65">
        <v>144144</v>
      </c>
    </row>
    <row r="226" spans="1:2">
      <c r="A226" s="280" t="s">
        <v>205</v>
      </c>
      <c r="B226" s="65">
        <v>100826</v>
      </c>
    </row>
    <row r="227" spans="1:2">
      <c r="A227" s="280" t="s">
        <v>217</v>
      </c>
      <c r="B227" s="65">
        <v>61323</v>
      </c>
    </row>
    <row r="228" spans="1:2">
      <c r="A228" s="280" t="s">
        <v>300</v>
      </c>
      <c r="B228" s="65">
        <v>157703</v>
      </c>
    </row>
    <row r="229" spans="1:2">
      <c r="A229" s="280" t="s">
        <v>87</v>
      </c>
      <c r="B229" s="65">
        <v>136011</v>
      </c>
    </row>
    <row r="230" spans="1:2">
      <c r="A230" s="280" t="s">
        <v>99</v>
      </c>
      <c r="B230" s="65">
        <v>59405</v>
      </c>
    </row>
    <row r="231" spans="1:2">
      <c r="A231" s="280" t="s">
        <v>111</v>
      </c>
      <c r="B231" s="65">
        <v>173314</v>
      </c>
    </row>
    <row r="232" spans="1:2">
      <c r="A232" s="280" t="s">
        <v>194</v>
      </c>
      <c r="B232" s="65">
        <v>115909</v>
      </c>
    </row>
    <row r="233" spans="1:2">
      <c r="A233" s="280" t="s">
        <v>206</v>
      </c>
      <c r="B233" s="65">
        <v>172419</v>
      </c>
    </row>
    <row r="234" spans="1:2">
      <c r="A234" s="280" t="s">
        <v>218</v>
      </c>
      <c r="B234" s="65">
        <v>18598</v>
      </c>
    </row>
    <row r="235" spans="1:2">
      <c r="A235" s="280" t="s">
        <v>301</v>
      </c>
      <c r="B235" s="65">
        <v>127265</v>
      </c>
    </row>
    <row r="236" spans="1:2">
      <c r="A236" s="280" t="s">
        <v>85</v>
      </c>
      <c r="B236" s="65">
        <v>95802</v>
      </c>
    </row>
    <row r="237" spans="1:2">
      <c r="A237" s="280" t="s">
        <v>97</v>
      </c>
      <c r="B237" s="65">
        <v>123377</v>
      </c>
    </row>
    <row r="238" spans="1:2">
      <c r="A238" s="280" t="s">
        <v>109</v>
      </c>
      <c r="B238" s="65">
        <v>35196</v>
      </c>
    </row>
    <row r="239" spans="1:2">
      <c r="A239" s="280" t="s">
        <v>192</v>
      </c>
      <c r="B239" s="65">
        <v>177134</v>
      </c>
    </row>
    <row r="240" spans="1:2">
      <c r="A240" s="280" t="s">
        <v>204</v>
      </c>
      <c r="B240" s="65">
        <v>127138</v>
      </c>
    </row>
    <row r="241" spans="1:2">
      <c r="A241" s="280" t="s">
        <v>216</v>
      </c>
      <c r="B241" s="65">
        <v>59632</v>
      </c>
    </row>
    <row r="242" spans="1:2">
      <c r="A242" s="280" t="s">
        <v>310</v>
      </c>
      <c r="B242" s="65">
        <v>1811</v>
      </c>
    </row>
    <row r="243" spans="1:2">
      <c r="A243" s="280" t="s">
        <v>318</v>
      </c>
      <c r="B243" s="65">
        <v>13164</v>
      </c>
    </row>
    <row r="244" spans="1:2">
      <c r="A244" s="280" t="s">
        <v>88</v>
      </c>
      <c r="B244" s="65">
        <v>112644</v>
      </c>
    </row>
    <row r="245" spans="1:2">
      <c r="A245" s="280" t="s">
        <v>100</v>
      </c>
      <c r="B245" s="65">
        <v>63938</v>
      </c>
    </row>
    <row r="246" spans="1:2">
      <c r="A246" s="280" t="s">
        <v>112</v>
      </c>
      <c r="B246" s="65">
        <v>8566</v>
      </c>
    </row>
    <row r="247" spans="1:2">
      <c r="A247" s="280" t="s">
        <v>195</v>
      </c>
      <c r="B247" s="65">
        <v>156659</v>
      </c>
    </row>
    <row r="248" spans="1:2">
      <c r="A248" s="280" t="s">
        <v>207</v>
      </c>
      <c r="B248" s="65">
        <v>109160</v>
      </c>
    </row>
    <row r="249" spans="1:2">
      <c r="A249" s="280" t="s">
        <v>219</v>
      </c>
      <c r="B249" s="65">
        <v>65803</v>
      </c>
    </row>
    <row r="250" spans="1:2">
      <c r="A250" s="280" t="s">
        <v>302</v>
      </c>
      <c r="B250" s="65">
        <v>11552</v>
      </c>
    </row>
    <row r="251" spans="1:2">
      <c r="A251" s="280" t="s">
        <v>311</v>
      </c>
      <c r="B251" s="65">
        <v>1428</v>
      </c>
    </row>
    <row r="252" spans="1:2">
      <c r="A252" s="280" t="s">
        <v>319</v>
      </c>
      <c r="B252" s="65">
        <v>28728</v>
      </c>
    </row>
    <row r="253" spans="1:2">
      <c r="A253" s="280" t="s">
        <v>296</v>
      </c>
      <c r="B253" s="65">
        <v>177644</v>
      </c>
    </row>
    <row r="254" spans="1:2">
      <c r="A254" s="280" t="s">
        <v>295</v>
      </c>
      <c r="B254" s="65">
        <v>105917</v>
      </c>
    </row>
    <row r="255" spans="1:2">
      <c r="A255" s="280" t="s">
        <v>294</v>
      </c>
      <c r="B255" s="65">
        <v>110684</v>
      </c>
    </row>
    <row r="256" spans="1:2">
      <c r="A256" s="280" t="s">
        <v>293</v>
      </c>
      <c r="B256" s="65">
        <v>108438</v>
      </c>
    </row>
    <row r="257" spans="1:2">
      <c r="A257" s="280" t="s">
        <v>292</v>
      </c>
      <c r="B257" s="65">
        <v>160508</v>
      </c>
    </row>
    <row r="258" spans="1:2">
      <c r="A258" s="280" t="s">
        <v>291</v>
      </c>
      <c r="B258" s="65">
        <v>116913</v>
      </c>
    </row>
    <row r="259" spans="1:2">
      <c r="A259" s="280" t="s">
        <v>189</v>
      </c>
      <c r="B259" s="65">
        <v>100379</v>
      </c>
    </row>
    <row r="260" spans="1:2">
      <c r="A260" s="280" t="s">
        <v>186</v>
      </c>
      <c r="B260" s="65">
        <v>110685</v>
      </c>
    </row>
    <row r="261" spans="1:2">
      <c r="A261" s="280" t="s">
        <v>185</v>
      </c>
      <c r="B261" s="65">
        <v>99765</v>
      </c>
    </row>
    <row r="262" spans="1:2">
      <c r="A262" s="280" t="s">
        <v>184</v>
      </c>
      <c r="B262" s="65">
        <v>116652</v>
      </c>
    </row>
    <row r="263" spans="1:2">
      <c r="A263" s="280" t="s">
        <v>82</v>
      </c>
      <c r="B263" s="65">
        <v>14454</v>
      </c>
    </row>
    <row r="264" spans="1:2">
      <c r="A264" s="280" t="s">
        <v>81</v>
      </c>
      <c r="B264" s="65">
        <v>111877</v>
      </c>
    </row>
    <row r="265" spans="1:2">
      <c r="A265" s="280" t="s">
        <v>80</v>
      </c>
      <c r="B265" s="65">
        <v>83062</v>
      </c>
    </row>
    <row r="266" spans="1:2">
      <c r="A266" s="280" t="s">
        <v>79</v>
      </c>
      <c r="B266" s="65">
        <v>113994</v>
      </c>
    </row>
    <row r="267" spans="1:2">
      <c r="A267" s="280" t="s">
        <v>78</v>
      </c>
      <c r="B267" s="65">
        <v>2489</v>
      </c>
    </row>
    <row r="268" spans="1:2">
      <c r="A268" s="280" t="s">
        <v>77</v>
      </c>
      <c r="B268" s="65">
        <v>159180</v>
      </c>
    </row>
    <row r="269" spans="1:2">
      <c r="A269" s="280" t="s">
        <v>290</v>
      </c>
      <c r="B269" s="65">
        <v>110503</v>
      </c>
    </row>
    <row r="270" spans="1:2">
      <c r="A270" s="280" t="s">
        <v>289</v>
      </c>
      <c r="B270" s="65">
        <v>4531</v>
      </c>
    </row>
    <row r="271" spans="1:2">
      <c r="A271" s="280" t="s">
        <v>288</v>
      </c>
      <c r="B271" s="65">
        <v>160510</v>
      </c>
    </row>
    <row r="272" spans="1:2">
      <c r="A272" s="280" t="s">
        <v>287</v>
      </c>
      <c r="B272" s="65">
        <v>140675</v>
      </c>
    </row>
    <row r="273" spans="1:2">
      <c r="A273" s="280" t="s">
        <v>286</v>
      </c>
      <c r="B273" s="65">
        <v>136456</v>
      </c>
    </row>
    <row r="274" spans="1:2">
      <c r="A274" s="280" t="s">
        <v>285</v>
      </c>
      <c r="B274" s="65">
        <v>177763</v>
      </c>
    </row>
    <row r="275" spans="1:2">
      <c r="A275" s="280" t="s">
        <v>183</v>
      </c>
      <c r="B275" s="65">
        <v>2646</v>
      </c>
    </row>
    <row r="276" spans="1:2">
      <c r="A276" s="280" t="s">
        <v>182</v>
      </c>
      <c r="B276" s="65">
        <v>138811</v>
      </c>
    </row>
    <row r="277" spans="1:2">
      <c r="A277" s="280" t="s">
        <v>181</v>
      </c>
      <c r="B277" s="65">
        <v>110502</v>
      </c>
    </row>
    <row r="278" spans="1:2">
      <c r="A278" s="280" t="s">
        <v>180</v>
      </c>
      <c r="B278" s="65">
        <v>138815</v>
      </c>
    </row>
    <row r="279" spans="1:2">
      <c r="A279" s="280" t="s">
        <v>179</v>
      </c>
      <c r="B279" s="65">
        <v>144249</v>
      </c>
    </row>
    <row r="280" spans="1:2">
      <c r="A280" s="280" t="s">
        <v>178</v>
      </c>
      <c r="B280" s="65">
        <v>60997</v>
      </c>
    </row>
    <row r="281" spans="1:2">
      <c r="A281" s="280" t="s">
        <v>76</v>
      </c>
      <c r="B281" s="65">
        <v>129753</v>
      </c>
    </row>
    <row r="282" spans="1:2">
      <c r="A282" s="280" t="s">
        <v>75</v>
      </c>
      <c r="B282" s="65">
        <v>110238</v>
      </c>
    </row>
    <row r="283" spans="1:2">
      <c r="A283" s="280" t="s">
        <v>74</v>
      </c>
      <c r="B283" s="65">
        <v>107015</v>
      </c>
    </row>
    <row r="284" spans="1:2">
      <c r="A284" s="280" t="s">
        <v>73</v>
      </c>
      <c r="B284" s="65">
        <v>59790</v>
      </c>
    </row>
    <row r="285" spans="1:2">
      <c r="A285" s="280" t="s">
        <v>71</v>
      </c>
      <c r="B285" s="65">
        <v>118350</v>
      </c>
    </row>
    <row r="286" spans="1:2">
      <c r="A286" s="280" t="s">
        <v>284</v>
      </c>
      <c r="B286" s="65">
        <v>5308</v>
      </c>
    </row>
    <row r="287" spans="1:2">
      <c r="A287" s="280" t="s">
        <v>283</v>
      </c>
      <c r="B287" s="65">
        <v>139657</v>
      </c>
    </row>
    <row r="288" spans="1:2">
      <c r="A288" s="280" t="s">
        <v>282</v>
      </c>
      <c r="B288" s="65">
        <v>176789</v>
      </c>
    </row>
    <row r="289" spans="1:2">
      <c r="A289" s="280" t="s">
        <v>281</v>
      </c>
      <c r="B289" s="65">
        <v>116905</v>
      </c>
    </row>
    <row r="290" spans="1:2">
      <c r="A290" s="280" t="s">
        <v>280</v>
      </c>
      <c r="B290" s="65">
        <v>158112</v>
      </c>
    </row>
    <row r="291" spans="1:2">
      <c r="A291" s="280" t="s">
        <v>279</v>
      </c>
      <c r="B291" s="65">
        <v>138814</v>
      </c>
    </row>
    <row r="292" spans="1:2">
      <c r="A292" s="280" t="s">
        <v>177</v>
      </c>
      <c r="B292" s="65">
        <v>136872</v>
      </c>
    </row>
    <row r="293" spans="1:2">
      <c r="A293" s="280" t="s">
        <v>175</v>
      </c>
      <c r="B293" s="65">
        <v>104493</v>
      </c>
    </row>
    <row r="294" spans="1:2">
      <c r="A294" s="280" t="s">
        <v>174</v>
      </c>
      <c r="B294" s="65">
        <v>124941</v>
      </c>
    </row>
    <row r="295" spans="1:2">
      <c r="A295" s="280" t="s">
        <v>173</v>
      </c>
      <c r="B295" s="65">
        <v>110603</v>
      </c>
    </row>
    <row r="296" spans="1:2">
      <c r="A296" s="280" t="s">
        <v>172</v>
      </c>
      <c r="B296" s="65">
        <v>100613</v>
      </c>
    </row>
    <row r="297" spans="1:2">
      <c r="A297" s="280" t="s">
        <v>70</v>
      </c>
      <c r="B297" s="66" t="s">
        <v>6781</v>
      </c>
    </row>
    <row r="298" spans="1:2">
      <c r="A298" s="280" t="s">
        <v>69</v>
      </c>
      <c r="B298" s="65">
        <v>126374</v>
      </c>
    </row>
    <row r="299" spans="1:2">
      <c r="A299" s="280" t="s">
        <v>68</v>
      </c>
      <c r="B299" s="65">
        <v>84788</v>
      </c>
    </row>
    <row r="300" spans="1:2">
      <c r="A300" s="280" t="s">
        <v>67</v>
      </c>
      <c r="B300" s="65">
        <v>136031</v>
      </c>
    </row>
    <row r="301" spans="1:2">
      <c r="A301" s="280" t="s">
        <v>66</v>
      </c>
      <c r="B301" s="65">
        <v>156644</v>
      </c>
    </row>
    <row r="302" spans="1:2">
      <c r="A302" s="280" t="s">
        <v>65</v>
      </c>
      <c r="B302" s="65">
        <v>124785</v>
      </c>
    </row>
    <row r="303" spans="1:2">
      <c r="A303" s="280" t="s">
        <v>278</v>
      </c>
      <c r="B303" s="65">
        <v>78499</v>
      </c>
    </row>
    <row r="304" spans="1:2">
      <c r="A304" s="280" t="s">
        <v>277</v>
      </c>
      <c r="B304" s="65">
        <v>77273</v>
      </c>
    </row>
    <row r="305" spans="1:2">
      <c r="A305" s="280" t="s">
        <v>276</v>
      </c>
      <c r="B305" s="65">
        <v>102830</v>
      </c>
    </row>
    <row r="306" spans="1:2">
      <c r="A306" s="280" t="s">
        <v>275</v>
      </c>
      <c r="B306" s="65">
        <v>138662</v>
      </c>
    </row>
    <row r="307" spans="1:2">
      <c r="A307" s="280" t="s">
        <v>274</v>
      </c>
      <c r="B307" s="65">
        <v>49170</v>
      </c>
    </row>
    <row r="308" spans="1:2">
      <c r="A308" s="280" t="s">
        <v>273</v>
      </c>
      <c r="B308" s="65">
        <v>101017</v>
      </c>
    </row>
    <row r="309" spans="1:2">
      <c r="A309" s="280" t="s">
        <v>171</v>
      </c>
      <c r="B309" s="65">
        <v>48850</v>
      </c>
    </row>
    <row r="310" spans="1:2">
      <c r="A310" s="280" t="s">
        <v>170</v>
      </c>
      <c r="B310" s="65">
        <v>142658</v>
      </c>
    </row>
    <row r="311" spans="1:2">
      <c r="A311" s="280" t="s">
        <v>169</v>
      </c>
      <c r="B311" s="65">
        <v>392</v>
      </c>
    </row>
    <row r="312" spans="1:2">
      <c r="A312" s="280" t="s">
        <v>168</v>
      </c>
      <c r="B312" s="65">
        <v>157078</v>
      </c>
    </row>
    <row r="313" spans="1:2">
      <c r="A313" s="280" t="s">
        <v>167</v>
      </c>
      <c r="B313" s="65">
        <v>110812</v>
      </c>
    </row>
    <row r="314" spans="1:2">
      <c r="A314" s="280" t="s">
        <v>166</v>
      </c>
      <c r="B314" s="65">
        <v>108955</v>
      </c>
    </row>
    <row r="315" spans="1:2">
      <c r="A315" s="280" t="s">
        <v>64</v>
      </c>
      <c r="B315" s="65">
        <v>158190</v>
      </c>
    </row>
    <row r="316" spans="1:2">
      <c r="A316" s="280" t="s">
        <v>63</v>
      </c>
      <c r="B316" s="65">
        <v>82526</v>
      </c>
    </row>
    <row r="317" spans="1:2">
      <c r="A317" s="280" t="s">
        <v>62</v>
      </c>
      <c r="B317" s="65">
        <v>82835</v>
      </c>
    </row>
    <row r="318" spans="1:2">
      <c r="A318" s="280" t="s">
        <v>59</v>
      </c>
      <c r="B318" s="65">
        <v>37831</v>
      </c>
    </row>
    <row r="319" spans="1:2">
      <c r="A319" s="280" t="s">
        <v>272</v>
      </c>
      <c r="B319" s="65">
        <v>142421</v>
      </c>
    </row>
    <row r="320" spans="1:2">
      <c r="A320" s="280" t="s">
        <v>271</v>
      </c>
      <c r="B320" s="65">
        <v>113391</v>
      </c>
    </row>
    <row r="321" spans="1:2">
      <c r="A321" s="280" t="s">
        <v>270</v>
      </c>
      <c r="B321" s="65">
        <v>118835</v>
      </c>
    </row>
    <row r="322" spans="1:2">
      <c r="A322" s="280" t="s">
        <v>269</v>
      </c>
      <c r="B322" s="65">
        <v>159056</v>
      </c>
    </row>
    <row r="323" spans="1:2">
      <c r="A323" s="280" t="s">
        <v>268</v>
      </c>
      <c r="B323" s="65">
        <v>114048</v>
      </c>
    </row>
    <row r="324" spans="1:2">
      <c r="A324" s="280" t="s">
        <v>267</v>
      </c>
      <c r="B324" s="65">
        <v>86760</v>
      </c>
    </row>
    <row r="325" spans="1:2">
      <c r="A325" s="280" t="s">
        <v>165</v>
      </c>
      <c r="B325" s="65">
        <v>159194</v>
      </c>
    </row>
    <row r="326" spans="1:2">
      <c r="A326" s="280" t="s">
        <v>164</v>
      </c>
      <c r="B326" s="65">
        <v>27272</v>
      </c>
    </row>
    <row r="327" spans="1:2">
      <c r="A327" s="280" t="s">
        <v>163</v>
      </c>
      <c r="B327" s="65">
        <v>133699</v>
      </c>
    </row>
    <row r="328" spans="1:2">
      <c r="A328" s="280" t="s">
        <v>162</v>
      </c>
      <c r="B328" s="65">
        <v>59643</v>
      </c>
    </row>
    <row r="329" spans="1:2">
      <c r="A329" s="280" t="s">
        <v>161</v>
      </c>
      <c r="B329" s="65">
        <v>1814</v>
      </c>
    </row>
    <row r="330" spans="1:2">
      <c r="A330" s="280" t="s">
        <v>160</v>
      </c>
      <c r="B330" s="65">
        <v>37932</v>
      </c>
    </row>
    <row r="331" spans="1:2">
      <c r="A331" s="280" t="s">
        <v>58</v>
      </c>
      <c r="B331" s="65">
        <v>113488</v>
      </c>
    </row>
    <row r="332" spans="1:2">
      <c r="A332" s="280" t="s">
        <v>57</v>
      </c>
      <c r="B332" s="65">
        <v>49660</v>
      </c>
    </row>
    <row r="333" spans="1:2">
      <c r="A333" s="280" t="s">
        <v>56</v>
      </c>
      <c r="B333" s="65">
        <v>9564</v>
      </c>
    </row>
    <row r="334" spans="1:2">
      <c r="A334" s="280" t="s">
        <v>55</v>
      </c>
      <c r="B334" s="65">
        <v>142821</v>
      </c>
    </row>
    <row r="335" spans="1:2">
      <c r="A335" s="280" t="s">
        <v>54</v>
      </c>
      <c r="B335" s="65">
        <v>142584</v>
      </c>
    </row>
    <row r="336" spans="1:2">
      <c r="A336" s="280" t="s">
        <v>53</v>
      </c>
      <c r="B336" s="65">
        <v>35067</v>
      </c>
    </row>
    <row r="337" spans="1:2">
      <c r="A337" s="280" t="s">
        <v>45</v>
      </c>
      <c r="B337" s="65">
        <v>51244</v>
      </c>
    </row>
    <row r="338" spans="1:2">
      <c r="A338" s="280" t="s">
        <v>89</v>
      </c>
      <c r="B338" s="65">
        <v>54537</v>
      </c>
    </row>
    <row r="339" spans="1:2">
      <c r="A339" s="280" t="s">
        <v>101</v>
      </c>
      <c r="B339" s="65">
        <v>114868</v>
      </c>
    </row>
    <row r="340" spans="1:2">
      <c r="A340" s="280" t="s">
        <v>154</v>
      </c>
      <c r="B340" s="65">
        <v>157511</v>
      </c>
    </row>
    <row r="341" spans="1:2">
      <c r="A341" s="280" t="s">
        <v>196</v>
      </c>
      <c r="B341" s="65">
        <v>1963</v>
      </c>
    </row>
    <row r="342" spans="1:2">
      <c r="A342" s="280" t="s">
        <v>208</v>
      </c>
      <c r="B342" s="65">
        <v>84734</v>
      </c>
    </row>
    <row r="343" spans="1:2">
      <c r="A343" s="280" t="s">
        <v>261</v>
      </c>
      <c r="B343" s="65">
        <v>903</v>
      </c>
    </row>
    <row r="344" spans="1:2">
      <c r="A344" s="280" t="s">
        <v>303</v>
      </c>
      <c r="B344" s="65">
        <v>101391</v>
      </c>
    </row>
    <row r="345" spans="1:2">
      <c r="A345" s="280" t="s">
        <v>312</v>
      </c>
      <c r="B345" s="65">
        <v>109387</v>
      </c>
    </row>
    <row r="346" spans="1:2">
      <c r="A346" s="280" t="s">
        <v>46</v>
      </c>
      <c r="B346" s="65">
        <v>110177</v>
      </c>
    </row>
    <row r="347" spans="1:2">
      <c r="A347" s="280" t="s">
        <v>90</v>
      </c>
      <c r="B347" s="65">
        <v>111475</v>
      </c>
    </row>
    <row r="348" spans="1:2">
      <c r="A348" s="280" t="s">
        <v>102</v>
      </c>
      <c r="B348" s="65">
        <v>96352</v>
      </c>
    </row>
    <row r="349" spans="1:2">
      <c r="A349" s="280" t="s">
        <v>155</v>
      </c>
      <c r="B349" s="65">
        <v>159040</v>
      </c>
    </row>
    <row r="350" spans="1:2">
      <c r="A350" s="280" t="s">
        <v>197</v>
      </c>
      <c r="B350" s="65">
        <v>63509</v>
      </c>
    </row>
    <row r="351" spans="1:2">
      <c r="A351" s="280" t="s">
        <v>209</v>
      </c>
      <c r="B351" s="65">
        <v>94823</v>
      </c>
    </row>
    <row r="352" spans="1:2">
      <c r="A352" s="280" t="s">
        <v>262</v>
      </c>
      <c r="B352" s="65">
        <v>1470</v>
      </c>
    </row>
    <row r="353" spans="1:2">
      <c r="A353" s="280" t="s">
        <v>304</v>
      </c>
      <c r="B353" s="65">
        <v>173039</v>
      </c>
    </row>
    <row r="354" spans="1:2">
      <c r="A354" s="280" t="s">
        <v>313</v>
      </c>
      <c r="B354" s="65">
        <v>335</v>
      </c>
    </row>
    <row r="355" spans="1:2">
      <c r="A355" s="280" t="s">
        <v>47</v>
      </c>
      <c r="B355" s="65">
        <v>1650</v>
      </c>
    </row>
    <row r="356" spans="1:2">
      <c r="A356" s="280" t="s">
        <v>91</v>
      </c>
      <c r="B356" s="65">
        <v>129566</v>
      </c>
    </row>
    <row r="357" spans="1:2">
      <c r="A357" s="280" t="s">
        <v>103</v>
      </c>
      <c r="B357" s="66" t="s">
        <v>6781</v>
      </c>
    </row>
    <row r="358" spans="1:2">
      <c r="A358" s="280" t="s">
        <v>156</v>
      </c>
      <c r="B358" s="65">
        <v>72374</v>
      </c>
    </row>
    <row r="359" spans="1:2">
      <c r="A359" s="280" t="s">
        <v>198</v>
      </c>
      <c r="B359" s="65">
        <v>157858</v>
      </c>
    </row>
    <row r="360" spans="1:2">
      <c r="A360" s="280" t="s">
        <v>210</v>
      </c>
      <c r="B360" s="65">
        <v>129515</v>
      </c>
    </row>
    <row r="361" spans="1:2">
      <c r="A361" s="280" t="s">
        <v>263</v>
      </c>
      <c r="B361" s="65">
        <v>61324</v>
      </c>
    </row>
    <row r="362" spans="1:2">
      <c r="A362" s="280" t="s">
        <v>48</v>
      </c>
      <c r="B362" s="65">
        <v>115493</v>
      </c>
    </row>
    <row r="363" spans="1:2">
      <c r="A363" s="280" t="s">
        <v>92</v>
      </c>
      <c r="B363" s="65">
        <v>112579</v>
      </c>
    </row>
    <row r="364" spans="1:2">
      <c r="A364" s="280" t="s">
        <v>104</v>
      </c>
      <c r="B364" s="65">
        <v>67025</v>
      </c>
    </row>
    <row r="365" spans="1:2">
      <c r="A365" s="280" t="s">
        <v>157</v>
      </c>
      <c r="B365" s="65">
        <v>1527</v>
      </c>
    </row>
    <row r="366" spans="1:2">
      <c r="A366" s="280" t="s">
        <v>199</v>
      </c>
      <c r="B366" s="65">
        <v>89977</v>
      </c>
    </row>
    <row r="367" spans="1:2">
      <c r="A367" s="280" t="s">
        <v>211</v>
      </c>
      <c r="B367" s="65">
        <v>160375</v>
      </c>
    </row>
    <row r="368" spans="1:2">
      <c r="A368" s="280" t="s">
        <v>264</v>
      </c>
      <c r="B368" s="65">
        <v>142571</v>
      </c>
    </row>
    <row r="369" spans="1:2">
      <c r="A369" s="280" t="s">
        <v>49</v>
      </c>
      <c r="B369" s="65">
        <v>160377</v>
      </c>
    </row>
    <row r="370" spans="1:2">
      <c r="A370" s="280" t="s">
        <v>93</v>
      </c>
      <c r="B370" s="65">
        <v>83976</v>
      </c>
    </row>
    <row r="371" spans="1:2">
      <c r="A371" s="280" t="s">
        <v>105</v>
      </c>
      <c r="B371" s="65">
        <v>141076</v>
      </c>
    </row>
    <row r="372" spans="1:2">
      <c r="A372" s="280" t="s">
        <v>158</v>
      </c>
      <c r="B372" s="65">
        <v>107985</v>
      </c>
    </row>
    <row r="373" spans="1:2">
      <c r="A373" s="280" t="s">
        <v>200</v>
      </c>
      <c r="B373" s="65">
        <v>105911</v>
      </c>
    </row>
    <row r="374" spans="1:2">
      <c r="A374" s="280" t="s">
        <v>212</v>
      </c>
      <c r="B374" s="65">
        <v>100024</v>
      </c>
    </row>
    <row r="375" spans="1:2">
      <c r="A375" s="280" t="s">
        <v>265</v>
      </c>
      <c r="B375" s="65">
        <v>74609</v>
      </c>
    </row>
    <row r="376" spans="1:2">
      <c r="A376" s="280" t="s">
        <v>306</v>
      </c>
      <c r="B376" s="65">
        <v>83463</v>
      </c>
    </row>
    <row r="377" spans="1:2">
      <c r="A377" s="280" t="s">
        <v>314</v>
      </c>
      <c r="B377" s="65">
        <v>160071</v>
      </c>
    </row>
    <row r="378" spans="1:2">
      <c r="A378" s="280" t="s">
        <v>50</v>
      </c>
      <c r="B378" s="65">
        <v>342</v>
      </c>
    </row>
    <row r="379" spans="1:2">
      <c r="A379" s="280" t="s">
        <v>94</v>
      </c>
      <c r="B379" s="65">
        <v>141121</v>
      </c>
    </row>
    <row r="380" spans="1:2">
      <c r="A380" s="280" t="s">
        <v>106</v>
      </c>
      <c r="B380" s="65">
        <v>72373</v>
      </c>
    </row>
    <row r="381" spans="1:2">
      <c r="A381" s="280" t="s">
        <v>159</v>
      </c>
      <c r="B381" s="65">
        <v>172026</v>
      </c>
    </row>
    <row r="382" spans="1:2">
      <c r="A382" s="280" t="s">
        <v>201</v>
      </c>
      <c r="B382" s="65">
        <v>112585</v>
      </c>
    </row>
    <row r="383" spans="1:2">
      <c r="A383" s="280" t="s">
        <v>213</v>
      </c>
      <c r="B383" s="65">
        <v>71469</v>
      </c>
    </row>
    <row r="384" spans="1:2">
      <c r="A384" s="280" t="s">
        <v>266</v>
      </c>
      <c r="B384" s="65">
        <v>82792</v>
      </c>
    </row>
    <row r="385" spans="1:2">
      <c r="A385" s="280" t="s">
        <v>307</v>
      </c>
      <c r="B385" s="65">
        <v>2236</v>
      </c>
    </row>
    <row r="386" spans="1:2">
      <c r="A386" s="280" t="s">
        <v>315</v>
      </c>
      <c r="B386" s="65">
        <v>82322</v>
      </c>
    </row>
    <row r="387" spans="1:2">
      <c r="A387" s="280" t="s">
        <v>260</v>
      </c>
      <c r="B387" s="65">
        <v>102965</v>
      </c>
    </row>
    <row r="388" spans="1:2">
      <c r="A388" s="280" t="s">
        <v>259</v>
      </c>
      <c r="B388" s="65">
        <v>139612</v>
      </c>
    </row>
    <row r="389" spans="1:2">
      <c r="A389" s="280" t="s">
        <v>258</v>
      </c>
      <c r="B389" s="65">
        <v>3009</v>
      </c>
    </row>
    <row r="390" spans="1:2">
      <c r="A390" s="280" t="s">
        <v>257</v>
      </c>
      <c r="B390" s="65">
        <v>112545</v>
      </c>
    </row>
    <row r="391" spans="1:2">
      <c r="A391" s="280" t="s">
        <v>256</v>
      </c>
      <c r="B391" s="65">
        <v>111856</v>
      </c>
    </row>
    <row r="392" spans="1:2">
      <c r="A392" s="280" t="s">
        <v>255</v>
      </c>
      <c r="B392" s="65">
        <v>111857</v>
      </c>
    </row>
    <row r="393" spans="1:2">
      <c r="A393" s="280" t="s">
        <v>153</v>
      </c>
      <c r="B393" s="65">
        <v>159072</v>
      </c>
    </row>
    <row r="394" spans="1:2">
      <c r="A394" s="280" t="s">
        <v>151</v>
      </c>
      <c r="B394" s="65">
        <v>177263</v>
      </c>
    </row>
    <row r="395" spans="1:2">
      <c r="A395" s="280" t="s">
        <v>150</v>
      </c>
      <c r="B395" s="65">
        <v>109777</v>
      </c>
    </row>
    <row r="396" spans="1:2">
      <c r="A396" s="280" t="s">
        <v>149</v>
      </c>
      <c r="B396" s="65">
        <v>157017</v>
      </c>
    </row>
    <row r="397" spans="1:2">
      <c r="A397" s="280" t="s">
        <v>148</v>
      </c>
      <c r="B397" s="65">
        <v>138757</v>
      </c>
    </row>
    <row r="398" spans="1:2">
      <c r="A398" s="280" t="s">
        <v>44</v>
      </c>
      <c r="B398" s="65">
        <v>119209</v>
      </c>
    </row>
    <row r="399" spans="1:2">
      <c r="A399" s="280" t="s">
        <v>43</v>
      </c>
      <c r="B399" s="65">
        <v>136740</v>
      </c>
    </row>
    <row r="400" spans="1:2">
      <c r="A400" s="280" t="s">
        <v>42</v>
      </c>
      <c r="B400" s="65">
        <v>176171</v>
      </c>
    </row>
    <row r="401" spans="1:2">
      <c r="A401" s="280" t="s">
        <v>41</v>
      </c>
      <c r="B401" s="65">
        <v>54431</v>
      </c>
    </row>
    <row r="402" spans="1:2">
      <c r="A402" s="280" t="s">
        <v>40</v>
      </c>
      <c r="B402" s="65">
        <v>25961</v>
      </c>
    </row>
    <row r="403" spans="1:2">
      <c r="A403" s="280" t="s">
        <v>39</v>
      </c>
      <c r="B403" s="65">
        <v>3295</v>
      </c>
    </row>
    <row r="404" spans="1:2">
      <c r="A404" s="280" t="s">
        <v>328</v>
      </c>
      <c r="B404" s="65">
        <v>1961</v>
      </c>
    </row>
    <row r="405" spans="1:2">
      <c r="A405" s="280" t="s">
        <v>336</v>
      </c>
      <c r="B405" s="65">
        <v>849</v>
      </c>
    </row>
    <row r="406" spans="1:2">
      <c r="A406" s="280" t="s">
        <v>421</v>
      </c>
      <c r="B406" s="65">
        <v>17407</v>
      </c>
    </row>
    <row r="407" spans="1:2">
      <c r="A407" s="280" t="s">
        <v>433</v>
      </c>
      <c r="B407" s="65">
        <v>82494</v>
      </c>
    </row>
    <row r="408" spans="1:2">
      <c r="A408" s="280" t="s">
        <v>445</v>
      </c>
      <c r="B408" s="65">
        <v>37892</v>
      </c>
    </row>
    <row r="409" spans="1:2">
      <c r="A409" s="280" t="s">
        <v>532</v>
      </c>
      <c r="B409" s="65">
        <v>77663</v>
      </c>
    </row>
    <row r="410" spans="1:2">
      <c r="A410" s="280" t="s">
        <v>544</v>
      </c>
      <c r="B410" s="65">
        <v>11797</v>
      </c>
    </row>
    <row r="411" spans="1:2">
      <c r="A411" s="280" t="s">
        <v>556</v>
      </c>
      <c r="B411" s="65">
        <v>116204</v>
      </c>
    </row>
    <row r="412" spans="1:2">
      <c r="A412" s="280" t="s">
        <v>643</v>
      </c>
      <c r="B412" s="65">
        <v>112676</v>
      </c>
    </row>
    <row r="413" spans="1:2">
      <c r="A413" s="280" t="s">
        <v>329</v>
      </c>
      <c r="B413" s="65">
        <v>39949</v>
      </c>
    </row>
    <row r="414" spans="1:2">
      <c r="A414" s="280" t="s">
        <v>337</v>
      </c>
      <c r="B414" s="65">
        <v>112422</v>
      </c>
    </row>
    <row r="415" spans="1:2">
      <c r="A415" s="280" t="s">
        <v>422</v>
      </c>
      <c r="B415" s="65">
        <v>174180</v>
      </c>
    </row>
    <row r="416" spans="1:2">
      <c r="A416" s="280" t="s">
        <v>434</v>
      </c>
      <c r="B416" s="65">
        <v>158121</v>
      </c>
    </row>
    <row r="417" spans="1:2">
      <c r="A417" s="280" t="s">
        <v>446</v>
      </c>
      <c r="B417" s="65">
        <v>18058</v>
      </c>
    </row>
    <row r="418" spans="1:2">
      <c r="A418" s="280" t="s">
        <v>533</v>
      </c>
      <c r="B418" s="65">
        <v>158001</v>
      </c>
    </row>
    <row r="419" spans="1:2">
      <c r="A419" s="280" t="s">
        <v>545</v>
      </c>
      <c r="B419" s="65">
        <v>18396</v>
      </c>
    </row>
    <row r="420" spans="1:2">
      <c r="A420" s="280" t="s">
        <v>557</v>
      </c>
      <c r="B420" s="65">
        <v>8541</v>
      </c>
    </row>
    <row r="421" spans="1:2">
      <c r="A421" s="280" t="s">
        <v>644</v>
      </c>
      <c r="B421" s="65">
        <v>85363</v>
      </c>
    </row>
    <row r="422" spans="1:2">
      <c r="A422" s="280" t="s">
        <v>423</v>
      </c>
      <c r="B422" s="65">
        <v>158069</v>
      </c>
    </row>
    <row r="423" spans="1:2">
      <c r="A423" s="280" t="s">
        <v>435</v>
      </c>
      <c r="B423" s="65">
        <v>157431</v>
      </c>
    </row>
    <row r="424" spans="1:2">
      <c r="A424" s="280" t="s">
        <v>447</v>
      </c>
      <c r="B424" s="65">
        <v>59361</v>
      </c>
    </row>
    <row r="425" spans="1:2">
      <c r="A425" s="280" t="s">
        <v>534</v>
      </c>
      <c r="B425" s="65">
        <v>11491</v>
      </c>
    </row>
    <row r="426" spans="1:2">
      <c r="A426" s="280" t="s">
        <v>546</v>
      </c>
      <c r="B426" s="65">
        <v>96259</v>
      </c>
    </row>
    <row r="427" spans="1:2">
      <c r="A427" s="280" t="s">
        <v>558</v>
      </c>
      <c r="B427" s="65">
        <v>60079</v>
      </c>
    </row>
    <row r="428" spans="1:2">
      <c r="A428" s="280" t="s">
        <v>645</v>
      </c>
      <c r="B428" s="65">
        <v>7896</v>
      </c>
    </row>
    <row r="429" spans="1:2">
      <c r="A429" s="280" t="s">
        <v>424</v>
      </c>
      <c r="B429" s="65">
        <v>82462</v>
      </c>
    </row>
    <row r="430" spans="1:2">
      <c r="A430" s="280" t="s">
        <v>436</v>
      </c>
      <c r="B430" s="65">
        <v>141049</v>
      </c>
    </row>
    <row r="431" spans="1:2">
      <c r="A431" s="280" t="s">
        <v>448</v>
      </c>
      <c r="B431" s="65">
        <v>306</v>
      </c>
    </row>
    <row r="432" spans="1:2">
      <c r="A432" s="280" t="s">
        <v>535</v>
      </c>
      <c r="B432" s="65">
        <v>1078</v>
      </c>
    </row>
    <row r="433" spans="1:2">
      <c r="A433" s="280" t="s">
        <v>547</v>
      </c>
      <c r="B433" s="65">
        <v>10881</v>
      </c>
    </row>
    <row r="434" spans="1:2">
      <c r="A434" s="280" t="s">
        <v>559</v>
      </c>
      <c r="B434" s="65">
        <v>9385</v>
      </c>
    </row>
    <row r="435" spans="1:2">
      <c r="A435" s="280" t="s">
        <v>646</v>
      </c>
      <c r="B435" s="65">
        <v>156818</v>
      </c>
    </row>
    <row r="436" spans="1:2">
      <c r="A436" s="280" t="s">
        <v>330</v>
      </c>
      <c r="B436" s="65">
        <v>88150</v>
      </c>
    </row>
    <row r="437" spans="1:2">
      <c r="A437" s="280" t="s">
        <v>338</v>
      </c>
      <c r="B437" s="65">
        <v>109336</v>
      </c>
    </row>
    <row r="438" spans="1:2">
      <c r="A438" s="280" t="s">
        <v>425</v>
      </c>
      <c r="B438" s="65">
        <v>177102</v>
      </c>
    </row>
    <row r="439" spans="1:2">
      <c r="A439" s="280" t="s">
        <v>437</v>
      </c>
      <c r="B439" s="65">
        <v>134469</v>
      </c>
    </row>
    <row r="440" spans="1:2">
      <c r="A440" s="280" t="s">
        <v>449</v>
      </c>
      <c r="B440" s="65">
        <v>137308</v>
      </c>
    </row>
    <row r="441" spans="1:2">
      <c r="A441" s="280" t="s">
        <v>536</v>
      </c>
      <c r="B441" s="65">
        <v>17408</v>
      </c>
    </row>
    <row r="442" spans="1:2">
      <c r="A442" s="280" t="s">
        <v>548</v>
      </c>
      <c r="B442" s="65">
        <v>131519</v>
      </c>
    </row>
    <row r="443" spans="1:2">
      <c r="A443" s="280" t="s">
        <v>560</v>
      </c>
      <c r="B443" s="65">
        <v>89900</v>
      </c>
    </row>
    <row r="444" spans="1:2">
      <c r="A444" s="280" t="s">
        <v>647</v>
      </c>
      <c r="B444" s="65">
        <v>110479</v>
      </c>
    </row>
    <row r="445" spans="1:2">
      <c r="A445" s="280" t="s">
        <v>331</v>
      </c>
      <c r="B445" s="65">
        <v>23505</v>
      </c>
    </row>
    <row r="446" spans="1:2">
      <c r="A446" s="280" t="s">
        <v>339</v>
      </c>
      <c r="B446" s="65">
        <v>157507</v>
      </c>
    </row>
    <row r="447" spans="1:2">
      <c r="A447" s="280" t="s">
        <v>426</v>
      </c>
      <c r="B447" s="65">
        <v>365</v>
      </c>
    </row>
    <row r="448" spans="1:2">
      <c r="A448" s="280" t="s">
        <v>438</v>
      </c>
      <c r="B448" s="65">
        <v>72343</v>
      </c>
    </row>
    <row r="449" spans="1:2">
      <c r="A449" s="280" t="s">
        <v>450</v>
      </c>
      <c r="B449" s="65">
        <v>176177</v>
      </c>
    </row>
    <row r="450" spans="1:2">
      <c r="A450" s="280" t="s">
        <v>537</v>
      </c>
      <c r="B450" s="65">
        <v>223208</v>
      </c>
    </row>
    <row r="451" spans="1:2">
      <c r="A451" s="280" t="s">
        <v>549</v>
      </c>
      <c r="B451" s="65">
        <v>134069</v>
      </c>
    </row>
    <row r="452" spans="1:2">
      <c r="A452" s="280" t="s">
        <v>561</v>
      </c>
      <c r="B452" s="65">
        <v>113927</v>
      </c>
    </row>
    <row r="453" spans="1:2">
      <c r="A453" s="280" t="s">
        <v>648</v>
      </c>
      <c r="B453" s="65">
        <v>24478</v>
      </c>
    </row>
    <row r="454" spans="1:2">
      <c r="A454" s="280" t="s">
        <v>420</v>
      </c>
      <c r="B454" s="65">
        <v>137870</v>
      </c>
    </row>
    <row r="455" spans="1:2">
      <c r="A455" s="280" t="s">
        <v>419</v>
      </c>
      <c r="B455" s="65">
        <v>86906</v>
      </c>
    </row>
    <row r="456" spans="1:2">
      <c r="A456" s="280" t="s">
        <v>418</v>
      </c>
      <c r="B456" s="65">
        <v>118598</v>
      </c>
    </row>
    <row r="457" spans="1:2">
      <c r="A457" s="280" t="s">
        <v>417</v>
      </c>
      <c r="B457" s="65">
        <v>155719</v>
      </c>
    </row>
    <row r="458" spans="1:2">
      <c r="A458" s="280" t="s">
        <v>416</v>
      </c>
      <c r="B458" s="65">
        <v>178124</v>
      </c>
    </row>
    <row r="459" spans="1:2">
      <c r="A459" s="280" t="s">
        <v>415</v>
      </c>
      <c r="B459" s="65">
        <v>100567</v>
      </c>
    </row>
    <row r="460" spans="1:2">
      <c r="A460" s="280" t="s">
        <v>531</v>
      </c>
      <c r="B460" s="65">
        <v>33299</v>
      </c>
    </row>
    <row r="461" spans="1:2">
      <c r="A461" s="280" t="s">
        <v>530</v>
      </c>
      <c r="B461" s="65">
        <v>101009</v>
      </c>
    </row>
    <row r="462" spans="1:2">
      <c r="A462" s="280" t="s">
        <v>529</v>
      </c>
      <c r="B462" s="65">
        <v>94726</v>
      </c>
    </row>
    <row r="463" spans="1:2">
      <c r="A463" s="280" t="s">
        <v>528</v>
      </c>
      <c r="B463" s="65">
        <v>94360</v>
      </c>
    </row>
    <row r="464" spans="1:2">
      <c r="A464" s="280" t="s">
        <v>527</v>
      </c>
      <c r="B464" s="65">
        <v>124172</v>
      </c>
    </row>
    <row r="465" spans="1:2">
      <c r="A465" s="280" t="s">
        <v>526</v>
      </c>
      <c r="B465" s="65">
        <v>27574</v>
      </c>
    </row>
    <row r="466" spans="1:2">
      <c r="A466" s="280" t="s">
        <v>642</v>
      </c>
      <c r="B466" s="65">
        <v>26459</v>
      </c>
    </row>
    <row r="467" spans="1:2">
      <c r="A467" s="280" t="s">
        <v>641</v>
      </c>
      <c r="B467" s="65">
        <v>107810</v>
      </c>
    </row>
    <row r="468" spans="1:2">
      <c r="A468" s="280" t="s">
        <v>640</v>
      </c>
      <c r="B468" s="65">
        <v>138804</v>
      </c>
    </row>
    <row r="469" spans="1:2">
      <c r="A469" s="280" t="s">
        <v>639</v>
      </c>
      <c r="B469" s="65">
        <v>94371</v>
      </c>
    </row>
    <row r="470" spans="1:2">
      <c r="A470" s="280" t="s">
        <v>638</v>
      </c>
      <c r="B470" s="65">
        <v>110841</v>
      </c>
    </row>
    <row r="471" spans="1:2">
      <c r="A471" s="280" t="s">
        <v>637</v>
      </c>
      <c r="B471" s="65">
        <v>93780</v>
      </c>
    </row>
    <row r="472" spans="1:2">
      <c r="A472" s="280" t="s">
        <v>414</v>
      </c>
      <c r="B472" s="65">
        <v>156698</v>
      </c>
    </row>
    <row r="473" spans="1:2">
      <c r="A473" s="280" t="s">
        <v>413</v>
      </c>
      <c r="B473" s="65">
        <v>157426</v>
      </c>
    </row>
    <row r="474" spans="1:2">
      <c r="A474" s="280" t="s">
        <v>408</v>
      </c>
      <c r="B474" s="65">
        <v>111868</v>
      </c>
    </row>
    <row r="475" spans="1:2">
      <c r="A475" s="280" t="s">
        <v>407</v>
      </c>
      <c r="B475" s="65">
        <v>116916</v>
      </c>
    </row>
    <row r="476" spans="1:2">
      <c r="A476" s="280" t="s">
        <v>402</v>
      </c>
      <c r="B476" s="65">
        <v>176166</v>
      </c>
    </row>
    <row r="477" spans="1:2">
      <c r="A477" s="280" t="s">
        <v>401</v>
      </c>
      <c r="B477" s="65">
        <v>174195</v>
      </c>
    </row>
    <row r="478" spans="1:2">
      <c r="A478" s="280" t="s">
        <v>396</v>
      </c>
      <c r="B478" s="65">
        <v>160086</v>
      </c>
    </row>
    <row r="479" spans="1:2">
      <c r="A479" s="280" t="s">
        <v>395</v>
      </c>
      <c r="B479" s="65">
        <v>111867</v>
      </c>
    </row>
    <row r="480" spans="1:2">
      <c r="A480" s="280" t="s">
        <v>390</v>
      </c>
      <c r="B480" s="65">
        <v>132826</v>
      </c>
    </row>
    <row r="481" spans="1:2">
      <c r="A481" s="280" t="s">
        <v>389</v>
      </c>
      <c r="B481" s="65">
        <v>130155</v>
      </c>
    </row>
    <row r="482" spans="1:2">
      <c r="A482" s="280" t="s">
        <v>388</v>
      </c>
      <c r="B482" s="65">
        <v>178520</v>
      </c>
    </row>
    <row r="483" spans="1:2">
      <c r="A483" s="280" t="s">
        <v>501</v>
      </c>
      <c r="B483" s="65">
        <v>37456</v>
      </c>
    </row>
    <row r="484" spans="1:2">
      <c r="A484" s="280" t="s">
        <v>500</v>
      </c>
      <c r="B484" s="65">
        <v>18557</v>
      </c>
    </row>
    <row r="485" spans="1:2">
      <c r="A485" s="280" t="s">
        <v>499</v>
      </c>
      <c r="B485" s="65">
        <v>127300</v>
      </c>
    </row>
    <row r="486" spans="1:2">
      <c r="A486" s="280" t="s">
        <v>612</v>
      </c>
      <c r="B486" s="65">
        <v>60788</v>
      </c>
    </row>
    <row r="487" spans="1:2">
      <c r="A487" s="280" t="s">
        <v>610</v>
      </c>
      <c r="B487" s="65">
        <v>42862</v>
      </c>
    </row>
    <row r="488" spans="1:2">
      <c r="A488" s="280" t="s">
        <v>324</v>
      </c>
      <c r="B488" s="65">
        <v>18561</v>
      </c>
    </row>
    <row r="489" spans="1:2">
      <c r="A489" s="280" t="s">
        <v>332</v>
      </c>
      <c r="B489" s="65">
        <v>83415</v>
      </c>
    </row>
    <row r="490" spans="1:2">
      <c r="A490" s="280" t="s">
        <v>427</v>
      </c>
      <c r="B490" s="65">
        <v>81887</v>
      </c>
    </row>
    <row r="491" spans="1:2">
      <c r="A491" s="280" t="s">
        <v>439</v>
      </c>
      <c r="B491" s="65">
        <v>108160</v>
      </c>
    </row>
    <row r="492" spans="1:2">
      <c r="A492" s="280" t="s">
        <v>493</v>
      </c>
      <c r="B492" s="65">
        <v>125972</v>
      </c>
    </row>
    <row r="493" spans="1:2">
      <c r="A493" s="280" t="s">
        <v>538</v>
      </c>
      <c r="B493" s="65">
        <v>66944</v>
      </c>
    </row>
    <row r="494" spans="1:2">
      <c r="A494" s="280" t="s">
        <v>550</v>
      </c>
      <c r="B494" s="65">
        <v>363</v>
      </c>
    </row>
    <row r="495" spans="1:2">
      <c r="A495" s="280" t="s">
        <v>604</v>
      </c>
      <c r="B495" s="65">
        <v>132725</v>
      </c>
    </row>
    <row r="496" spans="1:2">
      <c r="A496" s="280" t="s">
        <v>325</v>
      </c>
      <c r="B496" s="65">
        <v>100034</v>
      </c>
    </row>
    <row r="497" spans="1:2">
      <c r="A497" s="280" t="s">
        <v>333</v>
      </c>
      <c r="B497" s="65">
        <v>105354</v>
      </c>
    </row>
    <row r="498" spans="1:2">
      <c r="A498" s="280" t="s">
        <v>383</v>
      </c>
      <c r="B498" s="65">
        <v>61719</v>
      </c>
    </row>
    <row r="499" spans="1:2">
      <c r="A499" s="280" t="s">
        <v>428</v>
      </c>
      <c r="B499" s="65">
        <v>100681</v>
      </c>
    </row>
    <row r="500" spans="1:2">
      <c r="A500" s="280" t="s">
        <v>440</v>
      </c>
      <c r="B500" s="65">
        <v>58217</v>
      </c>
    </row>
    <row r="501" spans="1:2">
      <c r="A501" s="280" t="s">
        <v>494</v>
      </c>
      <c r="B501" s="65">
        <v>60520</v>
      </c>
    </row>
    <row r="502" spans="1:2">
      <c r="A502" s="280" t="s">
        <v>539</v>
      </c>
      <c r="B502" s="65">
        <v>127351</v>
      </c>
    </row>
    <row r="503" spans="1:2">
      <c r="A503" s="280" t="s">
        <v>551</v>
      </c>
      <c r="B503" s="65">
        <v>17995</v>
      </c>
    </row>
    <row r="504" spans="1:2">
      <c r="A504" s="280" t="s">
        <v>605</v>
      </c>
      <c r="B504" s="65">
        <v>17099</v>
      </c>
    </row>
    <row r="505" spans="1:2">
      <c r="A505" s="280" t="s">
        <v>384</v>
      </c>
      <c r="B505" s="65">
        <v>105207</v>
      </c>
    </row>
    <row r="506" spans="1:2">
      <c r="A506" s="280" t="s">
        <v>429</v>
      </c>
      <c r="B506" s="65">
        <v>105901</v>
      </c>
    </row>
    <row r="507" spans="1:2">
      <c r="A507" s="280" t="s">
        <v>441</v>
      </c>
      <c r="B507" s="65">
        <v>71465</v>
      </c>
    </row>
    <row r="508" spans="1:2">
      <c r="A508" s="280" t="s">
        <v>495</v>
      </c>
      <c r="B508" s="65">
        <v>105892</v>
      </c>
    </row>
    <row r="509" spans="1:2">
      <c r="A509" s="280" t="s">
        <v>540</v>
      </c>
      <c r="B509" s="65">
        <v>133655</v>
      </c>
    </row>
    <row r="510" spans="1:2">
      <c r="A510" s="280" t="s">
        <v>552</v>
      </c>
      <c r="B510" s="65">
        <v>105894</v>
      </c>
    </row>
    <row r="511" spans="1:2">
      <c r="A511" s="280" t="s">
        <v>606</v>
      </c>
      <c r="B511" s="65">
        <v>101287</v>
      </c>
    </row>
    <row r="512" spans="1:2">
      <c r="A512" s="280" t="s">
        <v>385</v>
      </c>
      <c r="B512" s="65">
        <v>109392</v>
      </c>
    </row>
    <row r="513" spans="1:2">
      <c r="A513" s="280" t="s">
        <v>430</v>
      </c>
      <c r="B513" s="65">
        <v>3939</v>
      </c>
    </row>
    <row r="514" spans="1:2">
      <c r="A514" s="280" t="s">
        <v>442</v>
      </c>
      <c r="B514" s="65">
        <v>65310</v>
      </c>
    </row>
    <row r="515" spans="1:2">
      <c r="A515" s="280" t="s">
        <v>496</v>
      </c>
      <c r="B515" s="65">
        <v>41936</v>
      </c>
    </row>
    <row r="516" spans="1:2">
      <c r="A516" s="280" t="s">
        <v>541</v>
      </c>
      <c r="B516" s="65">
        <v>101359</v>
      </c>
    </row>
    <row r="517" spans="1:2">
      <c r="A517" s="280" t="s">
        <v>553</v>
      </c>
      <c r="B517" s="65">
        <v>100992</v>
      </c>
    </row>
    <row r="518" spans="1:2">
      <c r="A518" s="280" t="s">
        <v>607</v>
      </c>
      <c r="B518" s="65">
        <v>71466</v>
      </c>
    </row>
    <row r="519" spans="1:2">
      <c r="A519" s="280" t="s">
        <v>326</v>
      </c>
      <c r="B519" s="65">
        <v>100055</v>
      </c>
    </row>
    <row r="520" spans="1:2">
      <c r="A520" s="280" t="s">
        <v>334</v>
      </c>
      <c r="B520" s="65">
        <v>101120</v>
      </c>
    </row>
    <row r="521" spans="1:2">
      <c r="A521" s="280" t="s">
        <v>386</v>
      </c>
      <c r="B521" s="65">
        <v>101296</v>
      </c>
    </row>
    <row r="522" spans="1:2">
      <c r="A522" s="280" t="s">
        <v>431</v>
      </c>
      <c r="B522" s="65">
        <v>105893</v>
      </c>
    </row>
    <row r="523" spans="1:2">
      <c r="A523" s="280" t="s">
        <v>443</v>
      </c>
      <c r="B523" s="65">
        <v>66660</v>
      </c>
    </row>
    <row r="524" spans="1:2">
      <c r="A524" s="280" t="s">
        <v>497</v>
      </c>
      <c r="B524" s="65">
        <v>125713</v>
      </c>
    </row>
    <row r="525" spans="1:2">
      <c r="A525" s="280" t="s">
        <v>542</v>
      </c>
      <c r="B525" s="65">
        <v>77717</v>
      </c>
    </row>
    <row r="526" spans="1:2">
      <c r="A526" s="280" t="s">
        <v>554</v>
      </c>
      <c r="B526" s="65">
        <v>2942</v>
      </c>
    </row>
    <row r="527" spans="1:2">
      <c r="A527" s="280" t="s">
        <v>608</v>
      </c>
      <c r="B527" s="65">
        <v>112369</v>
      </c>
    </row>
    <row r="528" spans="1:2">
      <c r="A528" s="280" t="s">
        <v>327</v>
      </c>
      <c r="B528" s="65">
        <v>105593</v>
      </c>
    </row>
    <row r="529" spans="1:2">
      <c r="A529" s="280" t="s">
        <v>335</v>
      </c>
      <c r="B529" s="65">
        <v>4133</v>
      </c>
    </row>
    <row r="530" spans="1:2">
      <c r="A530" s="280" t="s">
        <v>387</v>
      </c>
      <c r="B530" s="65">
        <v>101571</v>
      </c>
    </row>
    <row r="531" spans="1:2">
      <c r="A531" s="280" t="s">
        <v>432</v>
      </c>
      <c r="B531" s="65">
        <v>82236</v>
      </c>
    </row>
    <row r="532" spans="1:2">
      <c r="A532" s="280" t="s">
        <v>444</v>
      </c>
      <c r="B532" s="65">
        <v>132333</v>
      </c>
    </row>
    <row r="533" spans="1:2">
      <c r="A533" s="280" t="s">
        <v>498</v>
      </c>
      <c r="B533" s="65">
        <v>60589</v>
      </c>
    </row>
    <row r="534" spans="1:2">
      <c r="A534" s="280" t="s">
        <v>543</v>
      </c>
      <c r="B534" s="65">
        <v>71432</v>
      </c>
    </row>
    <row r="535" spans="1:2">
      <c r="A535" s="280" t="s">
        <v>555</v>
      </c>
      <c r="B535" s="65">
        <v>71433</v>
      </c>
    </row>
    <row r="536" spans="1:2">
      <c r="A536" s="280" t="s">
        <v>609</v>
      </c>
      <c r="B536" s="65">
        <v>100022</v>
      </c>
    </row>
    <row r="537" spans="1:2">
      <c r="A537" s="280" t="s">
        <v>381</v>
      </c>
      <c r="B537" s="65">
        <v>131599</v>
      </c>
    </row>
    <row r="538" spans="1:2">
      <c r="A538" s="280" t="s">
        <v>380</v>
      </c>
      <c r="B538" s="65">
        <v>110677</v>
      </c>
    </row>
    <row r="539" spans="1:2">
      <c r="A539" s="280" t="s">
        <v>379</v>
      </c>
      <c r="B539" s="65">
        <v>87756</v>
      </c>
    </row>
    <row r="540" spans="1:2">
      <c r="A540" s="280" t="s">
        <v>378</v>
      </c>
      <c r="B540" s="65">
        <v>87760</v>
      </c>
    </row>
    <row r="541" spans="1:2">
      <c r="A541" s="280" t="s">
        <v>377</v>
      </c>
      <c r="B541" s="65">
        <v>83929</v>
      </c>
    </row>
    <row r="542" spans="1:2">
      <c r="A542" s="280" t="s">
        <v>376</v>
      </c>
      <c r="B542" s="65">
        <v>139159</v>
      </c>
    </row>
    <row r="543" spans="1:2">
      <c r="A543" s="280" t="s">
        <v>492</v>
      </c>
      <c r="B543" s="65">
        <v>178640</v>
      </c>
    </row>
    <row r="544" spans="1:2">
      <c r="A544" s="280" t="s">
        <v>491</v>
      </c>
      <c r="B544" s="65">
        <v>100970</v>
      </c>
    </row>
    <row r="545" spans="1:2">
      <c r="A545" s="280" t="s">
        <v>490</v>
      </c>
      <c r="B545" s="65">
        <v>37154</v>
      </c>
    </row>
    <row r="546" spans="1:2">
      <c r="A546" s="280" t="s">
        <v>489</v>
      </c>
      <c r="B546" s="65">
        <v>141154</v>
      </c>
    </row>
    <row r="547" spans="1:2">
      <c r="A547" s="280" t="s">
        <v>488</v>
      </c>
      <c r="B547" s="65">
        <v>39346</v>
      </c>
    </row>
    <row r="548" spans="1:2">
      <c r="A548" s="280" t="s">
        <v>487</v>
      </c>
      <c r="B548" s="65">
        <v>61369</v>
      </c>
    </row>
    <row r="549" spans="1:2">
      <c r="A549" s="280" t="s">
        <v>603</v>
      </c>
      <c r="B549" s="65">
        <v>39527</v>
      </c>
    </row>
    <row r="550" spans="1:2">
      <c r="A550" s="280" t="s">
        <v>601</v>
      </c>
      <c r="B550" s="65">
        <v>54376</v>
      </c>
    </row>
    <row r="551" spans="1:2">
      <c r="A551" s="280" t="s">
        <v>599</v>
      </c>
      <c r="B551" s="65">
        <v>177046</v>
      </c>
    </row>
    <row r="552" spans="1:2">
      <c r="A552" s="280" t="s">
        <v>598</v>
      </c>
      <c r="B552" s="65">
        <v>110485</v>
      </c>
    </row>
    <row r="553" spans="1:2">
      <c r="A553" s="280" t="s">
        <v>977</v>
      </c>
      <c r="B553" s="65">
        <v>111164</v>
      </c>
    </row>
    <row r="554" spans="1:2">
      <c r="A554" s="280" t="s">
        <v>985</v>
      </c>
      <c r="B554" s="65">
        <v>167202</v>
      </c>
    </row>
    <row r="555" spans="1:2">
      <c r="A555" s="280" t="s">
        <v>1031</v>
      </c>
      <c r="B555" s="65">
        <v>132867</v>
      </c>
    </row>
    <row r="556" spans="1:2">
      <c r="A556" s="280" t="s">
        <v>1085</v>
      </c>
      <c r="B556" s="65">
        <v>30695</v>
      </c>
    </row>
    <row r="557" spans="1:2">
      <c r="A557" s="280" t="s">
        <v>1097</v>
      </c>
      <c r="B557" s="65">
        <v>1723</v>
      </c>
    </row>
    <row r="558" spans="1:2">
      <c r="A558" s="280" t="s">
        <v>1145</v>
      </c>
      <c r="B558" s="65">
        <v>35297</v>
      </c>
    </row>
    <row r="559" spans="1:2">
      <c r="A559" s="280" t="s">
        <v>1199</v>
      </c>
      <c r="B559" s="65">
        <v>121257</v>
      </c>
    </row>
    <row r="560" spans="1:2">
      <c r="A560" s="280" t="s">
        <v>1211</v>
      </c>
      <c r="B560" s="65">
        <v>63167</v>
      </c>
    </row>
    <row r="561" spans="1:2">
      <c r="A561" s="280" t="s">
        <v>1259</v>
      </c>
      <c r="B561" s="65">
        <v>78505</v>
      </c>
    </row>
    <row r="562" spans="1:2">
      <c r="A562" s="280" t="s">
        <v>978</v>
      </c>
      <c r="B562" s="65">
        <v>31453</v>
      </c>
    </row>
    <row r="563" spans="1:2">
      <c r="A563" s="280" t="s">
        <v>986</v>
      </c>
      <c r="B563" s="65">
        <v>20673</v>
      </c>
    </row>
    <row r="564" spans="1:2">
      <c r="A564" s="280" t="s">
        <v>1032</v>
      </c>
      <c r="B564" s="65">
        <v>115008</v>
      </c>
    </row>
    <row r="565" spans="1:2">
      <c r="A565" s="280" t="s">
        <v>1086</v>
      </c>
      <c r="B565" s="65">
        <v>126040</v>
      </c>
    </row>
    <row r="566" spans="1:2">
      <c r="A566" s="280" t="s">
        <v>1098</v>
      </c>
      <c r="B566" s="65">
        <v>96316</v>
      </c>
    </row>
    <row r="567" spans="1:2">
      <c r="A567" s="280" t="s">
        <v>1146</v>
      </c>
      <c r="B567" s="65">
        <v>106382</v>
      </c>
    </row>
    <row r="568" spans="1:2">
      <c r="A568" s="280" t="s">
        <v>1200</v>
      </c>
      <c r="B568" s="65">
        <v>1930</v>
      </c>
    </row>
    <row r="569" spans="1:2">
      <c r="A569" s="280" t="s">
        <v>1212</v>
      </c>
      <c r="B569" s="65">
        <v>6832</v>
      </c>
    </row>
    <row r="570" spans="1:2">
      <c r="A570" s="280" t="s">
        <v>1260</v>
      </c>
      <c r="B570" s="65">
        <v>3653</v>
      </c>
    </row>
    <row r="571" spans="1:2">
      <c r="A571" s="280" t="s">
        <v>1033</v>
      </c>
      <c r="B571" s="65">
        <v>177073</v>
      </c>
    </row>
    <row r="572" spans="1:2">
      <c r="A572" s="280" t="s">
        <v>1087</v>
      </c>
      <c r="B572" s="65">
        <v>33833</v>
      </c>
    </row>
    <row r="573" spans="1:2">
      <c r="A573" s="280" t="s">
        <v>1099</v>
      </c>
      <c r="B573" s="65">
        <v>83919</v>
      </c>
    </row>
    <row r="574" spans="1:2">
      <c r="A574" s="280" t="s">
        <v>1147</v>
      </c>
      <c r="B574" s="65">
        <v>118836</v>
      </c>
    </row>
    <row r="575" spans="1:2">
      <c r="A575" s="280" t="s">
        <v>1201</v>
      </c>
      <c r="B575" s="65">
        <v>11895</v>
      </c>
    </row>
    <row r="576" spans="1:2">
      <c r="A576" s="280" t="s">
        <v>1213</v>
      </c>
      <c r="B576" s="65">
        <v>59362</v>
      </c>
    </row>
    <row r="577" spans="1:2">
      <c r="A577" s="280" t="s">
        <v>1261</v>
      </c>
      <c r="B577" s="65">
        <v>17489</v>
      </c>
    </row>
    <row r="578" spans="1:2">
      <c r="A578" s="280" t="s">
        <v>1034</v>
      </c>
      <c r="B578" s="65">
        <v>95216</v>
      </c>
    </row>
    <row r="579" spans="1:2">
      <c r="A579" s="280" t="s">
        <v>1088</v>
      </c>
      <c r="B579" s="65">
        <v>1974</v>
      </c>
    </row>
    <row r="580" spans="1:2">
      <c r="A580" s="280" t="s">
        <v>1100</v>
      </c>
      <c r="B580" s="65">
        <v>18603</v>
      </c>
    </row>
    <row r="581" spans="1:2">
      <c r="A581" s="280" t="s">
        <v>1148</v>
      </c>
      <c r="B581" s="65">
        <v>9438</v>
      </c>
    </row>
    <row r="582" spans="1:2">
      <c r="A582" s="280" t="s">
        <v>1202</v>
      </c>
      <c r="B582" s="65">
        <v>14426</v>
      </c>
    </row>
    <row r="583" spans="1:2">
      <c r="A583" s="280" t="s">
        <v>1214</v>
      </c>
      <c r="B583" s="65">
        <v>13048</v>
      </c>
    </row>
    <row r="584" spans="1:2">
      <c r="A584" s="280" t="s">
        <v>1262</v>
      </c>
      <c r="B584" s="65">
        <v>92079</v>
      </c>
    </row>
    <row r="585" spans="1:2">
      <c r="A585" s="280" t="s">
        <v>979</v>
      </c>
      <c r="B585" s="65">
        <v>19671</v>
      </c>
    </row>
    <row r="586" spans="1:2">
      <c r="A586" s="280" t="s">
        <v>987</v>
      </c>
      <c r="B586" s="65">
        <v>11118</v>
      </c>
    </row>
    <row r="587" spans="1:2">
      <c r="A587" s="280" t="s">
        <v>1035</v>
      </c>
      <c r="B587" s="65">
        <v>78475</v>
      </c>
    </row>
    <row r="588" spans="1:2">
      <c r="A588" s="280" t="s">
        <v>1089</v>
      </c>
      <c r="B588" s="65">
        <v>12645</v>
      </c>
    </row>
    <row r="589" spans="1:2">
      <c r="A589" s="280" t="s">
        <v>1101</v>
      </c>
      <c r="B589" s="65">
        <v>13576</v>
      </c>
    </row>
    <row r="590" spans="1:2">
      <c r="A590" s="280" t="s">
        <v>1149</v>
      </c>
      <c r="B590" s="65">
        <v>9437</v>
      </c>
    </row>
    <row r="591" spans="1:2">
      <c r="A591" s="280" t="s">
        <v>1203</v>
      </c>
      <c r="B591" s="65">
        <v>47658</v>
      </c>
    </row>
    <row r="592" spans="1:2">
      <c r="A592" s="280" t="s">
        <v>1215</v>
      </c>
      <c r="B592" s="65">
        <v>157513</v>
      </c>
    </row>
    <row r="593" spans="1:2">
      <c r="A593" s="280" t="s">
        <v>1263</v>
      </c>
      <c r="B593" s="65">
        <v>110040</v>
      </c>
    </row>
    <row r="594" spans="1:2">
      <c r="A594" s="280" t="s">
        <v>980</v>
      </c>
      <c r="B594" s="65">
        <v>101440</v>
      </c>
    </row>
    <row r="595" spans="1:2">
      <c r="A595" s="280" t="s">
        <v>988</v>
      </c>
      <c r="B595" s="65">
        <v>109790</v>
      </c>
    </row>
    <row r="596" spans="1:2">
      <c r="A596" s="280" t="s">
        <v>1036</v>
      </c>
      <c r="B596" s="65">
        <v>9339</v>
      </c>
    </row>
    <row r="597" spans="1:2">
      <c r="A597" s="280" t="s">
        <v>1090</v>
      </c>
      <c r="B597" s="65">
        <v>157092</v>
      </c>
    </row>
    <row r="598" spans="1:2">
      <c r="A598" s="280" t="s">
        <v>1102</v>
      </c>
      <c r="B598" s="65">
        <v>93323</v>
      </c>
    </row>
    <row r="599" spans="1:2">
      <c r="A599" s="280" t="s">
        <v>1150</v>
      </c>
      <c r="B599" s="65">
        <v>37918</v>
      </c>
    </row>
    <row r="600" spans="1:2">
      <c r="A600" s="280" t="s">
        <v>1204</v>
      </c>
      <c r="B600" s="65">
        <v>337</v>
      </c>
    </row>
    <row r="601" spans="1:2">
      <c r="A601" s="280" t="s">
        <v>1216</v>
      </c>
      <c r="B601" s="65">
        <v>7399</v>
      </c>
    </row>
    <row r="602" spans="1:2">
      <c r="A602" s="280" t="s">
        <v>1264</v>
      </c>
      <c r="B602" s="65">
        <v>82768</v>
      </c>
    </row>
    <row r="603" spans="1:2">
      <c r="A603" s="280" t="s">
        <v>1040</v>
      </c>
      <c r="B603" s="65">
        <v>109189</v>
      </c>
    </row>
    <row r="604" spans="1:2">
      <c r="A604" s="280" t="s">
        <v>1041</v>
      </c>
      <c r="B604" s="65">
        <v>136384</v>
      </c>
    </row>
    <row r="605" spans="1:2">
      <c r="A605" s="280" t="s">
        <v>1042</v>
      </c>
      <c r="B605" s="65">
        <v>129781</v>
      </c>
    </row>
    <row r="606" spans="1:2">
      <c r="A606" s="280" t="s">
        <v>1154</v>
      </c>
      <c r="B606" s="65">
        <v>35148</v>
      </c>
    </row>
    <row r="607" spans="1:2">
      <c r="A607" s="280" t="s">
        <v>1268</v>
      </c>
      <c r="B607" s="65">
        <v>63150</v>
      </c>
    </row>
    <row r="608" spans="1:2">
      <c r="A608" s="280" t="s">
        <v>1269</v>
      </c>
      <c r="B608" s="66" t="s">
        <v>6781</v>
      </c>
    </row>
    <row r="609" spans="1:2">
      <c r="A609" s="280" t="s">
        <v>1270</v>
      </c>
      <c r="B609" s="65">
        <v>143722</v>
      </c>
    </row>
    <row r="610" spans="1:2">
      <c r="A610" s="280" t="s">
        <v>1043</v>
      </c>
      <c r="B610" s="65">
        <v>65345</v>
      </c>
    </row>
    <row r="611" spans="1:2">
      <c r="A611" s="280" t="s">
        <v>1044</v>
      </c>
      <c r="B611" s="65">
        <v>223462</v>
      </c>
    </row>
    <row r="612" spans="1:2">
      <c r="A612" s="280" t="s">
        <v>1045</v>
      </c>
      <c r="B612" s="65">
        <v>110813</v>
      </c>
    </row>
    <row r="613" spans="1:2">
      <c r="A613" s="280" t="s">
        <v>1046</v>
      </c>
      <c r="B613" s="65">
        <v>110163</v>
      </c>
    </row>
    <row r="614" spans="1:2">
      <c r="A614" s="280" t="s">
        <v>1047</v>
      </c>
      <c r="B614" s="66" t="s">
        <v>6781</v>
      </c>
    </row>
    <row r="615" spans="1:2">
      <c r="A615" s="280" t="s">
        <v>1048</v>
      </c>
      <c r="B615" s="65">
        <v>156758</v>
      </c>
    </row>
    <row r="616" spans="1:2">
      <c r="A616" s="280" t="s">
        <v>1157</v>
      </c>
      <c r="B616" s="65">
        <v>35286</v>
      </c>
    </row>
    <row r="617" spans="1:2">
      <c r="A617" s="280" t="s">
        <v>1158</v>
      </c>
      <c r="B617" s="66" t="s">
        <v>6781</v>
      </c>
    </row>
    <row r="618" spans="1:2">
      <c r="A618" s="280" t="s">
        <v>1159</v>
      </c>
      <c r="B618" s="65">
        <v>100107</v>
      </c>
    </row>
    <row r="619" spans="1:2">
      <c r="A619" s="280" t="s">
        <v>1160</v>
      </c>
      <c r="B619" s="65">
        <v>110451</v>
      </c>
    </row>
    <row r="620" spans="1:2">
      <c r="A620" s="280" t="s">
        <v>1271</v>
      </c>
      <c r="B620" s="65">
        <v>157698</v>
      </c>
    </row>
    <row r="621" spans="1:2">
      <c r="A621" s="280" t="s">
        <v>1272</v>
      </c>
      <c r="B621" s="65">
        <v>177106</v>
      </c>
    </row>
    <row r="622" spans="1:2">
      <c r="A622" s="280" t="s">
        <v>1273</v>
      </c>
      <c r="B622" s="65">
        <v>18486</v>
      </c>
    </row>
    <row r="623" spans="1:2">
      <c r="A623" s="280" t="s">
        <v>1274</v>
      </c>
      <c r="B623" s="65">
        <v>110505</v>
      </c>
    </row>
    <row r="624" spans="1:2">
      <c r="A624" s="280" t="s">
        <v>1275</v>
      </c>
      <c r="B624" s="65">
        <v>124946</v>
      </c>
    </row>
    <row r="625" spans="1:2">
      <c r="A625" s="280" t="s">
        <v>1276</v>
      </c>
      <c r="B625" s="66" t="s">
        <v>6781</v>
      </c>
    </row>
    <row r="626" spans="1:2">
      <c r="A626" s="280" t="s">
        <v>1049</v>
      </c>
      <c r="B626" s="65">
        <v>101545</v>
      </c>
    </row>
    <row r="627" spans="1:2">
      <c r="A627" s="280" t="s">
        <v>1050</v>
      </c>
      <c r="B627" s="65">
        <v>178054</v>
      </c>
    </row>
    <row r="628" spans="1:2">
      <c r="A628" s="280" t="s">
        <v>1051</v>
      </c>
      <c r="B628" s="65">
        <v>72112</v>
      </c>
    </row>
    <row r="629" spans="1:2">
      <c r="A629" s="280" t="s">
        <v>1052</v>
      </c>
      <c r="B629" s="65">
        <v>160446</v>
      </c>
    </row>
    <row r="630" spans="1:2">
      <c r="A630" s="280" t="s">
        <v>1053</v>
      </c>
      <c r="B630" s="65">
        <v>116915</v>
      </c>
    </row>
    <row r="631" spans="1:2">
      <c r="A631" s="280" t="s">
        <v>1054</v>
      </c>
      <c r="B631" s="65">
        <v>90532</v>
      </c>
    </row>
    <row r="632" spans="1:2">
      <c r="A632" s="280" t="s">
        <v>1163</v>
      </c>
      <c r="B632" s="65">
        <v>33279</v>
      </c>
    </row>
    <row r="633" spans="1:2">
      <c r="A633" s="280" t="s">
        <v>1164</v>
      </c>
      <c r="B633" s="65">
        <v>129688</v>
      </c>
    </row>
    <row r="634" spans="1:2">
      <c r="A634" s="280" t="s">
        <v>1165</v>
      </c>
      <c r="B634" s="65">
        <v>138808</v>
      </c>
    </row>
    <row r="635" spans="1:2">
      <c r="A635" s="280" t="s">
        <v>1166</v>
      </c>
      <c r="B635" s="65">
        <v>156150</v>
      </c>
    </row>
    <row r="636" spans="1:2">
      <c r="A636" s="280" t="s">
        <v>1167</v>
      </c>
      <c r="B636" s="65">
        <v>136871</v>
      </c>
    </row>
    <row r="637" spans="1:2">
      <c r="A637" s="280" t="s">
        <v>1168</v>
      </c>
      <c r="B637" s="65">
        <v>96863</v>
      </c>
    </row>
    <row r="638" spans="1:2">
      <c r="A638" s="280" t="s">
        <v>1277</v>
      </c>
      <c r="B638" s="65">
        <v>110165</v>
      </c>
    </row>
    <row r="639" spans="1:2">
      <c r="A639" s="280" t="s">
        <v>1278</v>
      </c>
      <c r="B639" s="65">
        <v>126101</v>
      </c>
    </row>
    <row r="640" spans="1:2">
      <c r="A640" s="280" t="s">
        <v>1279</v>
      </c>
      <c r="B640" s="65">
        <v>7487</v>
      </c>
    </row>
    <row r="641" spans="1:2">
      <c r="A641" s="280" t="s">
        <v>1280</v>
      </c>
      <c r="B641" s="66" t="s">
        <v>6781</v>
      </c>
    </row>
    <row r="642" spans="1:2">
      <c r="A642" s="280" t="s">
        <v>1281</v>
      </c>
      <c r="B642" s="65">
        <v>160318</v>
      </c>
    </row>
    <row r="643" spans="1:2">
      <c r="A643" s="280" t="s">
        <v>1282</v>
      </c>
      <c r="B643" s="65">
        <v>157879</v>
      </c>
    </row>
    <row r="644" spans="1:2">
      <c r="A644" s="280" t="s">
        <v>1055</v>
      </c>
      <c r="B644" s="66" t="s">
        <v>6781</v>
      </c>
    </row>
    <row r="645" spans="1:2">
      <c r="A645" s="280" t="s">
        <v>1056</v>
      </c>
      <c r="B645" s="65">
        <v>111866</v>
      </c>
    </row>
    <row r="646" spans="1:2">
      <c r="A646" s="280" t="s">
        <v>1057</v>
      </c>
      <c r="B646" s="66" t="s">
        <v>6781</v>
      </c>
    </row>
    <row r="647" spans="1:2">
      <c r="A647" s="280" t="s">
        <v>1058</v>
      </c>
      <c r="B647" s="65">
        <v>135941</v>
      </c>
    </row>
    <row r="648" spans="1:2">
      <c r="A648" s="280" t="s">
        <v>1059</v>
      </c>
      <c r="B648" s="65">
        <v>64418</v>
      </c>
    </row>
    <row r="649" spans="1:2">
      <c r="A649" s="280" t="s">
        <v>1060</v>
      </c>
      <c r="B649" s="65">
        <v>1011</v>
      </c>
    </row>
    <row r="650" spans="1:2">
      <c r="A650" s="280" t="s">
        <v>1169</v>
      </c>
      <c r="B650" s="65">
        <v>12747</v>
      </c>
    </row>
    <row r="651" spans="1:2">
      <c r="A651" s="280" t="s">
        <v>1170</v>
      </c>
      <c r="B651" s="65">
        <v>177699</v>
      </c>
    </row>
    <row r="652" spans="1:2">
      <c r="A652" s="280" t="s">
        <v>1171</v>
      </c>
      <c r="B652" s="65">
        <v>5284</v>
      </c>
    </row>
    <row r="653" spans="1:2">
      <c r="A653" s="280" t="s">
        <v>1172</v>
      </c>
      <c r="B653" s="65">
        <v>177772</v>
      </c>
    </row>
    <row r="654" spans="1:2">
      <c r="A654" s="280" t="s">
        <v>1173</v>
      </c>
      <c r="B654" s="65">
        <v>83177</v>
      </c>
    </row>
    <row r="655" spans="1:2">
      <c r="A655" s="280" t="s">
        <v>1174</v>
      </c>
      <c r="B655" s="65">
        <v>37765</v>
      </c>
    </row>
    <row r="656" spans="1:2">
      <c r="A656" s="280" t="s">
        <v>1283</v>
      </c>
      <c r="B656" s="65">
        <v>631</v>
      </c>
    </row>
    <row r="657" spans="1:2">
      <c r="A657" s="280" t="s">
        <v>1284</v>
      </c>
      <c r="B657" s="65">
        <v>1911</v>
      </c>
    </row>
    <row r="658" spans="1:2">
      <c r="A658" s="280" t="s">
        <v>1285</v>
      </c>
      <c r="B658" s="65">
        <v>118355</v>
      </c>
    </row>
    <row r="659" spans="1:2">
      <c r="A659" s="280" t="s">
        <v>1286</v>
      </c>
      <c r="B659" s="65">
        <v>758</v>
      </c>
    </row>
    <row r="660" spans="1:2">
      <c r="A660" s="280" t="s">
        <v>1287</v>
      </c>
      <c r="B660" s="65">
        <v>104534</v>
      </c>
    </row>
    <row r="661" spans="1:2">
      <c r="A661" s="280" t="s">
        <v>1288</v>
      </c>
      <c r="B661" s="65">
        <v>173137</v>
      </c>
    </row>
    <row r="662" spans="1:2">
      <c r="A662" s="280" t="s">
        <v>1061</v>
      </c>
      <c r="B662" s="65">
        <v>116881</v>
      </c>
    </row>
    <row r="663" spans="1:2">
      <c r="A663" s="280" t="s">
        <v>1062</v>
      </c>
      <c r="B663" s="65">
        <v>110971</v>
      </c>
    </row>
    <row r="664" spans="1:2">
      <c r="A664" s="280" t="s">
        <v>1063</v>
      </c>
      <c r="B664" s="66" t="s">
        <v>6781</v>
      </c>
    </row>
    <row r="665" spans="1:2">
      <c r="A665" s="280" t="s">
        <v>1064</v>
      </c>
      <c r="B665" s="65">
        <v>99746</v>
      </c>
    </row>
    <row r="666" spans="1:2">
      <c r="A666" s="280" t="s">
        <v>1065</v>
      </c>
      <c r="B666" s="65">
        <v>114047</v>
      </c>
    </row>
    <row r="667" spans="1:2">
      <c r="A667" s="280" t="s">
        <v>1066</v>
      </c>
      <c r="B667" s="66" t="s">
        <v>6781</v>
      </c>
    </row>
    <row r="668" spans="1:2">
      <c r="A668" s="280" t="s">
        <v>1175</v>
      </c>
      <c r="B668" s="65">
        <v>132827</v>
      </c>
    </row>
    <row r="669" spans="1:2">
      <c r="A669" s="280" t="s">
        <v>1176</v>
      </c>
      <c r="B669" s="65">
        <v>126060</v>
      </c>
    </row>
    <row r="670" spans="1:2">
      <c r="A670" s="280" t="s">
        <v>1177</v>
      </c>
      <c r="B670" s="65">
        <v>35317</v>
      </c>
    </row>
    <row r="671" spans="1:2">
      <c r="A671" s="280" t="s">
        <v>1178</v>
      </c>
      <c r="B671" s="65">
        <v>157090</v>
      </c>
    </row>
    <row r="672" spans="1:2">
      <c r="A672" s="280" t="s">
        <v>1179</v>
      </c>
      <c r="B672" s="65">
        <v>129754</v>
      </c>
    </row>
    <row r="673" spans="1:2">
      <c r="A673" s="280" t="s">
        <v>1180</v>
      </c>
      <c r="B673" s="65">
        <v>466</v>
      </c>
    </row>
    <row r="674" spans="1:2">
      <c r="A674" s="280" t="s">
        <v>1289</v>
      </c>
      <c r="B674" s="65">
        <v>39603</v>
      </c>
    </row>
    <row r="675" spans="1:2">
      <c r="A675" s="280" t="s">
        <v>1290</v>
      </c>
      <c r="B675" s="65">
        <v>2683</v>
      </c>
    </row>
    <row r="676" spans="1:2">
      <c r="A676" s="280" t="s">
        <v>1291</v>
      </c>
      <c r="B676" s="65">
        <v>157005</v>
      </c>
    </row>
    <row r="677" spans="1:2">
      <c r="A677" s="280" t="s">
        <v>1292</v>
      </c>
      <c r="B677" s="65">
        <v>135385</v>
      </c>
    </row>
    <row r="678" spans="1:2">
      <c r="A678" s="280" t="s">
        <v>1293</v>
      </c>
      <c r="B678" s="65">
        <v>101443</v>
      </c>
    </row>
    <row r="679" spans="1:2">
      <c r="A679" s="280" t="s">
        <v>1294</v>
      </c>
      <c r="B679" s="65">
        <v>113990</v>
      </c>
    </row>
    <row r="680" spans="1:2">
      <c r="A680" s="280" t="s">
        <v>1067</v>
      </c>
      <c r="B680" s="65">
        <v>177613</v>
      </c>
    </row>
    <row r="681" spans="1:2">
      <c r="A681" s="280" t="s">
        <v>1068</v>
      </c>
      <c r="B681" s="65">
        <v>33796</v>
      </c>
    </row>
    <row r="682" spans="1:2">
      <c r="A682" s="280" t="s">
        <v>1069</v>
      </c>
      <c r="B682" s="65">
        <v>31246</v>
      </c>
    </row>
    <row r="683" spans="1:2">
      <c r="A683" s="280" t="s">
        <v>1070</v>
      </c>
      <c r="B683" s="65">
        <v>111248</v>
      </c>
    </row>
    <row r="684" spans="1:2">
      <c r="A684" s="280" t="s">
        <v>1071</v>
      </c>
      <c r="B684" s="65">
        <v>127246</v>
      </c>
    </row>
    <row r="685" spans="1:2">
      <c r="A685" s="280" t="s">
        <v>1072</v>
      </c>
      <c r="B685" s="65">
        <v>201</v>
      </c>
    </row>
    <row r="686" spans="1:2">
      <c r="A686" s="280" t="s">
        <v>1181</v>
      </c>
      <c r="B686" s="65">
        <v>35395</v>
      </c>
    </row>
    <row r="687" spans="1:2">
      <c r="A687" s="280" t="s">
        <v>1182</v>
      </c>
      <c r="B687" s="65">
        <v>142654</v>
      </c>
    </row>
    <row r="688" spans="1:2">
      <c r="A688" s="280" t="s">
        <v>1183</v>
      </c>
      <c r="B688" s="65">
        <v>129747</v>
      </c>
    </row>
    <row r="689" spans="1:2">
      <c r="A689" s="280" t="s">
        <v>1184</v>
      </c>
      <c r="B689" s="65">
        <v>114795</v>
      </c>
    </row>
    <row r="690" spans="1:2">
      <c r="A690" s="280" t="s">
        <v>1185</v>
      </c>
      <c r="B690" s="65">
        <v>129855</v>
      </c>
    </row>
    <row r="691" spans="1:2">
      <c r="A691" s="280" t="s">
        <v>1186</v>
      </c>
      <c r="B691" s="66" t="s">
        <v>6781</v>
      </c>
    </row>
    <row r="692" spans="1:2">
      <c r="A692" s="280" t="s">
        <v>1295</v>
      </c>
      <c r="B692" s="65">
        <v>15951</v>
      </c>
    </row>
    <row r="693" spans="1:2">
      <c r="A693" s="280" t="s">
        <v>1297</v>
      </c>
      <c r="B693" s="66" t="s">
        <v>6781</v>
      </c>
    </row>
    <row r="694" spans="1:2">
      <c r="A694" s="280" t="s">
        <v>1298</v>
      </c>
      <c r="B694" s="65">
        <v>138407</v>
      </c>
    </row>
    <row r="695" spans="1:2">
      <c r="A695" s="280" t="s">
        <v>1299</v>
      </c>
      <c r="B695" s="65">
        <v>87672</v>
      </c>
    </row>
    <row r="696" spans="1:2">
      <c r="A696" s="280" t="s">
        <v>1300</v>
      </c>
      <c r="B696" s="66" t="s">
        <v>6781</v>
      </c>
    </row>
    <row r="697" spans="1:2">
      <c r="A697" s="280" t="s">
        <v>1073</v>
      </c>
      <c r="B697" s="65">
        <v>132786</v>
      </c>
    </row>
    <row r="698" spans="1:2">
      <c r="A698" s="280" t="s">
        <v>1074</v>
      </c>
      <c r="B698" s="65">
        <v>131495</v>
      </c>
    </row>
    <row r="699" spans="1:2">
      <c r="A699" s="280" t="s">
        <v>1075</v>
      </c>
      <c r="B699" s="65">
        <v>157775</v>
      </c>
    </row>
    <row r="700" spans="1:2">
      <c r="A700" s="280" t="s">
        <v>1076</v>
      </c>
      <c r="B700" s="66" t="s">
        <v>6781</v>
      </c>
    </row>
    <row r="701" spans="1:2">
      <c r="A701" s="280" t="s">
        <v>1078</v>
      </c>
      <c r="B701" s="66" t="s">
        <v>6781</v>
      </c>
    </row>
    <row r="702" spans="1:2">
      <c r="A702" s="280" t="s">
        <v>1187</v>
      </c>
      <c r="B702" s="66" t="s">
        <v>6781</v>
      </c>
    </row>
    <row r="703" spans="1:2">
      <c r="A703" s="280" t="s">
        <v>1188</v>
      </c>
      <c r="B703" s="66" t="s">
        <v>6781</v>
      </c>
    </row>
    <row r="704" spans="1:2">
      <c r="A704" s="280" t="s">
        <v>1189</v>
      </c>
      <c r="B704" s="66" t="s">
        <v>6781</v>
      </c>
    </row>
    <row r="705" spans="1:2">
      <c r="A705" s="280" t="s">
        <v>1190</v>
      </c>
      <c r="B705" s="66" t="s">
        <v>6781</v>
      </c>
    </row>
    <row r="706" spans="1:2">
      <c r="A706" s="280" t="s">
        <v>1192</v>
      </c>
      <c r="B706" s="66" t="s">
        <v>6781</v>
      </c>
    </row>
    <row r="707" spans="1:2">
      <c r="A707" s="280" t="s">
        <v>1301</v>
      </c>
      <c r="B707" s="66" t="s">
        <v>6781</v>
      </c>
    </row>
    <row r="708" spans="1:2">
      <c r="A708" s="280" t="s">
        <v>1302</v>
      </c>
      <c r="B708" s="65">
        <v>109849</v>
      </c>
    </row>
    <row r="709" spans="1:2">
      <c r="A709" s="280" t="s">
        <v>1303</v>
      </c>
      <c r="B709" s="66" t="s">
        <v>6781</v>
      </c>
    </row>
    <row r="710" spans="1:2">
      <c r="A710" s="280" t="s">
        <v>1304</v>
      </c>
      <c r="B710" s="65">
        <v>9840</v>
      </c>
    </row>
    <row r="711" spans="1:2">
      <c r="A711" s="280" t="s">
        <v>1306</v>
      </c>
      <c r="B711" s="65">
        <v>142637</v>
      </c>
    </row>
    <row r="712" spans="1:2">
      <c r="A712" s="280" t="s">
        <v>691</v>
      </c>
      <c r="B712" s="65">
        <v>35276</v>
      </c>
    </row>
    <row r="713" spans="1:2">
      <c r="A713" s="280" t="s">
        <v>741</v>
      </c>
      <c r="B713" s="65">
        <v>28560</v>
      </c>
    </row>
    <row r="714" spans="1:2">
      <c r="A714" s="280" t="s">
        <v>753</v>
      </c>
      <c r="B714" s="65">
        <v>58568</v>
      </c>
    </row>
    <row r="715" spans="1:2">
      <c r="A715" s="280" t="s">
        <v>800</v>
      </c>
      <c r="B715" s="65">
        <v>73353</v>
      </c>
    </row>
    <row r="716" spans="1:2">
      <c r="A716" s="280" t="s">
        <v>850</v>
      </c>
      <c r="B716" s="65">
        <v>61250</v>
      </c>
    </row>
    <row r="717" spans="1:2">
      <c r="A717" s="280" t="s">
        <v>862</v>
      </c>
      <c r="B717" s="65">
        <v>62556</v>
      </c>
    </row>
    <row r="718" spans="1:2">
      <c r="A718" s="280" t="s">
        <v>909</v>
      </c>
      <c r="B718" s="65">
        <v>118342</v>
      </c>
    </row>
    <row r="719" spans="1:2">
      <c r="A719" s="280" t="s">
        <v>957</v>
      </c>
      <c r="B719" s="65">
        <v>89154</v>
      </c>
    </row>
    <row r="720" spans="1:2">
      <c r="A720" s="280" t="s">
        <v>965</v>
      </c>
      <c r="B720" s="65">
        <v>82664</v>
      </c>
    </row>
    <row r="721" spans="1:2">
      <c r="A721" s="280" t="s">
        <v>692</v>
      </c>
      <c r="B721" s="65">
        <v>7411</v>
      </c>
    </row>
    <row r="722" spans="1:2">
      <c r="A722" s="280" t="s">
        <v>742</v>
      </c>
      <c r="B722" s="65">
        <v>100161</v>
      </c>
    </row>
    <row r="723" spans="1:2">
      <c r="A723" s="280" t="s">
        <v>754</v>
      </c>
      <c r="B723" s="65">
        <v>138285</v>
      </c>
    </row>
    <row r="724" spans="1:2">
      <c r="A724" s="280" t="s">
        <v>801</v>
      </c>
      <c r="B724" s="65">
        <v>156679</v>
      </c>
    </row>
    <row r="725" spans="1:2">
      <c r="A725" s="280" t="s">
        <v>851</v>
      </c>
      <c r="B725" s="65">
        <v>61046</v>
      </c>
    </row>
    <row r="726" spans="1:2">
      <c r="A726" s="280" t="s">
        <v>863</v>
      </c>
      <c r="B726" s="65">
        <v>20100</v>
      </c>
    </row>
    <row r="727" spans="1:2">
      <c r="A727" s="280" t="s">
        <v>910</v>
      </c>
      <c r="B727" s="65">
        <v>20675</v>
      </c>
    </row>
    <row r="728" spans="1:2">
      <c r="A728" s="280" t="s">
        <v>958</v>
      </c>
      <c r="B728" s="65">
        <v>31580</v>
      </c>
    </row>
    <row r="729" spans="1:2">
      <c r="A729" s="280" t="s">
        <v>966</v>
      </c>
      <c r="B729" s="65">
        <v>100293</v>
      </c>
    </row>
    <row r="730" spans="1:2">
      <c r="A730" s="280" t="s">
        <v>693</v>
      </c>
      <c r="B730" s="65">
        <v>100772</v>
      </c>
    </row>
    <row r="731" spans="1:2">
      <c r="A731" s="280" t="s">
        <v>743</v>
      </c>
      <c r="B731" s="65">
        <v>62520</v>
      </c>
    </row>
    <row r="732" spans="1:2">
      <c r="A732" s="280" t="s">
        <v>755</v>
      </c>
      <c r="B732" s="65">
        <v>116639</v>
      </c>
    </row>
    <row r="733" spans="1:2">
      <c r="A733" s="280" t="s">
        <v>802</v>
      </c>
      <c r="B733" s="65">
        <v>91</v>
      </c>
    </row>
    <row r="734" spans="1:2">
      <c r="A734" s="280" t="s">
        <v>852</v>
      </c>
      <c r="B734" s="65">
        <v>140909</v>
      </c>
    </row>
    <row r="735" spans="1:2">
      <c r="A735" s="280" t="s">
        <v>864</v>
      </c>
      <c r="B735" s="65">
        <v>101442</v>
      </c>
    </row>
    <row r="736" spans="1:2">
      <c r="A736" s="280" t="s">
        <v>911</v>
      </c>
      <c r="B736" s="65">
        <v>113301</v>
      </c>
    </row>
    <row r="737" spans="1:2">
      <c r="A737" s="280" t="s">
        <v>694</v>
      </c>
      <c r="B737" s="65">
        <v>54337</v>
      </c>
    </row>
    <row r="738" spans="1:2">
      <c r="A738" s="280" t="s">
        <v>744</v>
      </c>
      <c r="B738" s="65">
        <v>87497</v>
      </c>
    </row>
    <row r="739" spans="1:2">
      <c r="A739" s="280" t="s">
        <v>756</v>
      </c>
      <c r="B739" s="65">
        <v>96726</v>
      </c>
    </row>
    <row r="740" spans="1:2">
      <c r="A740" s="280" t="s">
        <v>803</v>
      </c>
      <c r="B740" s="65">
        <v>2948</v>
      </c>
    </row>
    <row r="741" spans="1:2">
      <c r="A741" s="280" t="s">
        <v>853</v>
      </c>
      <c r="B741" s="65">
        <v>13892</v>
      </c>
    </row>
    <row r="742" spans="1:2">
      <c r="A742" s="280" t="s">
        <v>865</v>
      </c>
      <c r="B742" s="65">
        <v>144227</v>
      </c>
    </row>
    <row r="743" spans="1:2">
      <c r="A743" s="280" t="s">
        <v>912</v>
      </c>
      <c r="B743" s="65">
        <v>96429</v>
      </c>
    </row>
    <row r="744" spans="1:2">
      <c r="A744" s="280" t="s">
        <v>695</v>
      </c>
      <c r="B744" s="65">
        <v>1628</v>
      </c>
    </row>
    <row r="745" spans="1:2">
      <c r="A745" s="280" t="s">
        <v>745</v>
      </c>
      <c r="B745" s="65">
        <v>6827</v>
      </c>
    </row>
    <row r="746" spans="1:2">
      <c r="A746" s="280" t="s">
        <v>757</v>
      </c>
      <c r="B746" s="65">
        <v>176765</v>
      </c>
    </row>
    <row r="747" spans="1:2">
      <c r="A747" s="280" t="s">
        <v>804</v>
      </c>
      <c r="B747" s="65">
        <v>84777</v>
      </c>
    </row>
    <row r="748" spans="1:2">
      <c r="A748" s="280" t="s">
        <v>854</v>
      </c>
      <c r="B748" s="65">
        <v>39812</v>
      </c>
    </row>
    <row r="749" spans="1:2">
      <c r="A749" s="280" t="s">
        <v>866</v>
      </c>
      <c r="B749" s="65">
        <v>85118</v>
      </c>
    </row>
    <row r="750" spans="1:2">
      <c r="A750" s="280" t="s">
        <v>913</v>
      </c>
      <c r="B750" s="65">
        <v>58098</v>
      </c>
    </row>
    <row r="751" spans="1:2">
      <c r="A751" s="280" t="s">
        <v>959</v>
      </c>
      <c r="B751" s="65">
        <v>173411</v>
      </c>
    </row>
    <row r="752" spans="1:2">
      <c r="A752" s="280" t="s">
        <v>967</v>
      </c>
      <c r="B752" s="65">
        <v>73462</v>
      </c>
    </row>
    <row r="753" spans="1:2">
      <c r="A753" s="280" t="s">
        <v>696</v>
      </c>
      <c r="B753" s="65">
        <v>127283</v>
      </c>
    </row>
    <row r="754" spans="1:2">
      <c r="A754" s="280" t="s">
        <v>746</v>
      </c>
      <c r="B754" s="65">
        <v>9662</v>
      </c>
    </row>
    <row r="755" spans="1:2">
      <c r="A755" s="280" t="s">
        <v>758</v>
      </c>
      <c r="B755" s="65">
        <v>13348</v>
      </c>
    </row>
    <row r="756" spans="1:2">
      <c r="A756" s="280" t="s">
        <v>805</v>
      </c>
      <c r="B756" s="65">
        <v>107986</v>
      </c>
    </row>
    <row r="757" spans="1:2">
      <c r="A757" s="280" t="s">
        <v>855</v>
      </c>
      <c r="B757" s="65">
        <v>88073</v>
      </c>
    </row>
    <row r="758" spans="1:2">
      <c r="A758" s="280" t="s">
        <v>867</v>
      </c>
      <c r="B758" s="65">
        <v>65907</v>
      </c>
    </row>
    <row r="759" spans="1:2">
      <c r="A759" s="280" t="s">
        <v>914</v>
      </c>
      <c r="B759" s="65">
        <v>73528</v>
      </c>
    </row>
    <row r="760" spans="1:2">
      <c r="A760" s="280" t="s">
        <v>960</v>
      </c>
      <c r="B760" s="65">
        <v>35103</v>
      </c>
    </row>
    <row r="761" spans="1:2">
      <c r="A761" s="280" t="s">
        <v>968</v>
      </c>
      <c r="B761" s="65">
        <v>137611</v>
      </c>
    </row>
    <row r="762" spans="1:2">
      <c r="A762" s="280" t="s">
        <v>1037</v>
      </c>
      <c r="B762" s="65">
        <v>157621</v>
      </c>
    </row>
    <row r="763" spans="1:2">
      <c r="A763" s="280" t="s">
        <v>915</v>
      </c>
      <c r="B763" s="65">
        <v>155746</v>
      </c>
    </row>
    <row r="764" spans="1:2">
      <c r="A764" s="280" t="s">
        <v>917</v>
      </c>
      <c r="B764" s="65">
        <v>121</v>
      </c>
    </row>
    <row r="765" spans="1:2">
      <c r="A765" s="280" t="s">
        <v>1151</v>
      </c>
      <c r="B765" s="65">
        <v>135743</v>
      </c>
    </row>
    <row r="766" spans="1:2">
      <c r="A766" s="280" t="s">
        <v>1152</v>
      </c>
      <c r="B766" s="66" t="s">
        <v>6781</v>
      </c>
    </row>
    <row r="767" spans="1:2">
      <c r="A767" s="280" t="s">
        <v>1153</v>
      </c>
      <c r="B767" s="66" t="s">
        <v>6781</v>
      </c>
    </row>
    <row r="768" spans="1:2">
      <c r="A768" s="280" t="s">
        <v>807</v>
      </c>
      <c r="B768" s="65">
        <v>125897</v>
      </c>
    </row>
    <row r="769" spans="1:2">
      <c r="A769" s="280" t="s">
        <v>1265</v>
      </c>
      <c r="B769" s="66" t="s">
        <v>6781</v>
      </c>
    </row>
    <row r="770" spans="1:2">
      <c r="A770" s="280" t="s">
        <v>1266</v>
      </c>
      <c r="B770" s="65">
        <v>120003</v>
      </c>
    </row>
    <row r="771" spans="1:2">
      <c r="A771" s="280" t="s">
        <v>1267</v>
      </c>
      <c r="B771" s="66" t="s">
        <v>6781</v>
      </c>
    </row>
    <row r="772" spans="1:2">
      <c r="A772" s="280" t="s">
        <v>697</v>
      </c>
      <c r="B772" s="65">
        <v>132592</v>
      </c>
    </row>
    <row r="773" spans="1:2">
      <c r="A773" s="280" t="s">
        <v>698</v>
      </c>
      <c r="B773" s="66" t="s">
        <v>6781</v>
      </c>
    </row>
    <row r="774" spans="1:2">
      <c r="A774" s="280" t="s">
        <v>699</v>
      </c>
      <c r="B774" s="66" t="s">
        <v>6781</v>
      </c>
    </row>
    <row r="775" spans="1:2">
      <c r="A775" s="280" t="s">
        <v>918</v>
      </c>
      <c r="B775" s="65">
        <v>108763</v>
      </c>
    </row>
    <row r="776" spans="1:2">
      <c r="A776" s="280" t="s">
        <v>919</v>
      </c>
      <c r="B776" s="65">
        <v>113610</v>
      </c>
    </row>
    <row r="777" spans="1:2">
      <c r="A777" s="280" t="s">
        <v>920</v>
      </c>
      <c r="B777" s="65">
        <v>132591</v>
      </c>
    </row>
    <row r="778" spans="1:2">
      <c r="A778" s="280" t="s">
        <v>921</v>
      </c>
      <c r="B778" s="66" t="s">
        <v>6781</v>
      </c>
    </row>
    <row r="779" spans="1:2">
      <c r="A779" s="280" t="s">
        <v>922</v>
      </c>
      <c r="B779" s="65">
        <v>30248</v>
      </c>
    </row>
    <row r="780" spans="1:2">
      <c r="A780" s="280" t="s">
        <v>923</v>
      </c>
      <c r="B780" s="65">
        <v>120024</v>
      </c>
    </row>
    <row r="781" spans="1:2">
      <c r="A781" s="280" t="s">
        <v>809</v>
      </c>
      <c r="B781" s="65">
        <v>100875</v>
      </c>
    </row>
    <row r="782" spans="1:2">
      <c r="A782" s="280" t="s">
        <v>810</v>
      </c>
      <c r="B782" s="66" t="s">
        <v>6781</v>
      </c>
    </row>
    <row r="783" spans="1:2">
      <c r="A783" s="280" t="s">
        <v>811</v>
      </c>
      <c r="B783" s="65">
        <v>130177</v>
      </c>
    </row>
    <row r="784" spans="1:2">
      <c r="A784" s="280" t="s">
        <v>812</v>
      </c>
      <c r="B784" s="65">
        <v>124669</v>
      </c>
    </row>
    <row r="785" spans="1:2">
      <c r="A785" s="280" t="s">
        <v>813</v>
      </c>
      <c r="B785" s="65">
        <v>106272</v>
      </c>
    </row>
    <row r="786" spans="1:2">
      <c r="A786" s="280" t="s">
        <v>814</v>
      </c>
      <c r="B786" s="66" t="s">
        <v>6781</v>
      </c>
    </row>
    <row r="787" spans="1:2">
      <c r="A787" s="280" t="s">
        <v>700</v>
      </c>
      <c r="B787" s="65">
        <v>2921</v>
      </c>
    </row>
    <row r="788" spans="1:2">
      <c r="A788" s="280" t="s">
        <v>703</v>
      </c>
      <c r="B788" s="65">
        <v>129090</v>
      </c>
    </row>
    <row r="789" spans="1:2">
      <c r="A789" s="280" t="s">
        <v>704</v>
      </c>
      <c r="B789" s="65">
        <v>125063</v>
      </c>
    </row>
    <row r="790" spans="1:2">
      <c r="A790" s="280" t="s">
        <v>924</v>
      </c>
      <c r="B790" s="65">
        <v>155888</v>
      </c>
    </row>
    <row r="791" spans="1:2">
      <c r="A791" s="280" t="s">
        <v>925</v>
      </c>
      <c r="B791" s="65">
        <v>177108</v>
      </c>
    </row>
    <row r="792" spans="1:2">
      <c r="A792" s="280" t="s">
        <v>926</v>
      </c>
      <c r="B792" s="65">
        <v>42859</v>
      </c>
    </row>
    <row r="793" spans="1:2">
      <c r="A793" s="280" t="s">
        <v>927</v>
      </c>
      <c r="B793" s="66" t="s">
        <v>6781</v>
      </c>
    </row>
    <row r="794" spans="1:2">
      <c r="A794" s="280" t="s">
        <v>928</v>
      </c>
      <c r="B794" s="65">
        <v>110501</v>
      </c>
    </row>
    <row r="795" spans="1:2">
      <c r="A795" s="280" t="s">
        <v>929</v>
      </c>
      <c r="B795" s="65">
        <v>158205</v>
      </c>
    </row>
    <row r="796" spans="1:2">
      <c r="A796" s="280" t="s">
        <v>815</v>
      </c>
      <c r="B796" s="65">
        <v>129752</v>
      </c>
    </row>
    <row r="797" spans="1:2">
      <c r="A797" s="280" t="s">
        <v>816</v>
      </c>
      <c r="B797" s="66" t="s">
        <v>6781</v>
      </c>
    </row>
    <row r="798" spans="1:2">
      <c r="A798" s="280" t="s">
        <v>817</v>
      </c>
      <c r="B798" s="65">
        <v>63746</v>
      </c>
    </row>
    <row r="799" spans="1:2">
      <c r="A799" s="280" t="s">
        <v>818</v>
      </c>
      <c r="B799" s="65">
        <v>101245</v>
      </c>
    </row>
    <row r="800" spans="1:2">
      <c r="A800" s="280" t="s">
        <v>819</v>
      </c>
      <c r="B800" s="66" t="s">
        <v>6781</v>
      </c>
    </row>
    <row r="801" spans="1:2">
      <c r="A801" s="280" t="s">
        <v>820</v>
      </c>
      <c r="B801" s="66" t="s">
        <v>6781</v>
      </c>
    </row>
    <row r="802" spans="1:2">
      <c r="A802" s="280" t="s">
        <v>706</v>
      </c>
      <c r="B802" s="65">
        <v>137722</v>
      </c>
    </row>
    <row r="803" spans="1:2">
      <c r="A803" s="280" t="s">
        <v>707</v>
      </c>
      <c r="B803" s="66" t="s">
        <v>6781</v>
      </c>
    </row>
    <row r="804" spans="1:2">
      <c r="A804" s="280" t="s">
        <v>708</v>
      </c>
      <c r="B804" s="66" t="s">
        <v>6781</v>
      </c>
    </row>
    <row r="805" spans="1:2">
      <c r="A805" s="280" t="s">
        <v>709</v>
      </c>
      <c r="B805" s="65">
        <v>177064</v>
      </c>
    </row>
    <row r="806" spans="1:2">
      <c r="A806" s="280" t="s">
        <v>710</v>
      </c>
      <c r="B806" s="66" t="s">
        <v>6781</v>
      </c>
    </row>
    <row r="807" spans="1:2">
      <c r="A807" s="280" t="s">
        <v>711</v>
      </c>
      <c r="B807" s="66" t="s">
        <v>6781</v>
      </c>
    </row>
    <row r="808" spans="1:2">
      <c r="A808" s="280" t="s">
        <v>930</v>
      </c>
      <c r="B808" s="66" t="s">
        <v>6781</v>
      </c>
    </row>
    <row r="809" spans="1:2">
      <c r="A809" s="280" t="s">
        <v>931</v>
      </c>
      <c r="B809" s="65">
        <v>65283</v>
      </c>
    </row>
    <row r="810" spans="1:2">
      <c r="A810" s="280" t="s">
        <v>932</v>
      </c>
      <c r="B810" s="65">
        <v>1111</v>
      </c>
    </row>
    <row r="811" spans="1:2">
      <c r="A811" s="280" t="s">
        <v>933</v>
      </c>
      <c r="B811" s="66" t="s">
        <v>6781</v>
      </c>
    </row>
    <row r="812" spans="1:2">
      <c r="A812" s="280" t="s">
        <v>934</v>
      </c>
      <c r="B812" s="65">
        <v>136385</v>
      </c>
    </row>
    <row r="813" spans="1:2">
      <c r="A813" s="280" t="s">
        <v>935</v>
      </c>
      <c r="B813" s="65">
        <v>138556</v>
      </c>
    </row>
    <row r="814" spans="1:2">
      <c r="A814" s="280" t="s">
        <v>821</v>
      </c>
      <c r="B814" s="65">
        <v>178215</v>
      </c>
    </row>
    <row r="815" spans="1:2">
      <c r="A815" s="280" t="s">
        <v>822</v>
      </c>
      <c r="B815" s="66" t="s">
        <v>6781</v>
      </c>
    </row>
    <row r="816" spans="1:2">
      <c r="A816" s="280" t="s">
        <v>823</v>
      </c>
      <c r="B816" s="66" t="s">
        <v>6781</v>
      </c>
    </row>
    <row r="817" spans="1:2">
      <c r="A817" s="280" t="s">
        <v>824</v>
      </c>
      <c r="B817" s="65">
        <v>48962</v>
      </c>
    </row>
    <row r="818" spans="1:2">
      <c r="A818" s="280" t="s">
        <v>825</v>
      </c>
      <c r="B818" s="66" t="s">
        <v>6781</v>
      </c>
    </row>
    <row r="819" spans="1:2">
      <c r="A819" s="280" t="s">
        <v>826</v>
      </c>
      <c r="B819" s="66" t="s">
        <v>6781</v>
      </c>
    </row>
    <row r="820" spans="1:2">
      <c r="A820" s="280" t="s">
        <v>712</v>
      </c>
      <c r="B820" s="66" t="s">
        <v>6781</v>
      </c>
    </row>
    <row r="821" spans="1:2">
      <c r="A821" s="280" t="s">
        <v>713</v>
      </c>
      <c r="B821" s="66" t="s">
        <v>6781</v>
      </c>
    </row>
    <row r="822" spans="1:2">
      <c r="A822" s="280" t="s">
        <v>714</v>
      </c>
      <c r="B822" s="66" t="s">
        <v>6781</v>
      </c>
    </row>
    <row r="823" spans="1:2">
      <c r="A823" s="280" t="s">
        <v>715</v>
      </c>
      <c r="B823" s="65">
        <v>93413</v>
      </c>
    </row>
    <row r="824" spans="1:2">
      <c r="A824" s="280" t="s">
        <v>716</v>
      </c>
      <c r="B824" s="65">
        <v>10464</v>
      </c>
    </row>
    <row r="825" spans="1:2">
      <c r="A825" s="280" t="s">
        <v>717</v>
      </c>
      <c r="B825" s="65">
        <v>310</v>
      </c>
    </row>
    <row r="826" spans="1:2">
      <c r="A826" s="280" t="s">
        <v>936</v>
      </c>
      <c r="B826" s="65">
        <v>114040</v>
      </c>
    </row>
    <row r="827" spans="1:2">
      <c r="A827" s="280" t="s">
        <v>937</v>
      </c>
      <c r="B827" s="65">
        <v>110683</v>
      </c>
    </row>
    <row r="828" spans="1:2">
      <c r="A828" s="280" t="s">
        <v>938</v>
      </c>
      <c r="B828" s="65">
        <v>119995</v>
      </c>
    </row>
    <row r="829" spans="1:2">
      <c r="A829" s="280" t="s">
        <v>939</v>
      </c>
      <c r="B829" s="65">
        <v>69380</v>
      </c>
    </row>
    <row r="830" spans="1:2">
      <c r="A830" s="280" t="s">
        <v>940</v>
      </c>
      <c r="B830" s="65">
        <v>31435</v>
      </c>
    </row>
    <row r="831" spans="1:2">
      <c r="A831" s="280" t="s">
        <v>941</v>
      </c>
      <c r="B831" s="66" t="s">
        <v>6781</v>
      </c>
    </row>
    <row r="832" spans="1:2">
      <c r="A832" s="280" t="s">
        <v>827</v>
      </c>
      <c r="B832" s="66" t="s">
        <v>6781</v>
      </c>
    </row>
    <row r="833" spans="1:2">
      <c r="A833" s="280" t="s">
        <v>828</v>
      </c>
      <c r="B833" s="65">
        <v>138555</v>
      </c>
    </row>
    <row r="834" spans="1:2">
      <c r="A834" s="280" t="s">
        <v>829</v>
      </c>
      <c r="B834" s="65">
        <v>474</v>
      </c>
    </row>
    <row r="835" spans="1:2">
      <c r="A835" s="280" t="s">
        <v>830</v>
      </c>
      <c r="B835" s="66" t="s">
        <v>6781</v>
      </c>
    </row>
    <row r="836" spans="1:2">
      <c r="A836" s="280" t="s">
        <v>832</v>
      </c>
      <c r="B836" s="66" t="s">
        <v>6781</v>
      </c>
    </row>
    <row r="837" spans="1:2">
      <c r="A837" s="280" t="s">
        <v>718</v>
      </c>
      <c r="B837" s="65">
        <v>132701</v>
      </c>
    </row>
    <row r="838" spans="1:2">
      <c r="A838" s="280" t="s">
        <v>719</v>
      </c>
      <c r="B838" s="66" t="s">
        <v>6781</v>
      </c>
    </row>
    <row r="839" spans="1:2">
      <c r="A839" s="280" t="s">
        <v>720</v>
      </c>
      <c r="B839" s="65">
        <v>14492</v>
      </c>
    </row>
    <row r="840" spans="1:2">
      <c r="A840" s="280" t="s">
        <v>721</v>
      </c>
      <c r="B840" s="65">
        <v>112596</v>
      </c>
    </row>
    <row r="841" spans="1:2">
      <c r="A841" s="280" t="s">
        <v>722</v>
      </c>
      <c r="B841" s="66" t="s">
        <v>6781</v>
      </c>
    </row>
    <row r="842" spans="1:2">
      <c r="A842" s="280" t="s">
        <v>723</v>
      </c>
      <c r="B842" s="66" t="s">
        <v>6781</v>
      </c>
    </row>
    <row r="843" spans="1:2">
      <c r="A843" s="280" t="s">
        <v>942</v>
      </c>
      <c r="B843" s="65">
        <v>699</v>
      </c>
    </row>
    <row r="844" spans="1:2">
      <c r="A844" s="280" t="s">
        <v>943</v>
      </c>
      <c r="B844" s="65">
        <v>134825</v>
      </c>
    </row>
    <row r="845" spans="1:2">
      <c r="A845" s="280" t="s">
        <v>944</v>
      </c>
      <c r="B845" s="66" t="s">
        <v>6781</v>
      </c>
    </row>
    <row r="846" spans="1:2">
      <c r="A846" s="280" t="s">
        <v>945</v>
      </c>
      <c r="B846" s="66" t="s">
        <v>6781</v>
      </c>
    </row>
    <row r="847" spans="1:2">
      <c r="A847" s="280" t="s">
        <v>946</v>
      </c>
      <c r="B847" s="65">
        <v>86736</v>
      </c>
    </row>
    <row r="848" spans="1:2">
      <c r="A848" s="280" t="s">
        <v>947</v>
      </c>
      <c r="B848" s="65">
        <v>113447</v>
      </c>
    </row>
    <row r="849" spans="1:2">
      <c r="A849" s="280" t="s">
        <v>833</v>
      </c>
      <c r="B849" s="65">
        <v>113996</v>
      </c>
    </row>
    <row r="850" spans="1:2">
      <c r="A850" s="280" t="s">
        <v>835</v>
      </c>
      <c r="B850" s="66" t="s">
        <v>6781</v>
      </c>
    </row>
    <row r="851" spans="1:2">
      <c r="A851" s="280" t="s">
        <v>836</v>
      </c>
      <c r="B851" s="66" t="s">
        <v>6781</v>
      </c>
    </row>
    <row r="852" spans="1:2">
      <c r="A852" s="280" t="s">
        <v>837</v>
      </c>
      <c r="B852" s="65">
        <v>156826</v>
      </c>
    </row>
    <row r="853" spans="1:2">
      <c r="A853" s="280" t="s">
        <v>838</v>
      </c>
      <c r="B853" s="65">
        <v>517</v>
      </c>
    </row>
    <row r="854" spans="1:2">
      <c r="A854" s="280" t="s">
        <v>724</v>
      </c>
      <c r="B854" s="65">
        <v>124947</v>
      </c>
    </row>
    <row r="855" spans="1:2">
      <c r="A855" s="280" t="s">
        <v>725</v>
      </c>
      <c r="B855" s="65">
        <v>112435</v>
      </c>
    </row>
    <row r="856" spans="1:2">
      <c r="A856" s="280" t="s">
        <v>726</v>
      </c>
      <c r="B856" s="65">
        <v>119829</v>
      </c>
    </row>
    <row r="857" spans="1:2">
      <c r="A857" s="280" t="s">
        <v>727</v>
      </c>
      <c r="B857" s="66" t="s">
        <v>6781</v>
      </c>
    </row>
    <row r="858" spans="1:2">
      <c r="A858" s="280" t="s">
        <v>728</v>
      </c>
      <c r="B858" s="66" t="s">
        <v>6781</v>
      </c>
    </row>
    <row r="859" spans="1:2">
      <c r="A859" s="280" t="s">
        <v>729</v>
      </c>
      <c r="B859" s="66" t="s">
        <v>6781</v>
      </c>
    </row>
    <row r="860" spans="1:2">
      <c r="A860" s="280" t="s">
        <v>948</v>
      </c>
      <c r="B860" s="65">
        <v>67670</v>
      </c>
    </row>
    <row r="861" spans="1:2">
      <c r="A861" s="280" t="s">
        <v>949</v>
      </c>
      <c r="B861" s="65">
        <v>156208</v>
      </c>
    </row>
    <row r="862" spans="1:2">
      <c r="A862" s="280" t="s">
        <v>950</v>
      </c>
      <c r="B862" s="65">
        <v>109852</v>
      </c>
    </row>
    <row r="863" spans="1:2">
      <c r="A863" s="280" t="s">
        <v>2633</v>
      </c>
      <c r="B863" s="65">
        <v>139613</v>
      </c>
    </row>
    <row r="864" spans="1:2">
      <c r="A864" s="280" t="s">
        <v>841</v>
      </c>
      <c r="B864" s="65">
        <v>135380</v>
      </c>
    </row>
    <row r="865" spans="1:2">
      <c r="A865" s="280" t="s">
        <v>730</v>
      </c>
      <c r="B865" s="65">
        <v>951</v>
      </c>
    </row>
    <row r="866" spans="1:2">
      <c r="A866" s="280" t="s">
        <v>732</v>
      </c>
      <c r="B866" s="65">
        <v>133698</v>
      </c>
    </row>
    <row r="867" spans="1:2">
      <c r="A867" s="280" t="s">
        <v>733</v>
      </c>
      <c r="B867" s="65">
        <v>176803</v>
      </c>
    </row>
    <row r="868" spans="1:2">
      <c r="A868" s="280" t="s">
        <v>2636</v>
      </c>
      <c r="B868" s="65">
        <v>86223</v>
      </c>
    </row>
    <row r="869" spans="1:2">
      <c r="A869" s="280" t="s">
        <v>973</v>
      </c>
      <c r="B869" s="65">
        <v>9733</v>
      </c>
    </row>
    <row r="870" spans="1:2">
      <c r="A870" s="280" t="s">
        <v>981</v>
      </c>
      <c r="B870" s="65">
        <v>84798</v>
      </c>
    </row>
    <row r="871" spans="1:2">
      <c r="A871" s="280" t="s">
        <v>989</v>
      </c>
      <c r="B871" s="65">
        <v>100733</v>
      </c>
    </row>
    <row r="872" spans="1:2">
      <c r="A872" s="280" t="s">
        <v>1079</v>
      </c>
      <c r="B872" s="65">
        <v>72322</v>
      </c>
    </row>
    <row r="873" spans="1:2">
      <c r="A873" s="280" t="s">
        <v>1091</v>
      </c>
      <c r="B873" s="65">
        <v>158001</v>
      </c>
    </row>
    <row r="874" spans="1:2">
      <c r="A874" s="280" t="s">
        <v>1103</v>
      </c>
      <c r="B874" s="65">
        <v>91366</v>
      </c>
    </row>
    <row r="875" spans="1:2">
      <c r="A875" s="280" t="s">
        <v>1193</v>
      </c>
      <c r="B875" s="65">
        <v>112384</v>
      </c>
    </row>
    <row r="876" spans="1:2">
      <c r="A876" s="280" t="s">
        <v>1205</v>
      </c>
      <c r="B876" s="65">
        <v>95575</v>
      </c>
    </row>
    <row r="877" spans="1:2">
      <c r="A877" s="280" t="s">
        <v>1217</v>
      </c>
      <c r="B877" s="65">
        <v>8597</v>
      </c>
    </row>
    <row r="878" spans="1:2">
      <c r="A878" s="280" t="s">
        <v>974</v>
      </c>
      <c r="B878" s="65">
        <v>95530</v>
      </c>
    </row>
    <row r="879" spans="1:2">
      <c r="A879" s="280" t="s">
        <v>982</v>
      </c>
      <c r="B879" s="65">
        <v>325</v>
      </c>
    </row>
    <row r="880" spans="1:2">
      <c r="A880" s="280" t="s">
        <v>990</v>
      </c>
      <c r="B880" s="65">
        <v>1471</v>
      </c>
    </row>
    <row r="881" spans="1:2">
      <c r="A881" s="280" t="s">
        <v>1080</v>
      </c>
      <c r="B881" s="65">
        <v>477</v>
      </c>
    </row>
    <row r="882" spans="1:2">
      <c r="A882" s="280" t="s">
        <v>1092</v>
      </c>
      <c r="B882" s="65">
        <v>82527</v>
      </c>
    </row>
    <row r="883" spans="1:2">
      <c r="A883" s="280" t="s">
        <v>1104</v>
      </c>
      <c r="B883" s="65">
        <v>142314</v>
      </c>
    </row>
    <row r="884" spans="1:2">
      <c r="A884" s="280" t="s">
        <v>1194</v>
      </c>
      <c r="B884" s="65">
        <v>19489</v>
      </c>
    </row>
    <row r="885" spans="1:2">
      <c r="A885" s="280" t="s">
        <v>1206</v>
      </c>
      <c r="B885" s="65">
        <v>79501</v>
      </c>
    </row>
    <row r="886" spans="1:2">
      <c r="A886" s="280" t="s">
        <v>1218</v>
      </c>
      <c r="B886" s="65">
        <v>14034</v>
      </c>
    </row>
    <row r="887" spans="1:2">
      <c r="A887" s="280" t="s">
        <v>991</v>
      </c>
      <c r="B887" s="65">
        <v>95801</v>
      </c>
    </row>
    <row r="888" spans="1:2">
      <c r="A888" s="280" t="s">
        <v>1081</v>
      </c>
      <c r="B888" s="65">
        <v>727</v>
      </c>
    </row>
    <row r="889" spans="1:2">
      <c r="A889" s="280" t="s">
        <v>1093</v>
      </c>
      <c r="B889" s="65">
        <v>116946</v>
      </c>
    </row>
    <row r="890" spans="1:2">
      <c r="A890" s="280" t="s">
        <v>1105</v>
      </c>
      <c r="B890" s="65">
        <v>35402</v>
      </c>
    </row>
    <row r="891" spans="1:2">
      <c r="A891" s="280" t="s">
        <v>1195</v>
      </c>
      <c r="B891" s="65">
        <v>98959</v>
      </c>
    </row>
    <row r="892" spans="1:2">
      <c r="A892" s="280" t="s">
        <v>1207</v>
      </c>
      <c r="B892" s="65">
        <v>105900</v>
      </c>
    </row>
    <row r="893" spans="1:2">
      <c r="A893" s="280" t="s">
        <v>1219</v>
      </c>
      <c r="B893" s="65">
        <v>122680</v>
      </c>
    </row>
    <row r="894" spans="1:2">
      <c r="A894" s="280" t="s">
        <v>992</v>
      </c>
      <c r="B894" s="65">
        <v>57380</v>
      </c>
    </row>
    <row r="895" spans="1:2">
      <c r="A895" s="280" t="s">
        <v>1082</v>
      </c>
      <c r="B895" s="65">
        <v>116903</v>
      </c>
    </row>
    <row r="896" spans="1:2">
      <c r="A896" s="280" t="s">
        <v>1094</v>
      </c>
      <c r="B896" s="65">
        <v>2693</v>
      </c>
    </row>
    <row r="897" spans="1:2">
      <c r="A897" s="280" t="s">
        <v>1106</v>
      </c>
      <c r="B897" s="65">
        <v>144225</v>
      </c>
    </row>
    <row r="898" spans="1:2">
      <c r="A898" s="280" t="s">
        <v>1196</v>
      </c>
      <c r="B898" s="65">
        <v>60169</v>
      </c>
    </row>
    <row r="899" spans="1:2">
      <c r="A899" s="280" t="s">
        <v>1208</v>
      </c>
      <c r="B899" s="65">
        <v>100959</v>
      </c>
    </row>
    <row r="900" spans="1:2">
      <c r="A900" s="280" t="s">
        <v>1220</v>
      </c>
      <c r="B900" s="65">
        <v>100002</v>
      </c>
    </row>
    <row r="901" spans="1:2">
      <c r="A901" s="280" t="s">
        <v>975</v>
      </c>
      <c r="B901" s="65">
        <v>126154</v>
      </c>
    </row>
    <row r="902" spans="1:2">
      <c r="A902" s="280" t="s">
        <v>983</v>
      </c>
      <c r="B902" s="65">
        <v>31486</v>
      </c>
    </row>
    <row r="903" spans="1:2">
      <c r="A903" s="280" t="s">
        <v>993</v>
      </c>
      <c r="B903" s="65">
        <v>135404</v>
      </c>
    </row>
    <row r="904" spans="1:2">
      <c r="A904" s="280" t="s">
        <v>1083</v>
      </c>
      <c r="B904" s="65">
        <v>114613</v>
      </c>
    </row>
    <row r="905" spans="1:2">
      <c r="A905" s="280" t="s">
        <v>1095</v>
      </c>
      <c r="B905" s="65">
        <v>85779</v>
      </c>
    </row>
    <row r="906" spans="1:2">
      <c r="A906" s="280" t="s">
        <v>1107</v>
      </c>
      <c r="B906" s="65">
        <v>101247</v>
      </c>
    </row>
    <row r="907" spans="1:2">
      <c r="A907" s="280" t="s">
        <v>1197</v>
      </c>
      <c r="B907" s="65">
        <v>110043</v>
      </c>
    </row>
    <row r="908" spans="1:2">
      <c r="A908" s="280" t="s">
        <v>1209</v>
      </c>
      <c r="B908" s="65">
        <v>1692</v>
      </c>
    </row>
    <row r="909" spans="1:2">
      <c r="A909" s="280" t="s">
        <v>1221</v>
      </c>
      <c r="B909" s="65">
        <v>79184</v>
      </c>
    </row>
    <row r="910" spans="1:2">
      <c r="A910" s="280" t="s">
        <v>976</v>
      </c>
      <c r="B910" s="65">
        <v>177477</v>
      </c>
    </row>
    <row r="911" spans="1:2">
      <c r="A911" s="280" t="s">
        <v>984</v>
      </c>
      <c r="B911" s="65">
        <v>154</v>
      </c>
    </row>
    <row r="912" spans="1:2">
      <c r="A912" s="280" t="s">
        <v>994</v>
      </c>
      <c r="B912" s="65">
        <v>83932</v>
      </c>
    </row>
    <row r="913" spans="1:2">
      <c r="A913" s="280" t="s">
        <v>1084</v>
      </c>
      <c r="B913" s="65">
        <v>59026</v>
      </c>
    </row>
    <row r="914" spans="1:2">
      <c r="A914" s="280" t="s">
        <v>1096</v>
      </c>
      <c r="B914" s="65">
        <v>117154</v>
      </c>
    </row>
    <row r="915" spans="1:2">
      <c r="A915" s="280" t="s">
        <v>1108</v>
      </c>
      <c r="B915" s="65">
        <v>79448</v>
      </c>
    </row>
    <row r="916" spans="1:2">
      <c r="A916" s="280" t="s">
        <v>1198</v>
      </c>
      <c r="B916" s="65">
        <v>97854</v>
      </c>
    </row>
    <row r="917" spans="1:2">
      <c r="A917" s="280" t="s">
        <v>1210</v>
      </c>
      <c r="B917" s="65">
        <v>30696</v>
      </c>
    </row>
    <row r="918" spans="1:2">
      <c r="A918" s="280" t="s">
        <v>1222</v>
      </c>
      <c r="B918" s="65">
        <v>2009</v>
      </c>
    </row>
    <row r="919" spans="1:2">
      <c r="A919" s="280" t="s">
        <v>995</v>
      </c>
      <c r="B919" s="66" t="s">
        <v>6781</v>
      </c>
    </row>
    <row r="920" spans="1:2">
      <c r="A920" s="280" t="s">
        <v>996</v>
      </c>
      <c r="B920" s="65">
        <v>124671</v>
      </c>
    </row>
    <row r="921" spans="1:2">
      <c r="A921" s="280" t="s">
        <v>997</v>
      </c>
      <c r="B921" s="65">
        <v>133848</v>
      </c>
    </row>
    <row r="922" spans="1:2">
      <c r="A922" s="280" t="s">
        <v>998</v>
      </c>
      <c r="B922" s="65">
        <v>73225</v>
      </c>
    </row>
    <row r="923" spans="1:2">
      <c r="A923" s="280" t="s">
        <v>1000</v>
      </c>
      <c r="B923" s="66" t="s">
        <v>6781</v>
      </c>
    </row>
    <row r="924" spans="1:2">
      <c r="A924" s="280" t="s">
        <v>1112</v>
      </c>
      <c r="B924" s="65">
        <v>112550</v>
      </c>
    </row>
    <row r="925" spans="1:2">
      <c r="A925" s="280" t="s">
        <v>1114</v>
      </c>
      <c r="B925" s="65">
        <v>130175</v>
      </c>
    </row>
    <row r="926" spans="1:2">
      <c r="A926" s="280" t="s">
        <v>1223</v>
      </c>
      <c r="B926" s="65">
        <v>156854</v>
      </c>
    </row>
    <row r="927" spans="1:2">
      <c r="A927" s="280" t="s">
        <v>1224</v>
      </c>
      <c r="B927" s="65">
        <v>436</v>
      </c>
    </row>
    <row r="928" spans="1:2">
      <c r="A928" s="280" t="s">
        <v>1225</v>
      </c>
      <c r="B928" s="65">
        <v>1397</v>
      </c>
    </row>
    <row r="929" spans="1:2">
      <c r="A929" s="280" t="s">
        <v>1228</v>
      </c>
      <c r="B929" s="66" t="s">
        <v>6781</v>
      </c>
    </row>
    <row r="930" spans="1:2">
      <c r="A930" s="280" t="s">
        <v>1001</v>
      </c>
      <c r="B930" s="65">
        <v>114054</v>
      </c>
    </row>
    <row r="931" spans="1:2">
      <c r="A931" s="280" t="s">
        <v>1002</v>
      </c>
      <c r="B931" s="65">
        <v>110419</v>
      </c>
    </row>
    <row r="932" spans="1:2">
      <c r="A932" s="280" t="s">
        <v>1003</v>
      </c>
      <c r="B932" s="65">
        <v>126102</v>
      </c>
    </row>
    <row r="933" spans="1:2">
      <c r="A933" s="280" t="s">
        <v>1005</v>
      </c>
      <c r="B933" s="65">
        <v>142586</v>
      </c>
    </row>
    <row r="934" spans="1:2">
      <c r="A934" s="280" t="s">
        <v>1006</v>
      </c>
      <c r="B934" s="65">
        <v>109249</v>
      </c>
    </row>
    <row r="935" spans="1:2">
      <c r="A935" s="280" t="s">
        <v>1117</v>
      </c>
      <c r="B935" s="65">
        <v>129167</v>
      </c>
    </row>
    <row r="936" spans="1:2">
      <c r="A936" s="280" t="s">
        <v>1118</v>
      </c>
      <c r="B936" s="65">
        <v>124944</v>
      </c>
    </row>
    <row r="937" spans="1:2">
      <c r="A937" s="280" t="s">
        <v>1229</v>
      </c>
      <c r="B937" s="65">
        <v>137009</v>
      </c>
    </row>
    <row r="938" spans="1:2">
      <c r="A938" s="280" t="s">
        <v>1231</v>
      </c>
      <c r="B938" s="65">
        <v>127720</v>
      </c>
    </row>
    <row r="939" spans="1:2">
      <c r="A939" s="280" t="s">
        <v>1232</v>
      </c>
      <c r="B939" s="65">
        <v>110671</v>
      </c>
    </row>
    <row r="940" spans="1:2">
      <c r="A940" s="280" t="s">
        <v>1234</v>
      </c>
      <c r="B940" s="65">
        <v>105</v>
      </c>
    </row>
    <row r="941" spans="1:2">
      <c r="A941" s="280" t="s">
        <v>1007</v>
      </c>
      <c r="B941" s="65">
        <v>137585</v>
      </c>
    </row>
    <row r="942" spans="1:2">
      <c r="A942" s="280" t="s">
        <v>1008</v>
      </c>
      <c r="B942" s="65">
        <v>142820</v>
      </c>
    </row>
    <row r="943" spans="1:2">
      <c r="A943" s="280" t="s">
        <v>1010</v>
      </c>
      <c r="B943" s="65">
        <v>209</v>
      </c>
    </row>
    <row r="944" spans="1:2">
      <c r="A944" s="280" t="s">
        <v>1011</v>
      </c>
      <c r="B944" s="65">
        <v>20169</v>
      </c>
    </row>
    <row r="945" spans="1:2">
      <c r="A945" s="280" t="s">
        <v>1012</v>
      </c>
      <c r="B945" s="65">
        <v>237</v>
      </c>
    </row>
    <row r="946" spans="1:2">
      <c r="A946" s="280" t="s">
        <v>1121</v>
      </c>
      <c r="B946" s="65">
        <v>138553</v>
      </c>
    </row>
    <row r="947" spans="1:2">
      <c r="A947" s="280" t="s">
        <v>1122</v>
      </c>
      <c r="B947" s="65">
        <v>156650</v>
      </c>
    </row>
    <row r="948" spans="1:2">
      <c r="A948" s="280" t="s">
        <v>1124</v>
      </c>
      <c r="B948" s="65">
        <v>1001</v>
      </c>
    </row>
    <row r="949" spans="1:2">
      <c r="A949" s="280" t="s">
        <v>1125</v>
      </c>
      <c r="B949" s="65">
        <v>42040</v>
      </c>
    </row>
    <row r="950" spans="1:2">
      <c r="A950" s="280" t="s">
        <v>1126</v>
      </c>
      <c r="B950" s="65">
        <v>114044</v>
      </c>
    </row>
    <row r="951" spans="1:2">
      <c r="A951" s="280" t="s">
        <v>1236</v>
      </c>
      <c r="B951" s="65">
        <v>82522</v>
      </c>
    </row>
    <row r="952" spans="1:2">
      <c r="A952" s="280" t="s">
        <v>1237</v>
      </c>
      <c r="B952" s="65">
        <v>129080</v>
      </c>
    </row>
    <row r="953" spans="1:2">
      <c r="A953" s="280" t="s">
        <v>1238</v>
      </c>
      <c r="B953" s="65">
        <v>132797</v>
      </c>
    </row>
    <row r="954" spans="1:2">
      <c r="A954" s="280" t="s">
        <v>1239</v>
      </c>
      <c r="B954" s="65">
        <v>112429</v>
      </c>
    </row>
    <row r="955" spans="1:2">
      <c r="A955" s="280" t="s">
        <v>1240</v>
      </c>
      <c r="B955" s="65">
        <v>118945</v>
      </c>
    </row>
    <row r="956" spans="1:2">
      <c r="A956" s="280" t="s">
        <v>1013</v>
      </c>
      <c r="B956" s="65">
        <v>1359</v>
      </c>
    </row>
    <row r="957" spans="1:2">
      <c r="A957" s="280" t="s">
        <v>1014</v>
      </c>
      <c r="B957" s="65">
        <v>137505</v>
      </c>
    </row>
    <row r="958" spans="1:2">
      <c r="A958" s="280" t="s">
        <v>1015</v>
      </c>
      <c r="B958" s="65">
        <v>107092</v>
      </c>
    </row>
    <row r="959" spans="1:2">
      <c r="A959" s="280" t="s">
        <v>1016</v>
      </c>
      <c r="B959" s="65">
        <v>132710</v>
      </c>
    </row>
    <row r="960" spans="1:2">
      <c r="A960" s="280" t="s">
        <v>1018</v>
      </c>
      <c r="B960" s="65">
        <v>138959</v>
      </c>
    </row>
    <row r="961" spans="1:2">
      <c r="A961" s="280" t="s">
        <v>1127</v>
      </c>
      <c r="B961" s="65">
        <v>108956</v>
      </c>
    </row>
    <row r="962" spans="1:2">
      <c r="A962" s="280" t="s">
        <v>1128</v>
      </c>
      <c r="B962" s="65">
        <v>108956</v>
      </c>
    </row>
    <row r="963" spans="1:2">
      <c r="A963" s="280" t="s">
        <v>1130</v>
      </c>
      <c r="B963" s="65">
        <v>10958</v>
      </c>
    </row>
    <row r="964" spans="1:2">
      <c r="A964" s="280" t="s">
        <v>1131</v>
      </c>
      <c r="B964" s="65">
        <v>124755</v>
      </c>
    </row>
    <row r="965" spans="1:2">
      <c r="A965" s="280" t="s">
        <v>1132</v>
      </c>
      <c r="B965" s="65">
        <v>132593</v>
      </c>
    </row>
    <row r="966" spans="1:2">
      <c r="A966" s="280" t="s">
        <v>1241</v>
      </c>
      <c r="B966" s="65">
        <v>113619</v>
      </c>
    </row>
    <row r="967" spans="1:2">
      <c r="A967" s="280" t="s">
        <v>1242</v>
      </c>
      <c r="B967" s="65">
        <v>138517</v>
      </c>
    </row>
    <row r="968" spans="1:2">
      <c r="A968" s="280" t="s">
        <v>1243</v>
      </c>
      <c r="B968" s="65">
        <v>114384</v>
      </c>
    </row>
    <row r="969" spans="1:2">
      <c r="A969" s="280" t="s">
        <v>1244</v>
      </c>
      <c r="B969" s="65">
        <v>13568</v>
      </c>
    </row>
    <row r="970" spans="1:2">
      <c r="A970" s="280" t="s">
        <v>1245</v>
      </c>
      <c r="B970" s="65">
        <v>138954</v>
      </c>
    </row>
    <row r="971" spans="1:2">
      <c r="A971" s="280" t="s">
        <v>1246</v>
      </c>
      <c r="B971" s="65">
        <v>127748</v>
      </c>
    </row>
    <row r="972" spans="1:2">
      <c r="A972" s="280" t="s">
        <v>1019</v>
      </c>
      <c r="B972" s="65">
        <v>319</v>
      </c>
    </row>
    <row r="973" spans="1:2">
      <c r="A973" s="280" t="s">
        <v>1020</v>
      </c>
      <c r="B973" s="65">
        <v>115027</v>
      </c>
    </row>
    <row r="974" spans="1:2">
      <c r="A974" s="280" t="s">
        <v>1021</v>
      </c>
      <c r="B974" s="65">
        <v>1132</v>
      </c>
    </row>
    <row r="975" spans="1:2">
      <c r="A975" s="280" t="s">
        <v>1022</v>
      </c>
      <c r="B975" s="65">
        <v>12962</v>
      </c>
    </row>
    <row r="976" spans="1:2">
      <c r="A976" s="280" t="s">
        <v>1023</v>
      </c>
      <c r="B976" s="65">
        <v>968</v>
      </c>
    </row>
    <row r="977" spans="1:2">
      <c r="A977" s="280" t="s">
        <v>1024</v>
      </c>
      <c r="B977" s="65">
        <v>137003</v>
      </c>
    </row>
    <row r="978" spans="1:2">
      <c r="A978" s="280" t="s">
        <v>1133</v>
      </c>
      <c r="B978" s="65">
        <v>157662</v>
      </c>
    </row>
    <row r="979" spans="1:2">
      <c r="A979" s="280" t="s">
        <v>1134</v>
      </c>
      <c r="B979" s="65">
        <v>130171</v>
      </c>
    </row>
    <row r="980" spans="1:2">
      <c r="A980" s="280" t="s">
        <v>1135</v>
      </c>
      <c r="B980" s="65">
        <v>116621</v>
      </c>
    </row>
    <row r="981" spans="1:2">
      <c r="A981" s="280" t="s">
        <v>1136</v>
      </c>
      <c r="B981" s="65">
        <v>118325</v>
      </c>
    </row>
    <row r="982" spans="1:2">
      <c r="A982" s="280" t="s">
        <v>1137</v>
      </c>
      <c r="B982" s="65">
        <v>37764</v>
      </c>
    </row>
    <row r="983" spans="1:2">
      <c r="A983" s="280" t="s">
        <v>1138</v>
      </c>
      <c r="B983" s="65">
        <v>31746</v>
      </c>
    </row>
    <row r="984" spans="1:2">
      <c r="A984" s="280" t="s">
        <v>1247</v>
      </c>
      <c r="B984" s="65">
        <v>40075</v>
      </c>
    </row>
    <row r="985" spans="1:2">
      <c r="A985" s="280" t="s">
        <v>1248</v>
      </c>
      <c r="B985" s="65">
        <v>93977</v>
      </c>
    </row>
    <row r="986" spans="1:2">
      <c r="A986" s="280" t="s">
        <v>1249</v>
      </c>
      <c r="B986" s="65">
        <v>103236</v>
      </c>
    </row>
    <row r="987" spans="1:2">
      <c r="A987" s="280" t="s">
        <v>1250</v>
      </c>
      <c r="B987" s="65">
        <v>127468</v>
      </c>
    </row>
    <row r="988" spans="1:2">
      <c r="A988" s="280" t="s">
        <v>1252</v>
      </c>
      <c r="B988" s="65">
        <v>119</v>
      </c>
    </row>
    <row r="989" spans="1:2">
      <c r="A989" s="280" t="s">
        <v>1025</v>
      </c>
      <c r="B989" s="65">
        <v>157098</v>
      </c>
    </row>
    <row r="990" spans="1:2">
      <c r="A990" s="280" t="s">
        <v>1026</v>
      </c>
      <c r="B990" s="65">
        <v>101026</v>
      </c>
    </row>
    <row r="991" spans="1:2">
      <c r="A991" s="280" t="s">
        <v>1027</v>
      </c>
      <c r="B991" s="65">
        <v>138843</v>
      </c>
    </row>
    <row r="992" spans="1:2">
      <c r="A992" s="280" t="s">
        <v>1029</v>
      </c>
      <c r="B992" s="65">
        <v>176802</v>
      </c>
    </row>
    <row r="993" spans="1:2">
      <c r="A993" s="280" t="s">
        <v>1139</v>
      </c>
      <c r="B993" s="65">
        <v>137553</v>
      </c>
    </row>
    <row r="994" spans="1:2">
      <c r="A994" s="280" t="s">
        <v>1140</v>
      </c>
      <c r="B994" s="65">
        <v>110259</v>
      </c>
    </row>
    <row r="995" spans="1:2">
      <c r="A995" s="280" t="s">
        <v>1141</v>
      </c>
      <c r="B995" s="65">
        <v>155722</v>
      </c>
    </row>
    <row r="996" spans="1:2">
      <c r="A996" s="280" t="s">
        <v>1144</v>
      </c>
      <c r="B996" s="65">
        <v>97476</v>
      </c>
    </row>
    <row r="997" spans="1:2">
      <c r="A997" s="280" t="s">
        <v>1253</v>
      </c>
      <c r="B997" s="65">
        <v>78513</v>
      </c>
    </row>
    <row r="998" spans="1:2">
      <c r="A998" s="280" t="s">
        <v>1254</v>
      </c>
      <c r="B998" s="65">
        <v>138930</v>
      </c>
    </row>
    <row r="999" spans="1:2">
      <c r="A999" s="280" t="s">
        <v>1255</v>
      </c>
      <c r="B999" s="65">
        <v>138817</v>
      </c>
    </row>
    <row r="1000" spans="1:2">
      <c r="A1000" s="280" t="s">
        <v>1256</v>
      </c>
      <c r="B1000" s="65">
        <v>138847</v>
      </c>
    </row>
    <row r="1001" spans="1:2">
      <c r="A1001" s="280" t="s">
        <v>1257</v>
      </c>
      <c r="B1001" s="65">
        <v>138809</v>
      </c>
    </row>
    <row r="1002" spans="1:2">
      <c r="A1002" s="280" t="s">
        <v>1258</v>
      </c>
      <c r="B1002" s="65">
        <v>85468</v>
      </c>
    </row>
    <row r="1003" spans="1:2">
      <c r="A1003" s="280" t="s">
        <v>650</v>
      </c>
      <c r="B1003" s="65">
        <v>96428</v>
      </c>
    </row>
    <row r="1004" spans="1:2">
      <c r="A1004" s="280" t="s">
        <v>735</v>
      </c>
      <c r="B1004" s="65">
        <v>12090</v>
      </c>
    </row>
    <row r="1005" spans="1:2">
      <c r="A1005" s="280" t="s">
        <v>747</v>
      </c>
      <c r="B1005" s="65">
        <v>177090</v>
      </c>
    </row>
    <row r="1006" spans="1:2">
      <c r="A1006" s="280" t="s">
        <v>759</v>
      </c>
      <c r="B1006" s="65">
        <v>126155</v>
      </c>
    </row>
    <row r="1007" spans="1:2">
      <c r="A1007" s="280" t="s">
        <v>844</v>
      </c>
      <c r="B1007" s="65">
        <v>69079</v>
      </c>
    </row>
    <row r="1008" spans="1:2">
      <c r="A1008" s="280" t="s">
        <v>856</v>
      </c>
      <c r="B1008" s="65">
        <v>59210</v>
      </c>
    </row>
    <row r="1009" spans="1:2">
      <c r="A1009" s="280" t="s">
        <v>868</v>
      </c>
      <c r="B1009" s="65">
        <v>24700</v>
      </c>
    </row>
    <row r="1010" spans="1:2">
      <c r="A1010" s="280" t="s">
        <v>953</v>
      </c>
      <c r="B1010" s="65">
        <v>22706</v>
      </c>
    </row>
    <row r="1011" spans="1:2">
      <c r="A1011" s="280" t="s">
        <v>961</v>
      </c>
      <c r="B1011" s="65">
        <v>87500</v>
      </c>
    </row>
    <row r="1012" spans="1:2">
      <c r="A1012" s="280" t="s">
        <v>651</v>
      </c>
      <c r="B1012" s="65">
        <v>35587</v>
      </c>
    </row>
    <row r="1013" spans="1:2">
      <c r="A1013" s="280" t="s">
        <v>736</v>
      </c>
      <c r="B1013" s="65">
        <v>124911</v>
      </c>
    </row>
    <row r="1014" spans="1:2">
      <c r="A1014" s="280" t="s">
        <v>748</v>
      </c>
      <c r="B1014" s="66" t="s">
        <v>6781</v>
      </c>
    </row>
    <row r="1015" spans="1:2">
      <c r="A1015" s="280" t="s">
        <v>760</v>
      </c>
      <c r="B1015" s="65">
        <v>116458</v>
      </c>
    </row>
    <row r="1016" spans="1:2">
      <c r="A1016" s="280" t="s">
        <v>845</v>
      </c>
      <c r="B1016" s="65">
        <v>77911</v>
      </c>
    </row>
    <row r="1017" spans="1:2">
      <c r="A1017" s="280" t="s">
        <v>857</v>
      </c>
      <c r="B1017" s="65">
        <v>131875</v>
      </c>
    </row>
    <row r="1018" spans="1:2">
      <c r="A1018" s="280" t="s">
        <v>869</v>
      </c>
      <c r="B1018" s="65">
        <v>117155</v>
      </c>
    </row>
    <row r="1019" spans="1:2">
      <c r="A1019" s="280" t="s">
        <v>954</v>
      </c>
      <c r="B1019" s="65">
        <v>71002</v>
      </c>
    </row>
    <row r="1020" spans="1:2">
      <c r="A1020" s="280" t="s">
        <v>962</v>
      </c>
      <c r="B1020" s="65">
        <v>37716</v>
      </c>
    </row>
    <row r="1021" spans="1:2">
      <c r="A1021" s="280" t="s">
        <v>652</v>
      </c>
      <c r="B1021" s="65">
        <v>88081</v>
      </c>
    </row>
    <row r="1022" spans="1:2">
      <c r="A1022" s="280" t="s">
        <v>737</v>
      </c>
      <c r="B1022" s="65">
        <v>95111</v>
      </c>
    </row>
    <row r="1023" spans="1:2">
      <c r="A1023" s="280" t="s">
        <v>749</v>
      </c>
      <c r="B1023" s="65">
        <v>222</v>
      </c>
    </row>
    <row r="1024" spans="1:2">
      <c r="A1024" s="280" t="s">
        <v>761</v>
      </c>
      <c r="B1024" s="65">
        <v>101265</v>
      </c>
    </row>
    <row r="1025" spans="1:2">
      <c r="A1025" s="280" t="s">
        <v>846</v>
      </c>
      <c r="B1025" s="65">
        <v>127244</v>
      </c>
    </row>
    <row r="1026" spans="1:2">
      <c r="A1026" s="280" t="s">
        <v>858</v>
      </c>
      <c r="B1026" s="65">
        <v>61388</v>
      </c>
    </row>
    <row r="1027" spans="1:2">
      <c r="A1027" s="280" t="s">
        <v>870</v>
      </c>
      <c r="B1027" s="65">
        <v>124194</v>
      </c>
    </row>
    <row r="1028" spans="1:2">
      <c r="A1028" s="280" t="s">
        <v>653</v>
      </c>
      <c r="B1028" s="65">
        <v>111197</v>
      </c>
    </row>
    <row r="1029" spans="1:2">
      <c r="A1029" s="280" t="s">
        <v>738</v>
      </c>
      <c r="B1029" s="65">
        <v>159034</v>
      </c>
    </row>
    <row r="1030" spans="1:2">
      <c r="A1030" s="280" t="s">
        <v>750</v>
      </c>
      <c r="B1030" s="65">
        <v>118618</v>
      </c>
    </row>
    <row r="1031" spans="1:2">
      <c r="A1031" s="280" t="s">
        <v>762</v>
      </c>
      <c r="B1031" s="65">
        <v>101249</v>
      </c>
    </row>
    <row r="1032" spans="1:2">
      <c r="A1032" s="280" t="s">
        <v>847</v>
      </c>
      <c r="B1032" s="65">
        <v>30774</v>
      </c>
    </row>
    <row r="1033" spans="1:2">
      <c r="A1033" s="280" t="s">
        <v>859</v>
      </c>
      <c r="B1033" s="65">
        <v>79514</v>
      </c>
    </row>
    <row r="1034" spans="1:2">
      <c r="A1034" s="280" t="s">
        <v>871</v>
      </c>
      <c r="B1034" s="65">
        <v>131846</v>
      </c>
    </row>
    <row r="1035" spans="1:2">
      <c r="A1035" s="280" t="s">
        <v>654</v>
      </c>
      <c r="B1035" s="65">
        <v>105598</v>
      </c>
    </row>
    <row r="1036" spans="1:2">
      <c r="A1036" s="280" t="s">
        <v>739</v>
      </c>
      <c r="B1036" s="65">
        <v>30221</v>
      </c>
    </row>
    <row r="1037" spans="1:2">
      <c r="A1037" s="280" t="s">
        <v>751</v>
      </c>
      <c r="B1037" s="65">
        <v>13898</v>
      </c>
    </row>
    <row r="1038" spans="1:2">
      <c r="A1038" s="280" t="s">
        <v>763</v>
      </c>
      <c r="B1038" s="65">
        <v>4410</v>
      </c>
    </row>
    <row r="1039" spans="1:2">
      <c r="A1039" s="280" t="s">
        <v>848</v>
      </c>
      <c r="B1039" s="65">
        <v>6833</v>
      </c>
    </row>
    <row r="1040" spans="1:2">
      <c r="A1040" s="280" t="s">
        <v>860</v>
      </c>
      <c r="B1040" s="65">
        <v>5431</v>
      </c>
    </row>
    <row r="1041" spans="1:2">
      <c r="A1041" s="280" t="s">
        <v>872</v>
      </c>
      <c r="B1041" s="65">
        <v>101360</v>
      </c>
    </row>
    <row r="1042" spans="1:2">
      <c r="A1042" s="280" t="s">
        <v>955</v>
      </c>
      <c r="B1042" s="65">
        <v>62296</v>
      </c>
    </row>
    <row r="1043" spans="1:2">
      <c r="A1043" s="280" t="s">
        <v>963</v>
      </c>
      <c r="B1043" s="65">
        <v>83977</v>
      </c>
    </row>
    <row r="1044" spans="1:2">
      <c r="A1044" s="280" t="s">
        <v>655</v>
      </c>
      <c r="B1044" s="65">
        <v>1618</v>
      </c>
    </row>
    <row r="1045" spans="1:2">
      <c r="A1045" s="280" t="s">
        <v>740</v>
      </c>
      <c r="B1045" s="65">
        <v>89003</v>
      </c>
    </row>
    <row r="1046" spans="1:2">
      <c r="A1046" s="280" t="s">
        <v>752</v>
      </c>
      <c r="B1046" s="65">
        <v>61850</v>
      </c>
    </row>
    <row r="1047" spans="1:2">
      <c r="A1047" s="280" t="s">
        <v>764</v>
      </c>
      <c r="B1047" s="65">
        <v>100294</v>
      </c>
    </row>
    <row r="1048" spans="1:2">
      <c r="A1048" s="280" t="s">
        <v>849</v>
      </c>
      <c r="B1048" s="65">
        <v>119896</v>
      </c>
    </row>
    <row r="1049" spans="1:2">
      <c r="A1049" s="280" t="s">
        <v>861</v>
      </c>
      <c r="B1049" s="65">
        <v>27863</v>
      </c>
    </row>
    <row r="1050" spans="1:2">
      <c r="A1050" s="280" t="s">
        <v>873</v>
      </c>
      <c r="B1050" s="65">
        <v>100731</v>
      </c>
    </row>
    <row r="1051" spans="1:2">
      <c r="A1051" s="280" t="s">
        <v>956</v>
      </c>
      <c r="B1051" s="65">
        <v>2333</v>
      </c>
    </row>
    <row r="1052" spans="1:2">
      <c r="A1052" s="280" t="s">
        <v>964</v>
      </c>
      <c r="B1052" s="65">
        <v>76783</v>
      </c>
    </row>
    <row r="1053" spans="1:2">
      <c r="A1053" s="280" t="s">
        <v>874</v>
      </c>
      <c r="B1053" s="65">
        <v>158197</v>
      </c>
    </row>
    <row r="1054" spans="1:2">
      <c r="A1054" s="280" t="s">
        <v>875</v>
      </c>
      <c r="B1054" s="65">
        <v>95299</v>
      </c>
    </row>
    <row r="1055" spans="1:2">
      <c r="A1055" s="280" t="s">
        <v>877</v>
      </c>
      <c r="B1055" s="65">
        <v>61393</v>
      </c>
    </row>
    <row r="1056" spans="1:2">
      <c r="A1056" s="280" t="s">
        <v>2634</v>
      </c>
      <c r="B1056" s="65">
        <v>156236</v>
      </c>
    </row>
    <row r="1057" spans="1:2">
      <c r="A1057" s="280" t="s">
        <v>878</v>
      </c>
      <c r="B1057" s="65">
        <v>108957</v>
      </c>
    </row>
    <row r="1058" spans="1:2">
      <c r="A1058" s="280" t="s">
        <v>765</v>
      </c>
      <c r="B1058" s="65">
        <v>97220</v>
      </c>
    </row>
    <row r="1059" spans="1:2">
      <c r="A1059" s="280" t="s">
        <v>768</v>
      </c>
      <c r="B1059" s="65">
        <v>113611</v>
      </c>
    </row>
    <row r="1060" spans="1:2">
      <c r="A1060" s="280" t="s">
        <v>769</v>
      </c>
      <c r="B1060" s="65">
        <v>135227</v>
      </c>
    </row>
    <row r="1061" spans="1:2">
      <c r="A1061" s="280" t="s">
        <v>656</v>
      </c>
      <c r="B1061" s="65">
        <v>1394</v>
      </c>
    </row>
    <row r="1062" spans="1:2">
      <c r="A1062" s="280" t="s">
        <v>657</v>
      </c>
      <c r="B1062" s="65">
        <v>9808</v>
      </c>
    </row>
    <row r="1063" spans="1:2">
      <c r="A1063" s="280" t="s">
        <v>659</v>
      </c>
      <c r="B1063" s="65">
        <v>31490</v>
      </c>
    </row>
    <row r="1064" spans="1:2">
      <c r="A1064" s="280" t="s">
        <v>660</v>
      </c>
      <c r="B1064" s="65">
        <v>35070</v>
      </c>
    </row>
    <row r="1065" spans="1:2">
      <c r="A1065" s="280" t="s">
        <v>879</v>
      </c>
      <c r="B1065" s="65">
        <v>122</v>
      </c>
    </row>
    <row r="1066" spans="1:2">
      <c r="A1066" s="280" t="s">
        <v>880</v>
      </c>
      <c r="B1066" s="65">
        <v>91304</v>
      </c>
    </row>
    <row r="1067" spans="1:2">
      <c r="A1067" s="280" t="s">
        <v>881</v>
      </c>
      <c r="B1067" s="65">
        <v>129275</v>
      </c>
    </row>
    <row r="1068" spans="1:2">
      <c r="A1068" s="280" t="s">
        <v>882</v>
      </c>
      <c r="B1068" s="65">
        <v>101109</v>
      </c>
    </row>
    <row r="1069" spans="1:2">
      <c r="A1069" s="280" t="s">
        <v>883</v>
      </c>
      <c r="B1069" s="65">
        <v>127395</v>
      </c>
    </row>
    <row r="1070" spans="1:2">
      <c r="A1070" s="280" t="s">
        <v>884</v>
      </c>
      <c r="B1070" s="65">
        <v>143762</v>
      </c>
    </row>
    <row r="1071" spans="1:2">
      <c r="A1071" s="280" t="s">
        <v>773</v>
      </c>
      <c r="B1071" s="65">
        <v>112566</v>
      </c>
    </row>
    <row r="1072" spans="1:2">
      <c r="A1072" s="280" t="s">
        <v>774</v>
      </c>
      <c r="B1072" s="65">
        <v>3043</v>
      </c>
    </row>
    <row r="1073" spans="1:2">
      <c r="A1073" s="280" t="s">
        <v>775</v>
      </c>
      <c r="B1073" s="66" t="s">
        <v>6781</v>
      </c>
    </row>
    <row r="1074" spans="1:2">
      <c r="A1074" s="280" t="s">
        <v>662</v>
      </c>
      <c r="B1074" s="65">
        <v>20417</v>
      </c>
    </row>
    <row r="1075" spans="1:2">
      <c r="A1075" s="280" t="s">
        <v>663</v>
      </c>
      <c r="B1075" s="65">
        <v>97197</v>
      </c>
    </row>
    <row r="1076" spans="1:2">
      <c r="A1076" s="280" t="s">
        <v>664</v>
      </c>
      <c r="B1076" s="65">
        <v>110817</v>
      </c>
    </row>
    <row r="1077" spans="1:2">
      <c r="A1077" s="280" t="s">
        <v>665</v>
      </c>
      <c r="B1077" s="65">
        <v>9225</v>
      </c>
    </row>
    <row r="1078" spans="1:2">
      <c r="A1078" s="280" t="s">
        <v>666</v>
      </c>
      <c r="B1078" s="66" t="s">
        <v>6781</v>
      </c>
    </row>
    <row r="1079" spans="1:2">
      <c r="A1079" s="280" t="s">
        <v>885</v>
      </c>
      <c r="B1079" s="65">
        <v>110815</v>
      </c>
    </row>
    <row r="1080" spans="1:2">
      <c r="A1080" s="280" t="s">
        <v>886</v>
      </c>
      <c r="B1080" s="65">
        <v>157091</v>
      </c>
    </row>
    <row r="1081" spans="1:2">
      <c r="A1081" s="280" t="s">
        <v>887</v>
      </c>
      <c r="B1081" s="65">
        <v>2448</v>
      </c>
    </row>
    <row r="1082" spans="1:2">
      <c r="A1082" s="280" t="s">
        <v>889</v>
      </c>
      <c r="B1082" s="65">
        <v>110814</v>
      </c>
    </row>
    <row r="1083" spans="1:2">
      <c r="A1083" s="280" t="s">
        <v>890</v>
      </c>
      <c r="B1083" s="65">
        <v>114922</v>
      </c>
    </row>
    <row r="1084" spans="1:2">
      <c r="A1084" s="280" t="s">
        <v>776</v>
      </c>
      <c r="B1084" s="65">
        <v>157660</v>
      </c>
    </row>
    <row r="1085" spans="1:2">
      <c r="A1085" s="280" t="s">
        <v>778</v>
      </c>
      <c r="B1085" s="65">
        <v>132720</v>
      </c>
    </row>
    <row r="1086" spans="1:2">
      <c r="A1086" s="280" t="s">
        <v>779</v>
      </c>
      <c r="B1086" s="65">
        <v>125053</v>
      </c>
    </row>
    <row r="1087" spans="1:2">
      <c r="A1087" s="280" t="s">
        <v>780</v>
      </c>
      <c r="B1087" s="65">
        <v>157415</v>
      </c>
    </row>
    <row r="1088" spans="1:2">
      <c r="A1088" s="280" t="s">
        <v>781</v>
      </c>
      <c r="B1088" s="65">
        <v>86658</v>
      </c>
    </row>
    <row r="1089" spans="1:2">
      <c r="A1089" s="280" t="s">
        <v>668</v>
      </c>
      <c r="B1089" s="65">
        <v>1414</v>
      </c>
    </row>
    <row r="1090" spans="1:2">
      <c r="A1090" s="280" t="s">
        <v>669</v>
      </c>
      <c r="B1090" s="65">
        <v>110811</v>
      </c>
    </row>
    <row r="1091" spans="1:2">
      <c r="A1091" s="280" t="s">
        <v>670</v>
      </c>
      <c r="B1091" s="65">
        <v>126009</v>
      </c>
    </row>
    <row r="1092" spans="1:2">
      <c r="A1092" s="280" t="s">
        <v>671</v>
      </c>
      <c r="B1092" s="65">
        <v>60671</v>
      </c>
    </row>
    <row r="1093" spans="1:2">
      <c r="A1093" s="280" t="s">
        <v>672</v>
      </c>
      <c r="B1093" s="65">
        <v>132821</v>
      </c>
    </row>
    <row r="1094" spans="1:2">
      <c r="A1094" s="280" t="s">
        <v>891</v>
      </c>
      <c r="B1094" s="65">
        <v>110185</v>
      </c>
    </row>
    <row r="1095" spans="1:2">
      <c r="A1095" s="280" t="s">
        <v>892</v>
      </c>
      <c r="B1095" s="65">
        <v>17</v>
      </c>
    </row>
    <row r="1096" spans="1:2">
      <c r="A1096" s="280" t="s">
        <v>893</v>
      </c>
      <c r="B1096" s="65">
        <v>100861</v>
      </c>
    </row>
    <row r="1097" spans="1:2">
      <c r="A1097" s="280" t="s">
        <v>894</v>
      </c>
      <c r="B1097" s="65">
        <v>157702</v>
      </c>
    </row>
    <row r="1098" spans="1:2">
      <c r="A1098" s="280" t="s">
        <v>895</v>
      </c>
      <c r="B1098" s="65">
        <v>137403</v>
      </c>
    </row>
    <row r="1099" spans="1:2">
      <c r="A1099" s="280" t="s">
        <v>784</v>
      </c>
      <c r="B1099" s="65">
        <v>82833</v>
      </c>
    </row>
    <row r="1100" spans="1:2">
      <c r="A1100" s="280" t="s">
        <v>785</v>
      </c>
      <c r="B1100" s="65">
        <v>137303</v>
      </c>
    </row>
    <row r="1101" spans="1:2">
      <c r="A1101" s="280" t="s">
        <v>786</v>
      </c>
      <c r="B1101" s="65">
        <v>35270</v>
      </c>
    </row>
    <row r="1102" spans="1:2">
      <c r="A1102" s="280" t="s">
        <v>787</v>
      </c>
      <c r="B1102" s="65">
        <v>4887</v>
      </c>
    </row>
    <row r="1103" spans="1:2">
      <c r="A1103" s="280" t="s">
        <v>673</v>
      </c>
      <c r="B1103" s="65">
        <v>116471</v>
      </c>
    </row>
    <row r="1104" spans="1:2">
      <c r="A1104" s="280" t="s">
        <v>674</v>
      </c>
      <c r="B1104" s="65">
        <v>39736</v>
      </c>
    </row>
    <row r="1105" spans="1:2">
      <c r="A1105" s="280" t="s">
        <v>675</v>
      </c>
      <c r="B1105" s="65">
        <v>110679</v>
      </c>
    </row>
    <row r="1106" spans="1:2">
      <c r="A1106" s="280" t="s">
        <v>676</v>
      </c>
      <c r="B1106" s="65">
        <v>157428</v>
      </c>
    </row>
    <row r="1107" spans="1:2">
      <c r="A1107" s="280" t="s">
        <v>677</v>
      </c>
      <c r="B1107" s="65">
        <v>8575</v>
      </c>
    </row>
    <row r="1108" spans="1:2">
      <c r="A1108" s="280" t="s">
        <v>678</v>
      </c>
      <c r="B1108" s="65">
        <v>129771</v>
      </c>
    </row>
    <row r="1109" spans="1:2">
      <c r="A1109" s="280" t="s">
        <v>897</v>
      </c>
      <c r="B1109" s="65">
        <v>35247</v>
      </c>
    </row>
    <row r="1110" spans="1:2">
      <c r="A1110" s="280" t="s">
        <v>899</v>
      </c>
      <c r="B1110" s="66" t="s">
        <v>6781</v>
      </c>
    </row>
    <row r="1111" spans="1:2">
      <c r="A1111" s="280" t="s">
        <v>900</v>
      </c>
      <c r="B1111" s="65">
        <v>157072</v>
      </c>
    </row>
    <row r="1112" spans="1:2">
      <c r="A1112" s="280" t="s">
        <v>901</v>
      </c>
      <c r="B1112" s="65">
        <v>79910</v>
      </c>
    </row>
    <row r="1113" spans="1:2">
      <c r="A1113" s="280" t="s">
        <v>902</v>
      </c>
      <c r="B1113" s="65">
        <v>58623</v>
      </c>
    </row>
    <row r="1114" spans="1:2">
      <c r="A1114" s="280" t="s">
        <v>788</v>
      </c>
      <c r="B1114" s="66" t="s">
        <v>6781</v>
      </c>
    </row>
    <row r="1115" spans="1:2">
      <c r="A1115" s="280" t="s">
        <v>789</v>
      </c>
      <c r="B1115" s="65">
        <v>172656</v>
      </c>
    </row>
    <row r="1116" spans="1:2">
      <c r="A1116" s="280" t="s">
        <v>791</v>
      </c>
      <c r="B1116" s="65">
        <v>143585</v>
      </c>
    </row>
    <row r="1117" spans="1:2">
      <c r="A1117" s="280" t="s">
        <v>792</v>
      </c>
      <c r="B1117" s="65">
        <v>48877</v>
      </c>
    </row>
    <row r="1118" spans="1:2">
      <c r="A1118" s="280" t="s">
        <v>793</v>
      </c>
      <c r="B1118" s="66" t="s">
        <v>6781</v>
      </c>
    </row>
    <row r="1119" spans="1:2">
      <c r="A1119" s="280" t="s">
        <v>679</v>
      </c>
      <c r="B1119" s="65">
        <v>110200</v>
      </c>
    </row>
    <row r="1120" spans="1:2">
      <c r="A1120" s="280" t="s">
        <v>680</v>
      </c>
      <c r="B1120" s="66" t="s">
        <v>6781</v>
      </c>
    </row>
    <row r="1121" spans="1:2">
      <c r="A1121" s="280" t="s">
        <v>681</v>
      </c>
      <c r="B1121" s="65">
        <v>97210</v>
      </c>
    </row>
    <row r="1122" spans="1:2">
      <c r="A1122" s="280" t="s">
        <v>682</v>
      </c>
      <c r="B1122" s="65">
        <v>104971</v>
      </c>
    </row>
    <row r="1123" spans="1:2">
      <c r="A1123" s="280" t="s">
        <v>683</v>
      </c>
      <c r="B1123" s="65">
        <v>100653</v>
      </c>
    </row>
    <row r="1124" spans="1:2">
      <c r="A1124" s="280" t="s">
        <v>903</v>
      </c>
      <c r="B1124" s="65">
        <v>467</v>
      </c>
    </row>
    <row r="1125" spans="1:2">
      <c r="A1125" s="280" t="s">
        <v>906</v>
      </c>
      <c r="B1125" s="65">
        <v>1406</v>
      </c>
    </row>
    <row r="1126" spans="1:2">
      <c r="A1126" s="280" t="s">
        <v>907</v>
      </c>
      <c r="B1126" s="65">
        <v>66750</v>
      </c>
    </row>
    <row r="1127" spans="1:2">
      <c r="A1127" s="280" t="s">
        <v>908</v>
      </c>
      <c r="B1127" s="65">
        <v>129749</v>
      </c>
    </row>
    <row r="1128" spans="1:2">
      <c r="A1128" s="280" t="s">
        <v>795</v>
      </c>
      <c r="B1128" s="65">
        <v>1034</v>
      </c>
    </row>
    <row r="1129" spans="1:2">
      <c r="A1129" s="280" t="s">
        <v>796</v>
      </c>
      <c r="B1129" s="65">
        <v>60081</v>
      </c>
    </row>
    <row r="1130" spans="1:2">
      <c r="A1130" s="280" t="s">
        <v>797</v>
      </c>
      <c r="B1130" s="65">
        <v>177618</v>
      </c>
    </row>
    <row r="1131" spans="1:2">
      <c r="A1131" s="280" t="s">
        <v>798</v>
      </c>
      <c r="B1131" s="66" t="s">
        <v>6781</v>
      </c>
    </row>
    <row r="1132" spans="1:2">
      <c r="A1132" s="280" t="s">
        <v>799</v>
      </c>
      <c r="B1132" s="65">
        <v>156829</v>
      </c>
    </row>
    <row r="1133" spans="1:2">
      <c r="A1133" s="280" t="s">
        <v>687</v>
      </c>
      <c r="B1133" s="65">
        <v>132788</v>
      </c>
    </row>
    <row r="1134" spans="1:2">
      <c r="A1134" s="280" t="s">
        <v>688</v>
      </c>
      <c r="B1134" s="65">
        <v>31692</v>
      </c>
    </row>
    <row r="1135" spans="1:2">
      <c r="A1135" s="280" t="s">
        <v>689</v>
      </c>
      <c r="B1135" s="65">
        <v>6220</v>
      </c>
    </row>
    <row r="1136" spans="1:2">
      <c r="A1136" s="280" t="s">
        <v>690</v>
      </c>
      <c r="B1136" s="65">
        <v>110946</v>
      </c>
    </row>
    <row r="1137" spans="1:2">
      <c r="A1137" s="280" t="s">
        <v>1566</v>
      </c>
      <c r="B1137" s="65">
        <v>132832</v>
      </c>
    </row>
    <row r="1138" spans="1:2">
      <c r="A1138" s="280" t="s">
        <v>1565</v>
      </c>
      <c r="B1138" s="65">
        <v>20401</v>
      </c>
    </row>
    <row r="1139" spans="1:2">
      <c r="A1139" s="280" t="s">
        <v>1564</v>
      </c>
      <c r="B1139" s="65">
        <v>96261</v>
      </c>
    </row>
    <row r="1140" spans="1:2">
      <c r="A1140" s="280" t="s">
        <v>1563</v>
      </c>
      <c r="B1140" s="65">
        <v>158219</v>
      </c>
    </row>
    <row r="1141" spans="1:2">
      <c r="A1141" s="280" t="s">
        <v>1562</v>
      </c>
      <c r="B1141" s="65">
        <v>6667</v>
      </c>
    </row>
    <row r="1142" spans="1:2">
      <c r="A1142" s="280" t="s">
        <v>1561</v>
      </c>
      <c r="B1142" s="65">
        <v>328</v>
      </c>
    </row>
    <row r="1143" spans="1:2">
      <c r="A1143" s="280" t="s">
        <v>1460</v>
      </c>
      <c r="B1143" s="65">
        <v>176613</v>
      </c>
    </row>
    <row r="1144" spans="1:2">
      <c r="A1144" s="280" t="s">
        <v>1459</v>
      </c>
      <c r="B1144" s="65">
        <v>401</v>
      </c>
    </row>
    <row r="1145" spans="1:2">
      <c r="A1145" s="280" t="s">
        <v>1458</v>
      </c>
      <c r="B1145" s="65">
        <v>157434</v>
      </c>
    </row>
    <row r="1146" spans="1:2">
      <c r="A1146" s="280" t="s">
        <v>1457</v>
      </c>
      <c r="B1146" s="65">
        <v>112428</v>
      </c>
    </row>
    <row r="1147" spans="1:2">
      <c r="A1147" s="280" t="s">
        <v>1456</v>
      </c>
      <c r="B1147" s="65">
        <v>7378</v>
      </c>
    </row>
    <row r="1148" spans="1:2">
      <c r="A1148" s="280" t="s">
        <v>1455</v>
      </c>
      <c r="B1148" s="65">
        <v>83918</v>
      </c>
    </row>
    <row r="1149" spans="1:2">
      <c r="A1149" s="280" t="s">
        <v>1353</v>
      </c>
      <c r="B1149" s="65">
        <v>89162</v>
      </c>
    </row>
    <row r="1150" spans="1:2">
      <c r="A1150" s="280" t="s">
        <v>1352</v>
      </c>
      <c r="B1150" s="66" t="s">
        <v>6781</v>
      </c>
    </row>
    <row r="1151" spans="1:2">
      <c r="A1151" s="280" t="s">
        <v>1351</v>
      </c>
      <c r="B1151" s="65">
        <v>17386</v>
      </c>
    </row>
    <row r="1152" spans="1:2">
      <c r="A1152" s="280" t="s">
        <v>1350</v>
      </c>
      <c r="B1152" s="65">
        <v>157616</v>
      </c>
    </row>
    <row r="1153" spans="1:2">
      <c r="A1153" s="280" t="s">
        <v>1349</v>
      </c>
      <c r="B1153" s="65">
        <v>173388</v>
      </c>
    </row>
    <row r="1154" spans="1:2">
      <c r="A1154" s="280" t="s">
        <v>1348</v>
      </c>
      <c r="B1154" s="65">
        <v>139649</v>
      </c>
    </row>
    <row r="1155" spans="1:2">
      <c r="A1155" s="280" t="s">
        <v>1560</v>
      </c>
      <c r="B1155" s="65">
        <v>112793</v>
      </c>
    </row>
    <row r="1156" spans="1:2">
      <c r="A1156" s="280" t="s">
        <v>1559</v>
      </c>
      <c r="B1156" s="65">
        <v>129863</v>
      </c>
    </row>
    <row r="1157" spans="1:2">
      <c r="A1157" s="280" t="s">
        <v>1558</v>
      </c>
      <c r="B1157" s="65">
        <v>16592</v>
      </c>
    </row>
    <row r="1158" spans="1:2">
      <c r="A1158" s="280" t="s">
        <v>1557</v>
      </c>
      <c r="B1158" s="65">
        <v>122475</v>
      </c>
    </row>
    <row r="1159" spans="1:2">
      <c r="A1159" s="280" t="s">
        <v>1556</v>
      </c>
      <c r="B1159" s="65">
        <v>178077</v>
      </c>
    </row>
    <row r="1160" spans="1:2">
      <c r="A1160" s="280" t="s">
        <v>1555</v>
      </c>
      <c r="B1160" s="65">
        <v>113437</v>
      </c>
    </row>
    <row r="1161" spans="1:2">
      <c r="A1161" s="280" t="s">
        <v>1454</v>
      </c>
      <c r="B1161" s="65">
        <v>127245</v>
      </c>
    </row>
    <row r="1162" spans="1:2">
      <c r="A1162" s="280" t="s">
        <v>1453</v>
      </c>
      <c r="B1162" s="65">
        <v>173075</v>
      </c>
    </row>
    <row r="1163" spans="1:2">
      <c r="A1163" s="280" t="s">
        <v>1452</v>
      </c>
      <c r="B1163" s="65">
        <v>121231</v>
      </c>
    </row>
    <row r="1164" spans="1:2">
      <c r="A1164" s="280" t="s">
        <v>1451</v>
      </c>
      <c r="B1164" s="65">
        <v>31491</v>
      </c>
    </row>
    <row r="1165" spans="1:2">
      <c r="A1165" s="280" t="s">
        <v>1450</v>
      </c>
      <c r="B1165" s="65">
        <v>1850</v>
      </c>
    </row>
    <row r="1166" spans="1:2">
      <c r="A1166" s="280" t="s">
        <v>1449</v>
      </c>
      <c r="B1166" s="65">
        <v>26814</v>
      </c>
    </row>
    <row r="1167" spans="1:2">
      <c r="A1167" s="280" t="s">
        <v>1347</v>
      </c>
      <c r="B1167" s="65">
        <v>97123</v>
      </c>
    </row>
    <row r="1168" spans="1:2">
      <c r="A1168" s="280" t="s">
        <v>1346</v>
      </c>
      <c r="B1168" s="65">
        <v>1066</v>
      </c>
    </row>
    <row r="1169" spans="1:2">
      <c r="A1169" s="280" t="s">
        <v>1345</v>
      </c>
      <c r="B1169" s="65">
        <v>39564</v>
      </c>
    </row>
    <row r="1170" spans="1:2">
      <c r="A1170" s="280" t="s">
        <v>1344</v>
      </c>
      <c r="B1170" s="65">
        <v>67911</v>
      </c>
    </row>
    <row r="1171" spans="1:2">
      <c r="A1171" s="280" t="s">
        <v>1343</v>
      </c>
      <c r="B1171" s="65">
        <v>108503</v>
      </c>
    </row>
    <row r="1172" spans="1:2">
      <c r="A1172" s="280" t="s">
        <v>1342</v>
      </c>
      <c r="B1172" s="65">
        <v>83148</v>
      </c>
    </row>
    <row r="1173" spans="1:2">
      <c r="A1173" s="280" t="s">
        <v>1554</v>
      </c>
      <c r="B1173" s="65">
        <v>177745</v>
      </c>
    </row>
    <row r="1174" spans="1:2">
      <c r="A1174" s="280" t="s">
        <v>1553</v>
      </c>
      <c r="B1174" s="65">
        <v>117891</v>
      </c>
    </row>
    <row r="1175" spans="1:2">
      <c r="A1175" s="280" t="s">
        <v>1552</v>
      </c>
      <c r="B1175" s="65">
        <v>156953</v>
      </c>
    </row>
    <row r="1176" spans="1:2">
      <c r="A1176" s="280" t="s">
        <v>1551</v>
      </c>
      <c r="B1176" s="65">
        <v>160376</v>
      </c>
    </row>
    <row r="1177" spans="1:2">
      <c r="A1177" s="280" t="s">
        <v>1550</v>
      </c>
      <c r="B1177" s="66" t="s">
        <v>6781</v>
      </c>
    </row>
    <row r="1178" spans="1:2">
      <c r="A1178" s="280" t="s">
        <v>1549</v>
      </c>
      <c r="B1178" s="65">
        <v>155883</v>
      </c>
    </row>
    <row r="1179" spans="1:2">
      <c r="A1179" s="280" t="s">
        <v>1448</v>
      </c>
      <c r="B1179" s="65">
        <v>100955</v>
      </c>
    </row>
    <row r="1180" spans="1:2">
      <c r="A1180" s="280" t="s">
        <v>1447</v>
      </c>
      <c r="B1180" s="65">
        <v>130571</v>
      </c>
    </row>
    <row r="1181" spans="1:2">
      <c r="A1181" s="280" t="s">
        <v>1446</v>
      </c>
      <c r="B1181" s="65">
        <v>3042</v>
      </c>
    </row>
    <row r="1182" spans="1:2">
      <c r="A1182" s="280" t="s">
        <v>1445</v>
      </c>
      <c r="B1182" s="65">
        <v>124935</v>
      </c>
    </row>
    <row r="1183" spans="1:2">
      <c r="A1183" s="280" t="s">
        <v>1444</v>
      </c>
      <c r="B1183" s="65">
        <v>89151</v>
      </c>
    </row>
    <row r="1184" spans="1:2">
      <c r="A1184" s="280" t="s">
        <v>1443</v>
      </c>
      <c r="B1184" s="65">
        <v>65037</v>
      </c>
    </row>
    <row r="1185" spans="1:2">
      <c r="A1185" s="280" t="s">
        <v>1341</v>
      </c>
      <c r="B1185" s="65">
        <v>100966</v>
      </c>
    </row>
    <row r="1186" spans="1:2">
      <c r="A1186" s="280" t="s">
        <v>1340</v>
      </c>
      <c r="B1186" s="65">
        <v>48265</v>
      </c>
    </row>
    <row r="1187" spans="1:2">
      <c r="A1187" s="280" t="s">
        <v>1339</v>
      </c>
      <c r="B1187" s="65">
        <v>50054</v>
      </c>
    </row>
    <row r="1188" spans="1:2">
      <c r="A1188" s="280" t="s">
        <v>1338</v>
      </c>
      <c r="B1188" s="66" t="s">
        <v>6781</v>
      </c>
    </row>
    <row r="1189" spans="1:2">
      <c r="A1189" s="280" t="s">
        <v>1337</v>
      </c>
      <c r="B1189" s="65">
        <v>1969</v>
      </c>
    </row>
    <row r="1190" spans="1:2">
      <c r="A1190" s="280" t="s">
        <v>1336</v>
      </c>
      <c r="B1190" s="65">
        <v>118782</v>
      </c>
    </row>
    <row r="1191" spans="1:2">
      <c r="A1191" s="280" t="s">
        <v>1548</v>
      </c>
      <c r="B1191" s="65">
        <v>176122</v>
      </c>
    </row>
    <row r="1192" spans="1:2">
      <c r="A1192" s="280" t="s">
        <v>1546</v>
      </c>
      <c r="B1192" s="65">
        <v>133833</v>
      </c>
    </row>
    <row r="1193" spans="1:2">
      <c r="A1193" s="280" t="s">
        <v>1545</v>
      </c>
      <c r="B1193" s="65">
        <v>160072</v>
      </c>
    </row>
    <row r="1194" spans="1:2">
      <c r="A1194" s="280" t="s">
        <v>1544</v>
      </c>
      <c r="B1194" s="66" t="s">
        <v>6781</v>
      </c>
    </row>
    <row r="1195" spans="1:2">
      <c r="A1195" s="280" t="s">
        <v>1543</v>
      </c>
      <c r="B1195" s="66" t="s">
        <v>6781</v>
      </c>
    </row>
    <row r="1196" spans="1:2">
      <c r="A1196" s="280" t="s">
        <v>1442</v>
      </c>
      <c r="B1196" s="65">
        <v>9123</v>
      </c>
    </row>
    <row r="1197" spans="1:2">
      <c r="A1197" s="280" t="s">
        <v>1441</v>
      </c>
      <c r="B1197" s="65">
        <v>79061</v>
      </c>
    </row>
    <row r="1198" spans="1:2">
      <c r="A1198" s="280" t="s">
        <v>1440</v>
      </c>
      <c r="B1198" s="65">
        <v>82390</v>
      </c>
    </row>
    <row r="1199" spans="1:2">
      <c r="A1199" s="280" t="s">
        <v>1439</v>
      </c>
      <c r="B1199" s="65">
        <v>86626</v>
      </c>
    </row>
    <row r="1200" spans="1:2">
      <c r="A1200" s="280" t="s">
        <v>1438</v>
      </c>
      <c r="B1200" s="65">
        <v>35111</v>
      </c>
    </row>
    <row r="1201" spans="1:2">
      <c r="A1201" s="280" t="s">
        <v>1437</v>
      </c>
      <c r="B1201" s="65">
        <v>82391</v>
      </c>
    </row>
    <row r="1202" spans="1:2">
      <c r="A1202" s="280" t="s">
        <v>1335</v>
      </c>
      <c r="B1202" s="65">
        <v>129748</v>
      </c>
    </row>
    <row r="1203" spans="1:2">
      <c r="A1203" s="280" t="s">
        <v>1334</v>
      </c>
      <c r="B1203" s="65">
        <v>18737</v>
      </c>
    </row>
    <row r="1204" spans="1:2">
      <c r="A1204" s="280" t="s">
        <v>1333</v>
      </c>
      <c r="B1204" s="65">
        <v>190</v>
      </c>
    </row>
    <row r="1205" spans="1:2">
      <c r="A1205" s="280" t="s">
        <v>1332</v>
      </c>
      <c r="B1205" s="65">
        <v>1171</v>
      </c>
    </row>
    <row r="1206" spans="1:2">
      <c r="A1206" s="280" t="s">
        <v>1330</v>
      </c>
      <c r="B1206" s="65">
        <v>9621</v>
      </c>
    </row>
    <row r="1207" spans="1:2">
      <c r="A1207" s="280" t="s">
        <v>2615</v>
      </c>
      <c r="B1207" s="65">
        <v>9629</v>
      </c>
    </row>
    <row r="1208" spans="1:2">
      <c r="A1208" s="280" t="s">
        <v>1542</v>
      </c>
      <c r="B1208" s="65">
        <v>13916</v>
      </c>
    </row>
    <row r="1209" spans="1:2">
      <c r="A1209" s="280" t="s">
        <v>1541</v>
      </c>
      <c r="B1209" s="65">
        <v>177693</v>
      </c>
    </row>
    <row r="1210" spans="1:2">
      <c r="A1210" s="280" t="s">
        <v>1540</v>
      </c>
      <c r="B1210" s="65">
        <v>21218</v>
      </c>
    </row>
    <row r="1211" spans="1:2">
      <c r="A1211" s="280" t="s">
        <v>1539</v>
      </c>
      <c r="B1211" s="65">
        <v>35073</v>
      </c>
    </row>
    <row r="1212" spans="1:2">
      <c r="A1212" s="280" t="s">
        <v>1436</v>
      </c>
      <c r="B1212" s="65">
        <v>89153</v>
      </c>
    </row>
    <row r="1213" spans="1:2">
      <c r="A1213" s="280" t="s">
        <v>1435</v>
      </c>
      <c r="B1213" s="65">
        <v>33595</v>
      </c>
    </row>
    <row r="1214" spans="1:2">
      <c r="A1214" s="280" t="s">
        <v>1434</v>
      </c>
      <c r="B1214" s="65">
        <v>285</v>
      </c>
    </row>
    <row r="1215" spans="1:2">
      <c r="A1215" s="280" t="s">
        <v>1433</v>
      </c>
      <c r="B1215" s="65">
        <v>32</v>
      </c>
    </row>
    <row r="1216" spans="1:2">
      <c r="A1216" s="280" t="s">
        <v>1432</v>
      </c>
      <c r="B1216" s="65">
        <v>5972</v>
      </c>
    </row>
    <row r="1217" spans="1:2">
      <c r="A1217" s="280" t="s">
        <v>1329</v>
      </c>
      <c r="B1217" s="65">
        <v>112548</v>
      </c>
    </row>
    <row r="1218" spans="1:2">
      <c r="A1218" s="280" t="s">
        <v>1328</v>
      </c>
      <c r="B1218" s="65">
        <v>115039</v>
      </c>
    </row>
    <row r="1219" spans="1:2">
      <c r="A1219" s="280" t="s">
        <v>1327</v>
      </c>
      <c r="B1219" s="66" t="s">
        <v>6781</v>
      </c>
    </row>
    <row r="1220" spans="1:2">
      <c r="A1220" s="280" t="s">
        <v>1326</v>
      </c>
      <c r="B1220" s="65">
        <v>31650</v>
      </c>
    </row>
    <row r="1221" spans="1:2">
      <c r="A1221" s="280" t="s">
        <v>1325</v>
      </c>
      <c r="B1221" s="65">
        <v>9314</v>
      </c>
    </row>
    <row r="1222" spans="1:2">
      <c r="A1222" s="280" t="s">
        <v>1538</v>
      </c>
      <c r="B1222" s="65">
        <v>115041</v>
      </c>
    </row>
    <row r="1223" spans="1:2">
      <c r="A1223" s="280" t="s">
        <v>1537</v>
      </c>
      <c r="B1223" s="65">
        <v>159900</v>
      </c>
    </row>
    <row r="1224" spans="1:2">
      <c r="A1224" s="280" t="s">
        <v>1536</v>
      </c>
      <c r="B1224" s="65">
        <v>178118</v>
      </c>
    </row>
    <row r="1225" spans="1:2">
      <c r="A1225" s="280" t="s">
        <v>1535</v>
      </c>
      <c r="B1225" s="65">
        <v>62450</v>
      </c>
    </row>
    <row r="1226" spans="1:2">
      <c r="A1226" s="280" t="s">
        <v>1534</v>
      </c>
      <c r="B1226" s="65">
        <v>370</v>
      </c>
    </row>
    <row r="1227" spans="1:2">
      <c r="A1227" s="280" t="s">
        <v>1533</v>
      </c>
      <c r="B1227" s="66" t="s">
        <v>6781</v>
      </c>
    </row>
    <row r="1228" spans="1:2">
      <c r="A1228" s="280" t="s">
        <v>1431</v>
      </c>
      <c r="B1228" s="65">
        <v>25855</v>
      </c>
    </row>
    <row r="1229" spans="1:2">
      <c r="A1229" s="280" t="s">
        <v>1430</v>
      </c>
      <c r="B1229" s="65">
        <v>473</v>
      </c>
    </row>
    <row r="1230" spans="1:2">
      <c r="A1230" s="280" t="s">
        <v>1429</v>
      </c>
      <c r="B1230" s="65">
        <v>106</v>
      </c>
    </row>
    <row r="1231" spans="1:2">
      <c r="A1231" s="280" t="s">
        <v>1428</v>
      </c>
      <c r="B1231" s="65">
        <v>63778</v>
      </c>
    </row>
    <row r="1232" spans="1:2">
      <c r="A1232" s="280" t="s">
        <v>1427</v>
      </c>
      <c r="B1232" s="66" t="s">
        <v>6781</v>
      </c>
    </row>
    <row r="1233" spans="1:2">
      <c r="A1233" s="280" t="s">
        <v>1426</v>
      </c>
      <c r="B1233" s="65">
        <v>124938</v>
      </c>
    </row>
    <row r="1234" spans="1:2">
      <c r="A1234" s="280" t="s">
        <v>1324</v>
      </c>
      <c r="B1234" s="65">
        <v>133989</v>
      </c>
    </row>
    <row r="1235" spans="1:2">
      <c r="A1235" s="280" t="s">
        <v>1323</v>
      </c>
      <c r="B1235" s="65">
        <v>116850</v>
      </c>
    </row>
    <row r="1236" spans="1:2">
      <c r="A1236" s="280" t="s">
        <v>1321</v>
      </c>
      <c r="B1236" s="66" t="s">
        <v>6781</v>
      </c>
    </row>
    <row r="1237" spans="1:2">
      <c r="A1237" s="280" t="s">
        <v>1320</v>
      </c>
      <c r="B1237" s="66" t="s">
        <v>6781</v>
      </c>
    </row>
    <row r="1238" spans="1:2">
      <c r="A1238" s="280" t="s">
        <v>1319</v>
      </c>
      <c r="B1238" s="66" t="s">
        <v>6781</v>
      </c>
    </row>
    <row r="1239" spans="1:2">
      <c r="A1239" s="280" t="s">
        <v>1683</v>
      </c>
      <c r="B1239" s="65">
        <v>100928</v>
      </c>
    </row>
    <row r="1240" spans="1:2">
      <c r="A1240" s="280" t="s">
        <v>1682</v>
      </c>
      <c r="B1240" s="65">
        <v>78887</v>
      </c>
    </row>
    <row r="1241" spans="1:2">
      <c r="A1241" s="280" t="s">
        <v>1681</v>
      </c>
      <c r="B1241" s="65">
        <v>109983</v>
      </c>
    </row>
    <row r="1242" spans="1:2">
      <c r="A1242" s="280" t="s">
        <v>1680</v>
      </c>
      <c r="B1242" s="65">
        <v>58264</v>
      </c>
    </row>
    <row r="1243" spans="1:2">
      <c r="A1243" s="280" t="s">
        <v>1679</v>
      </c>
      <c r="B1243" s="65">
        <v>76808</v>
      </c>
    </row>
    <row r="1244" spans="1:2">
      <c r="A1244" s="280" t="s">
        <v>1794</v>
      </c>
      <c r="B1244" s="65">
        <v>108318</v>
      </c>
    </row>
    <row r="1245" spans="1:2">
      <c r="A1245" s="280" t="s">
        <v>1793</v>
      </c>
      <c r="B1245" s="65">
        <v>11147</v>
      </c>
    </row>
    <row r="1246" spans="1:2">
      <c r="A1246" s="280" t="s">
        <v>1792</v>
      </c>
      <c r="B1246" s="65">
        <v>159181</v>
      </c>
    </row>
    <row r="1247" spans="1:2">
      <c r="A1247" s="280" t="s">
        <v>1791</v>
      </c>
      <c r="B1247" s="65">
        <v>124756</v>
      </c>
    </row>
    <row r="1248" spans="1:2">
      <c r="A1248" s="280" t="s">
        <v>1790</v>
      </c>
      <c r="B1248" s="65">
        <v>10227</v>
      </c>
    </row>
    <row r="1249" spans="1:2">
      <c r="A1249" s="280" t="s">
        <v>1789</v>
      </c>
      <c r="B1249" s="65">
        <v>94916</v>
      </c>
    </row>
    <row r="1250" spans="1:2">
      <c r="A1250" s="280" t="s">
        <v>1905</v>
      </c>
      <c r="B1250" s="66" t="s">
        <v>6781</v>
      </c>
    </row>
    <row r="1251" spans="1:2">
      <c r="A1251" s="280" t="s">
        <v>1904</v>
      </c>
      <c r="B1251" s="65">
        <v>8501</v>
      </c>
    </row>
    <row r="1252" spans="1:2">
      <c r="A1252" s="280" t="s">
        <v>1903</v>
      </c>
      <c r="B1252" s="65">
        <v>137725</v>
      </c>
    </row>
    <row r="1253" spans="1:2">
      <c r="A1253" s="280" t="s">
        <v>1902</v>
      </c>
      <c r="B1253" s="65">
        <v>141166</v>
      </c>
    </row>
    <row r="1254" spans="1:2">
      <c r="A1254" s="280" t="s">
        <v>1901</v>
      </c>
      <c r="B1254" s="65">
        <v>765</v>
      </c>
    </row>
    <row r="1255" spans="1:2">
      <c r="A1255" s="280" t="s">
        <v>1900</v>
      </c>
      <c r="B1255" s="65">
        <v>12595</v>
      </c>
    </row>
    <row r="1256" spans="1:2">
      <c r="A1256" s="280" t="s">
        <v>1676</v>
      </c>
      <c r="B1256" s="65">
        <v>128656</v>
      </c>
    </row>
    <row r="1257" spans="1:2">
      <c r="A1257" s="280" t="s">
        <v>1675</v>
      </c>
      <c r="B1257" s="65">
        <v>18018</v>
      </c>
    </row>
    <row r="1258" spans="1:2">
      <c r="A1258" s="280" t="s">
        <v>1674</v>
      </c>
      <c r="B1258" s="65">
        <v>8447</v>
      </c>
    </row>
    <row r="1259" spans="1:2">
      <c r="A1259" s="280" t="s">
        <v>1673</v>
      </c>
      <c r="B1259" s="65">
        <v>112714</v>
      </c>
    </row>
    <row r="1260" spans="1:2">
      <c r="A1260" s="280" t="s">
        <v>1672</v>
      </c>
      <c r="B1260" s="65">
        <v>14204</v>
      </c>
    </row>
    <row r="1261" spans="1:2">
      <c r="A1261" s="280" t="s">
        <v>1788</v>
      </c>
      <c r="B1261" s="65">
        <v>173404</v>
      </c>
    </row>
    <row r="1262" spans="1:2">
      <c r="A1262" s="280" t="s">
        <v>1787</v>
      </c>
      <c r="B1262" s="65">
        <v>137402</v>
      </c>
    </row>
    <row r="1263" spans="1:2">
      <c r="A1263" s="280" t="s">
        <v>1786</v>
      </c>
      <c r="B1263" s="65">
        <v>138525</v>
      </c>
    </row>
    <row r="1264" spans="1:2">
      <c r="A1264" s="280" t="s">
        <v>1785</v>
      </c>
      <c r="B1264" s="65">
        <v>109264</v>
      </c>
    </row>
    <row r="1265" spans="1:2">
      <c r="A1265" s="280" t="s">
        <v>1784</v>
      </c>
      <c r="B1265" s="65">
        <v>134739</v>
      </c>
    </row>
    <row r="1266" spans="1:2">
      <c r="A1266" s="280" t="s">
        <v>1783</v>
      </c>
      <c r="B1266" s="65">
        <v>70439</v>
      </c>
    </row>
    <row r="1267" spans="1:2">
      <c r="A1267" s="280" t="s">
        <v>1899</v>
      </c>
      <c r="B1267" s="66" t="s">
        <v>6781</v>
      </c>
    </row>
    <row r="1268" spans="1:2">
      <c r="A1268" s="280" t="s">
        <v>1898</v>
      </c>
      <c r="B1268" s="65">
        <v>90499</v>
      </c>
    </row>
    <row r="1269" spans="1:2">
      <c r="A1269" s="280" t="s">
        <v>1897</v>
      </c>
      <c r="B1269" s="65">
        <v>8831</v>
      </c>
    </row>
    <row r="1270" spans="1:2">
      <c r="A1270" s="280" t="s">
        <v>1896</v>
      </c>
      <c r="B1270" s="65">
        <v>32015</v>
      </c>
    </row>
    <row r="1271" spans="1:2">
      <c r="A1271" s="280" t="s">
        <v>1895</v>
      </c>
      <c r="B1271" s="65">
        <v>1012</v>
      </c>
    </row>
    <row r="1272" spans="1:2">
      <c r="A1272" s="280" t="s">
        <v>1894</v>
      </c>
      <c r="B1272" s="65">
        <v>39604</v>
      </c>
    </row>
    <row r="1273" spans="1:2">
      <c r="A1273" s="280" t="s">
        <v>1671</v>
      </c>
      <c r="B1273" s="65">
        <v>16975</v>
      </c>
    </row>
    <row r="1274" spans="1:2">
      <c r="A1274" s="280" t="s">
        <v>1670</v>
      </c>
      <c r="B1274" s="66" t="s">
        <v>6781</v>
      </c>
    </row>
    <row r="1275" spans="1:2">
      <c r="A1275" s="280" t="s">
        <v>1669</v>
      </c>
      <c r="B1275" s="65">
        <v>127136</v>
      </c>
    </row>
    <row r="1276" spans="1:2">
      <c r="A1276" s="280" t="s">
        <v>1668</v>
      </c>
      <c r="B1276" s="65">
        <v>82460</v>
      </c>
    </row>
    <row r="1277" spans="1:2">
      <c r="A1277" s="280" t="s">
        <v>1667</v>
      </c>
      <c r="B1277" s="65">
        <v>157427</v>
      </c>
    </row>
    <row r="1278" spans="1:2">
      <c r="A1278" s="280" t="s">
        <v>1666</v>
      </c>
      <c r="B1278" s="66" t="s">
        <v>6781</v>
      </c>
    </row>
    <row r="1279" spans="1:2">
      <c r="A1279" s="280" t="s">
        <v>1782</v>
      </c>
      <c r="B1279" s="66" t="s">
        <v>6781</v>
      </c>
    </row>
    <row r="1280" spans="1:2">
      <c r="A1280" s="280" t="s">
        <v>1781</v>
      </c>
      <c r="B1280" s="66" t="s">
        <v>6781</v>
      </c>
    </row>
    <row r="1281" spans="1:2">
      <c r="A1281" s="280" t="s">
        <v>1780</v>
      </c>
      <c r="B1281" s="66" t="s">
        <v>6781</v>
      </c>
    </row>
    <row r="1282" spans="1:2">
      <c r="A1282" s="280" t="s">
        <v>1779</v>
      </c>
      <c r="B1282" s="65">
        <v>118496</v>
      </c>
    </row>
    <row r="1283" spans="1:2">
      <c r="A1283" s="280" t="s">
        <v>1778</v>
      </c>
      <c r="B1283" s="65">
        <v>59114</v>
      </c>
    </row>
    <row r="1284" spans="1:2">
      <c r="A1284" s="280" t="s">
        <v>1777</v>
      </c>
      <c r="B1284" s="65">
        <v>1440</v>
      </c>
    </row>
    <row r="1285" spans="1:2">
      <c r="A1285" s="280" t="s">
        <v>1893</v>
      </c>
      <c r="B1285" s="65">
        <v>143801</v>
      </c>
    </row>
    <row r="1286" spans="1:2">
      <c r="A1286" s="280" t="s">
        <v>1892</v>
      </c>
      <c r="B1286" s="65">
        <v>9993</v>
      </c>
    </row>
    <row r="1287" spans="1:2">
      <c r="A1287" s="280" t="s">
        <v>1891</v>
      </c>
      <c r="B1287" s="65">
        <v>111446</v>
      </c>
    </row>
    <row r="1288" spans="1:2">
      <c r="A1288" s="280" t="s">
        <v>1890</v>
      </c>
      <c r="B1288" s="66" t="s">
        <v>6781</v>
      </c>
    </row>
    <row r="1289" spans="1:2">
      <c r="A1289" s="280" t="s">
        <v>1889</v>
      </c>
      <c r="B1289" s="66" t="s">
        <v>6781</v>
      </c>
    </row>
    <row r="1290" spans="1:2">
      <c r="A1290" s="280" t="s">
        <v>1888</v>
      </c>
      <c r="B1290" s="66" t="s">
        <v>6781</v>
      </c>
    </row>
    <row r="1291" spans="1:2">
      <c r="A1291" s="280" t="s">
        <v>1665</v>
      </c>
      <c r="B1291" s="65">
        <v>139049</v>
      </c>
    </row>
    <row r="1292" spans="1:2">
      <c r="A1292" s="280" t="s">
        <v>1664</v>
      </c>
      <c r="B1292" s="65">
        <v>31251</v>
      </c>
    </row>
    <row r="1293" spans="1:2">
      <c r="A1293" s="280" t="s">
        <v>1663</v>
      </c>
      <c r="B1293" s="65">
        <v>116018</v>
      </c>
    </row>
    <row r="1294" spans="1:2">
      <c r="A1294" s="280" t="s">
        <v>1662</v>
      </c>
      <c r="B1294" s="65">
        <v>104533</v>
      </c>
    </row>
    <row r="1295" spans="1:2">
      <c r="A1295" s="280" t="s">
        <v>1661</v>
      </c>
      <c r="B1295" s="66" t="s">
        <v>6781</v>
      </c>
    </row>
    <row r="1296" spans="1:2">
      <c r="A1296" s="280" t="s">
        <v>1660</v>
      </c>
      <c r="B1296" s="65">
        <v>137612</v>
      </c>
    </row>
    <row r="1297" spans="1:2">
      <c r="A1297" s="280" t="s">
        <v>1776</v>
      </c>
      <c r="B1297" s="65">
        <v>100120</v>
      </c>
    </row>
    <row r="1298" spans="1:2">
      <c r="A1298" s="280" t="s">
        <v>1775</v>
      </c>
      <c r="B1298" s="66" t="s">
        <v>6781</v>
      </c>
    </row>
    <row r="1299" spans="1:2">
      <c r="A1299" s="280" t="s">
        <v>1774</v>
      </c>
      <c r="B1299" s="65">
        <v>115659</v>
      </c>
    </row>
    <row r="1300" spans="1:2">
      <c r="A1300" s="280" t="s">
        <v>1773</v>
      </c>
      <c r="B1300" s="65">
        <v>159028</v>
      </c>
    </row>
    <row r="1301" spans="1:2">
      <c r="A1301" s="280" t="s">
        <v>1772</v>
      </c>
      <c r="B1301" s="66" t="s">
        <v>6781</v>
      </c>
    </row>
    <row r="1302" spans="1:2">
      <c r="A1302" s="280" t="s">
        <v>1771</v>
      </c>
      <c r="B1302" s="66" t="s">
        <v>6781</v>
      </c>
    </row>
    <row r="1303" spans="1:2">
      <c r="A1303" s="280" t="s">
        <v>1887</v>
      </c>
      <c r="B1303" s="66" t="s">
        <v>6781</v>
      </c>
    </row>
    <row r="1304" spans="1:2">
      <c r="A1304" s="280" t="s">
        <v>1886</v>
      </c>
      <c r="B1304" s="66" t="s">
        <v>6781</v>
      </c>
    </row>
    <row r="1305" spans="1:2">
      <c r="A1305" s="280" t="s">
        <v>1885</v>
      </c>
      <c r="B1305" s="66" t="s">
        <v>6781</v>
      </c>
    </row>
    <row r="1306" spans="1:2">
      <c r="A1306" s="280" t="s">
        <v>1884</v>
      </c>
      <c r="B1306" s="65">
        <v>101422</v>
      </c>
    </row>
    <row r="1307" spans="1:2">
      <c r="A1307" s="280" t="s">
        <v>1883</v>
      </c>
      <c r="B1307" s="65">
        <v>134060</v>
      </c>
    </row>
    <row r="1308" spans="1:2">
      <c r="A1308" s="280" t="s">
        <v>1882</v>
      </c>
      <c r="B1308" s="65">
        <v>114262</v>
      </c>
    </row>
    <row r="1309" spans="1:2">
      <c r="A1309" s="280" t="s">
        <v>1659</v>
      </c>
      <c r="B1309" s="65">
        <v>156912</v>
      </c>
    </row>
    <row r="1310" spans="1:2">
      <c r="A1310" s="280" t="s">
        <v>1658</v>
      </c>
      <c r="B1310" s="65">
        <v>91365</v>
      </c>
    </row>
    <row r="1311" spans="1:2">
      <c r="A1311" s="280" t="s">
        <v>1657</v>
      </c>
      <c r="B1311" s="65">
        <v>134062</v>
      </c>
    </row>
    <row r="1312" spans="1:2">
      <c r="A1312" s="280" t="s">
        <v>1656</v>
      </c>
      <c r="B1312" s="66" t="s">
        <v>6781</v>
      </c>
    </row>
    <row r="1313" spans="1:2">
      <c r="A1313" s="280" t="s">
        <v>1655</v>
      </c>
      <c r="B1313" s="66" t="s">
        <v>6781</v>
      </c>
    </row>
    <row r="1314" spans="1:2">
      <c r="A1314" s="280" t="s">
        <v>1654</v>
      </c>
      <c r="B1314" s="65">
        <v>17406</v>
      </c>
    </row>
    <row r="1315" spans="1:2">
      <c r="A1315" s="280" t="s">
        <v>1770</v>
      </c>
      <c r="B1315" s="65">
        <v>113302</v>
      </c>
    </row>
    <row r="1316" spans="1:2">
      <c r="A1316" s="280" t="s">
        <v>1769</v>
      </c>
      <c r="B1316" s="65">
        <v>35140</v>
      </c>
    </row>
    <row r="1317" spans="1:2">
      <c r="A1317" s="280" t="s">
        <v>1768</v>
      </c>
      <c r="B1317" s="65">
        <v>7231</v>
      </c>
    </row>
    <row r="1318" spans="1:2">
      <c r="A1318" s="280" t="s">
        <v>1767</v>
      </c>
      <c r="B1318" s="66" t="s">
        <v>6781</v>
      </c>
    </row>
    <row r="1319" spans="1:2">
      <c r="A1319" s="280" t="s">
        <v>1766</v>
      </c>
      <c r="B1319" s="66" t="s">
        <v>6781</v>
      </c>
    </row>
    <row r="1320" spans="1:2">
      <c r="A1320" s="280" t="s">
        <v>1765</v>
      </c>
      <c r="B1320" s="65">
        <v>321</v>
      </c>
    </row>
    <row r="1321" spans="1:2">
      <c r="A1321" s="280" t="s">
        <v>1880</v>
      </c>
      <c r="B1321" s="66" t="s">
        <v>6781</v>
      </c>
    </row>
    <row r="1322" spans="1:2">
      <c r="A1322" s="280" t="s">
        <v>1879</v>
      </c>
      <c r="B1322" s="65">
        <v>160067</v>
      </c>
    </row>
    <row r="1323" spans="1:2">
      <c r="A1323" s="280" t="s">
        <v>1878</v>
      </c>
      <c r="B1323" s="65">
        <v>91359</v>
      </c>
    </row>
    <row r="1324" spans="1:2">
      <c r="A1324" s="280" t="s">
        <v>1877</v>
      </c>
      <c r="B1324" s="65">
        <v>156809</v>
      </c>
    </row>
    <row r="1325" spans="1:2">
      <c r="A1325" s="280" t="s">
        <v>1876</v>
      </c>
      <c r="B1325" s="66" t="s">
        <v>6781</v>
      </c>
    </row>
    <row r="1326" spans="1:2">
      <c r="A1326" s="280" t="s">
        <v>1653</v>
      </c>
      <c r="B1326" s="65">
        <v>156331</v>
      </c>
    </row>
    <row r="1327" spans="1:2">
      <c r="A1327" s="280" t="s">
        <v>1652</v>
      </c>
      <c r="B1327" s="65">
        <v>112471</v>
      </c>
    </row>
    <row r="1328" spans="1:2">
      <c r="A1328" s="280" t="s">
        <v>1651</v>
      </c>
      <c r="B1328" s="66" t="s">
        <v>6781</v>
      </c>
    </row>
    <row r="1329" spans="1:2">
      <c r="A1329" s="280" t="s">
        <v>1650</v>
      </c>
      <c r="B1329" s="65">
        <v>63853</v>
      </c>
    </row>
    <row r="1330" spans="1:2">
      <c r="A1330" s="280" t="s">
        <v>1649</v>
      </c>
      <c r="B1330" s="65">
        <v>138364</v>
      </c>
    </row>
    <row r="1331" spans="1:2">
      <c r="A1331" s="280" t="s">
        <v>1648</v>
      </c>
      <c r="B1331" s="65">
        <v>92938</v>
      </c>
    </row>
    <row r="1332" spans="1:2">
      <c r="A1332" s="280" t="s">
        <v>1764</v>
      </c>
      <c r="B1332" s="65">
        <v>13541</v>
      </c>
    </row>
    <row r="1333" spans="1:2">
      <c r="A1333" s="280" t="s">
        <v>1763</v>
      </c>
      <c r="B1333" s="65">
        <v>1725</v>
      </c>
    </row>
    <row r="1334" spans="1:2">
      <c r="A1334" s="280" t="s">
        <v>1762</v>
      </c>
      <c r="B1334" s="65">
        <v>66739</v>
      </c>
    </row>
    <row r="1335" spans="1:2">
      <c r="A1335" s="280" t="s">
        <v>1761</v>
      </c>
      <c r="B1335" s="66" t="s">
        <v>6781</v>
      </c>
    </row>
    <row r="1336" spans="1:2">
      <c r="A1336" s="280" t="s">
        <v>1760</v>
      </c>
      <c r="B1336" s="65">
        <v>1962</v>
      </c>
    </row>
    <row r="1337" spans="1:2">
      <c r="A1337" s="280" t="s">
        <v>1759</v>
      </c>
      <c r="B1337" s="66" t="s">
        <v>6781</v>
      </c>
    </row>
    <row r="1338" spans="1:2">
      <c r="A1338" s="280" t="s">
        <v>1875</v>
      </c>
      <c r="B1338" s="65">
        <v>114380</v>
      </c>
    </row>
    <row r="1339" spans="1:2">
      <c r="A1339" s="280" t="s">
        <v>1874</v>
      </c>
      <c r="B1339" s="65">
        <v>786</v>
      </c>
    </row>
    <row r="1340" spans="1:2">
      <c r="A1340" s="280" t="s">
        <v>1873</v>
      </c>
      <c r="B1340" s="65">
        <v>336</v>
      </c>
    </row>
    <row r="1341" spans="1:2">
      <c r="A1341" s="280" t="s">
        <v>1872</v>
      </c>
      <c r="B1341" s="66" t="s">
        <v>6781</v>
      </c>
    </row>
    <row r="1342" spans="1:2">
      <c r="A1342" s="280" t="s">
        <v>1871</v>
      </c>
      <c r="B1342" s="65">
        <v>177697</v>
      </c>
    </row>
    <row r="1343" spans="1:2">
      <c r="A1343" s="280" t="s">
        <v>1396</v>
      </c>
      <c r="B1343" s="65">
        <v>141032</v>
      </c>
    </row>
    <row r="1344" spans="1:2">
      <c r="A1344" s="280" t="s">
        <v>1408</v>
      </c>
      <c r="B1344" s="65">
        <v>141054</v>
      </c>
    </row>
    <row r="1345" spans="1:2">
      <c r="A1345" s="280" t="s">
        <v>1420</v>
      </c>
      <c r="B1345" s="65">
        <v>91818</v>
      </c>
    </row>
    <row r="1346" spans="1:2">
      <c r="A1346" s="280" t="s">
        <v>1503</v>
      </c>
      <c r="B1346" s="65">
        <v>3822</v>
      </c>
    </row>
    <row r="1347" spans="1:2">
      <c r="A1347" s="280" t="s">
        <v>1515</v>
      </c>
      <c r="B1347" s="65">
        <v>140925</v>
      </c>
    </row>
    <row r="1348" spans="1:2">
      <c r="A1348" s="280" t="s">
        <v>1527</v>
      </c>
      <c r="B1348" s="65">
        <v>141079</v>
      </c>
    </row>
    <row r="1349" spans="1:2">
      <c r="A1349" s="280" t="s">
        <v>1609</v>
      </c>
      <c r="B1349" s="65">
        <v>160119</v>
      </c>
    </row>
    <row r="1350" spans="1:2">
      <c r="A1350" s="280" t="s">
        <v>1619</v>
      </c>
      <c r="B1350" s="65">
        <v>14968</v>
      </c>
    </row>
    <row r="1351" spans="1:2">
      <c r="A1351" s="280" t="s">
        <v>1627</v>
      </c>
      <c r="B1351" s="65">
        <v>5383</v>
      </c>
    </row>
    <row r="1352" spans="1:2">
      <c r="A1352" s="280" t="s">
        <v>1397</v>
      </c>
      <c r="B1352" s="65">
        <v>127216</v>
      </c>
    </row>
    <row r="1353" spans="1:2">
      <c r="A1353" s="280" t="s">
        <v>1409</v>
      </c>
      <c r="B1353" s="65">
        <v>86238</v>
      </c>
    </row>
    <row r="1354" spans="1:2">
      <c r="A1354" s="280" t="s">
        <v>1421</v>
      </c>
      <c r="B1354" s="65">
        <v>141056</v>
      </c>
    </row>
    <row r="1355" spans="1:2">
      <c r="A1355" s="280" t="s">
        <v>1504</v>
      </c>
      <c r="B1355" s="65">
        <v>140952</v>
      </c>
    </row>
    <row r="1356" spans="1:2">
      <c r="A1356" s="280" t="s">
        <v>1516</v>
      </c>
      <c r="B1356" s="65">
        <v>203739</v>
      </c>
    </row>
    <row r="1357" spans="1:2">
      <c r="A1357" s="280" t="s">
        <v>1528</v>
      </c>
      <c r="B1357" s="65">
        <v>141090</v>
      </c>
    </row>
    <row r="1358" spans="1:2">
      <c r="A1358" s="280" t="s">
        <v>1610</v>
      </c>
      <c r="B1358" s="65">
        <v>140999</v>
      </c>
    </row>
    <row r="1359" spans="1:2">
      <c r="A1359" s="280" t="s">
        <v>1620</v>
      </c>
      <c r="B1359" s="65">
        <v>141065</v>
      </c>
    </row>
    <row r="1360" spans="1:2">
      <c r="A1360" s="280" t="s">
        <v>1628</v>
      </c>
      <c r="B1360" s="65">
        <v>141030</v>
      </c>
    </row>
    <row r="1361" spans="1:2">
      <c r="A1361" s="280" t="s">
        <v>1398</v>
      </c>
      <c r="B1361" s="65">
        <v>316</v>
      </c>
    </row>
    <row r="1362" spans="1:2">
      <c r="A1362" s="280" t="s">
        <v>1410</v>
      </c>
      <c r="B1362" s="65">
        <v>141033</v>
      </c>
    </row>
    <row r="1363" spans="1:2">
      <c r="A1363" s="280" t="s">
        <v>1422</v>
      </c>
      <c r="B1363" s="65">
        <v>140910</v>
      </c>
    </row>
    <row r="1364" spans="1:2">
      <c r="A1364" s="280" t="s">
        <v>1505</v>
      </c>
      <c r="B1364" s="65">
        <v>141009</v>
      </c>
    </row>
    <row r="1365" spans="1:2">
      <c r="A1365" s="280" t="s">
        <v>1517</v>
      </c>
      <c r="B1365" s="65">
        <v>141095</v>
      </c>
    </row>
    <row r="1366" spans="1:2">
      <c r="A1366" s="280" t="s">
        <v>1529</v>
      </c>
      <c r="B1366" s="65">
        <v>141089</v>
      </c>
    </row>
    <row r="1367" spans="1:2">
      <c r="A1367" s="280" t="s">
        <v>1611</v>
      </c>
      <c r="B1367" s="65">
        <v>141008</v>
      </c>
    </row>
    <row r="1368" spans="1:2">
      <c r="A1368" s="280" t="s">
        <v>1399</v>
      </c>
      <c r="B1368" s="65">
        <v>140917</v>
      </c>
    </row>
    <row r="1369" spans="1:2">
      <c r="A1369" s="280" t="s">
        <v>1411</v>
      </c>
      <c r="B1369" s="65">
        <v>141045</v>
      </c>
    </row>
    <row r="1370" spans="1:2">
      <c r="A1370" s="280" t="s">
        <v>1423</v>
      </c>
      <c r="B1370" s="65">
        <v>20766</v>
      </c>
    </row>
    <row r="1371" spans="1:2">
      <c r="A1371" s="280" t="s">
        <v>1506</v>
      </c>
      <c r="B1371" s="65">
        <v>141119</v>
      </c>
    </row>
    <row r="1372" spans="1:2">
      <c r="A1372" s="280" t="s">
        <v>1518</v>
      </c>
      <c r="B1372" s="65">
        <v>141022</v>
      </c>
    </row>
    <row r="1373" spans="1:2">
      <c r="A1373" s="280" t="s">
        <v>1530</v>
      </c>
      <c r="B1373" s="65">
        <v>7288</v>
      </c>
    </row>
    <row r="1374" spans="1:2">
      <c r="A1374" s="280" t="s">
        <v>1612</v>
      </c>
      <c r="B1374" s="65">
        <v>141012</v>
      </c>
    </row>
    <row r="1375" spans="1:2">
      <c r="A1375" s="280" t="s">
        <v>1400</v>
      </c>
      <c r="B1375" s="65">
        <v>141034</v>
      </c>
    </row>
    <row r="1376" spans="1:2">
      <c r="A1376" s="280" t="s">
        <v>1412</v>
      </c>
      <c r="B1376" s="65">
        <v>15090</v>
      </c>
    </row>
    <row r="1377" spans="1:2">
      <c r="A1377" s="280" t="s">
        <v>1424</v>
      </c>
      <c r="B1377" s="65">
        <v>140926</v>
      </c>
    </row>
    <row r="1378" spans="1:2">
      <c r="A1378" s="280" t="s">
        <v>1507</v>
      </c>
      <c r="B1378" s="65">
        <v>140929</v>
      </c>
    </row>
    <row r="1379" spans="1:2">
      <c r="A1379" s="280" t="s">
        <v>1519</v>
      </c>
      <c r="B1379" s="65">
        <v>141101</v>
      </c>
    </row>
    <row r="1380" spans="1:2">
      <c r="A1380" s="280" t="s">
        <v>1531</v>
      </c>
      <c r="B1380" s="65">
        <v>14297</v>
      </c>
    </row>
    <row r="1381" spans="1:2">
      <c r="A1381" s="280" t="s">
        <v>1613</v>
      </c>
      <c r="B1381" s="65">
        <v>177270</v>
      </c>
    </row>
    <row r="1382" spans="1:2">
      <c r="A1382" s="280" t="s">
        <v>1621</v>
      </c>
      <c r="B1382" s="65">
        <v>140994</v>
      </c>
    </row>
    <row r="1383" spans="1:2">
      <c r="A1383" s="280" t="s">
        <v>1629</v>
      </c>
      <c r="B1383" s="66" t="s">
        <v>6781</v>
      </c>
    </row>
    <row r="1384" spans="1:2">
      <c r="A1384" s="280" t="s">
        <v>1401</v>
      </c>
      <c r="B1384" s="65">
        <v>140974</v>
      </c>
    </row>
    <row r="1385" spans="1:2">
      <c r="A1385" s="280" t="s">
        <v>1413</v>
      </c>
      <c r="B1385" s="65">
        <v>141005</v>
      </c>
    </row>
    <row r="1386" spans="1:2">
      <c r="A1386" s="280" t="s">
        <v>1425</v>
      </c>
      <c r="B1386" s="65">
        <v>141046</v>
      </c>
    </row>
    <row r="1387" spans="1:2">
      <c r="A1387" s="280" t="s">
        <v>1508</v>
      </c>
      <c r="B1387" s="65">
        <v>141091</v>
      </c>
    </row>
    <row r="1388" spans="1:2">
      <c r="A1388" s="280" t="s">
        <v>1520</v>
      </c>
      <c r="B1388" s="65">
        <v>127215</v>
      </c>
    </row>
    <row r="1389" spans="1:2">
      <c r="A1389" s="280" t="s">
        <v>1532</v>
      </c>
      <c r="B1389" s="65">
        <v>62127</v>
      </c>
    </row>
    <row r="1390" spans="1:2">
      <c r="A1390" s="280" t="s">
        <v>1614</v>
      </c>
      <c r="B1390" s="65">
        <v>140913</v>
      </c>
    </row>
    <row r="1391" spans="1:2">
      <c r="A1391" s="280" t="s">
        <v>1622</v>
      </c>
      <c r="B1391" s="65">
        <v>140912</v>
      </c>
    </row>
    <row r="1392" spans="1:2">
      <c r="A1392" s="280" t="s">
        <v>1630</v>
      </c>
      <c r="B1392" s="65">
        <v>1002</v>
      </c>
    </row>
    <row r="1393" spans="1:2">
      <c r="A1393" s="280" t="s">
        <v>1608</v>
      </c>
      <c r="B1393" s="65">
        <v>124931</v>
      </c>
    </row>
    <row r="1394" spans="1:2">
      <c r="A1394" s="280" t="s">
        <v>1607</v>
      </c>
      <c r="B1394" s="65">
        <v>93438</v>
      </c>
    </row>
    <row r="1395" spans="1:2">
      <c r="A1395" s="280" t="s">
        <v>1606</v>
      </c>
      <c r="B1395" s="65">
        <v>128189</v>
      </c>
    </row>
    <row r="1396" spans="1:2">
      <c r="A1396" s="280" t="s">
        <v>1605</v>
      </c>
      <c r="B1396" s="66" t="s">
        <v>6781</v>
      </c>
    </row>
    <row r="1397" spans="1:2">
      <c r="A1397" s="280" t="s">
        <v>1604</v>
      </c>
      <c r="B1397" s="65">
        <v>114045</v>
      </c>
    </row>
    <row r="1398" spans="1:2">
      <c r="A1398" s="280" t="s">
        <v>1603</v>
      </c>
      <c r="B1398" s="65">
        <v>3156</v>
      </c>
    </row>
    <row r="1399" spans="1:2">
      <c r="A1399" s="280" t="s">
        <v>1502</v>
      </c>
      <c r="B1399" s="65">
        <v>104816</v>
      </c>
    </row>
    <row r="1400" spans="1:2">
      <c r="A1400" s="280" t="s">
        <v>1501</v>
      </c>
      <c r="B1400" s="65">
        <v>125688</v>
      </c>
    </row>
    <row r="1401" spans="1:2">
      <c r="A1401" s="280" t="s">
        <v>1500</v>
      </c>
      <c r="B1401" s="66" t="s">
        <v>6781</v>
      </c>
    </row>
    <row r="1402" spans="1:2">
      <c r="A1402" s="280" t="s">
        <v>1499</v>
      </c>
      <c r="B1402" s="65">
        <v>627</v>
      </c>
    </row>
    <row r="1403" spans="1:2">
      <c r="A1403" s="280" t="s">
        <v>1395</v>
      </c>
      <c r="B1403" s="65">
        <v>155881</v>
      </c>
    </row>
    <row r="1404" spans="1:2">
      <c r="A1404" s="280" t="s">
        <v>1394</v>
      </c>
      <c r="B1404" s="65">
        <v>100832</v>
      </c>
    </row>
    <row r="1405" spans="1:2">
      <c r="A1405" s="280" t="s">
        <v>1393</v>
      </c>
      <c r="B1405" s="66" t="s">
        <v>6781</v>
      </c>
    </row>
    <row r="1406" spans="1:2">
      <c r="A1406" s="280" t="s">
        <v>1392</v>
      </c>
      <c r="B1406" s="65">
        <v>155945</v>
      </c>
    </row>
    <row r="1407" spans="1:2">
      <c r="A1407" s="280" t="s">
        <v>1391</v>
      </c>
      <c r="B1407" s="65">
        <v>127137</v>
      </c>
    </row>
    <row r="1408" spans="1:2">
      <c r="A1408" s="280" t="s">
        <v>1390</v>
      </c>
      <c r="B1408" s="66" t="s">
        <v>6781</v>
      </c>
    </row>
    <row r="1409" spans="1:2">
      <c r="A1409" s="280" t="s">
        <v>1602</v>
      </c>
      <c r="B1409" s="65">
        <v>132829</v>
      </c>
    </row>
    <row r="1410" spans="1:2">
      <c r="A1410" s="280" t="s">
        <v>1601</v>
      </c>
      <c r="B1410" s="65">
        <v>108748</v>
      </c>
    </row>
    <row r="1411" spans="1:2">
      <c r="A1411" s="280" t="s">
        <v>1600</v>
      </c>
      <c r="B1411" s="65">
        <v>156246</v>
      </c>
    </row>
    <row r="1412" spans="1:2">
      <c r="A1412" s="280" t="s">
        <v>1599</v>
      </c>
      <c r="B1412" s="65">
        <v>134386</v>
      </c>
    </row>
    <row r="1413" spans="1:2">
      <c r="A1413" s="280" t="s">
        <v>1598</v>
      </c>
      <c r="B1413" s="65">
        <v>37804</v>
      </c>
    </row>
    <row r="1414" spans="1:2">
      <c r="A1414" s="280" t="s">
        <v>1597</v>
      </c>
      <c r="B1414" s="66" t="s">
        <v>6781</v>
      </c>
    </row>
    <row r="1415" spans="1:2">
      <c r="A1415" s="280" t="s">
        <v>1496</v>
      </c>
      <c r="B1415" s="65">
        <v>140229</v>
      </c>
    </row>
    <row r="1416" spans="1:2">
      <c r="A1416" s="280" t="s">
        <v>1494</v>
      </c>
      <c r="B1416" s="66" t="s">
        <v>6781</v>
      </c>
    </row>
    <row r="1417" spans="1:2">
      <c r="A1417" s="280" t="s">
        <v>1493</v>
      </c>
      <c r="B1417" s="65">
        <v>1479</v>
      </c>
    </row>
    <row r="1418" spans="1:2">
      <c r="A1418" s="280" t="s">
        <v>1492</v>
      </c>
      <c r="B1418" s="65">
        <v>137969</v>
      </c>
    </row>
    <row r="1419" spans="1:2">
      <c r="A1419" s="280" t="s">
        <v>1491</v>
      </c>
      <c r="B1419" s="65">
        <v>137475</v>
      </c>
    </row>
    <row r="1420" spans="1:2">
      <c r="A1420" s="280" t="s">
        <v>1388</v>
      </c>
      <c r="B1420" s="65">
        <v>108604</v>
      </c>
    </row>
    <row r="1421" spans="1:2">
      <c r="A1421" s="280" t="s">
        <v>1387</v>
      </c>
      <c r="B1421" s="65">
        <v>129779</v>
      </c>
    </row>
    <row r="1422" spans="1:2">
      <c r="A1422" s="280" t="s">
        <v>1386</v>
      </c>
      <c r="B1422" s="65">
        <v>131930</v>
      </c>
    </row>
    <row r="1423" spans="1:2">
      <c r="A1423" s="280" t="s">
        <v>1385</v>
      </c>
      <c r="B1423" s="65">
        <v>132823</v>
      </c>
    </row>
    <row r="1424" spans="1:2">
      <c r="A1424" s="280" t="s">
        <v>1596</v>
      </c>
      <c r="B1424" s="65">
        <v>138934</v>
      </c>
    </row>
    <row r="1425" spans="1:2">
      <c r="A1425" s="280" t="s">
        <v>1595</v>
      </c>
      <c r="B1425" s="65">
        <v>126523</v>
      </c>
    </row>
    <row r="1426" spans="1:2">
      <c r="A1426" s="280" t="s">
        <v>1594</v>
      </c>
      <c r="B1426" s="65">
        <v>129778</v>
      </c>
    </row>
    <row r="1427" spans="1:2">
      <c r="A1427" s="280" t="s">
        <v>1593</v>
      </c>
      <c r="B1427" s="66" t="s">
        <v>6781</v>
      </c>
    </row>
    <row r="1428" spans="1:2">
      <c r="A1428" s="280" t="s">
        <v>1592</v>
      </c>
      <c r="B1428" s="65">
        <v>129780</v>
      </c>
    </row>
    <row r="1429" spans="1:2">
      <c r="A1429" s="280" t="s">
        <v>1591</v>
      </c>
      <c r="B1429" s="65">
        <v>130184</v>
      </c>
    </row>
    <row r="1430" spans="1:2">
      <c r="A1430" s="280" t="s">
        <v>1490</v>
      </c>
      <c r="B1430" s="65">
        <v>157031</v>
      </c>
    </row>
    <row r="1431" spans="1:2">
      <c r="A1431" s="280" t="s">
        <v>1489</v>
      </c>
      <c r="B1431" s="65">
        <v>140227</v>
      </c>
    </row>
    <row r="1432" spans="1:2">
      <c r="A1432" s="280" t="s">
        <v>1488</v>
      </c>
      <c r="B1432" s="65">
        <v>134289</v>
      </c>
    </row>
    <row r="1433" spans="1:2">
      <c r="A1433" s="280" t="s">
        <v>1487</v>
      </c>
      <c r="B1433" s="65">
        <v>39737</v>
      </c>
    </row>
    <row r="1434" spans="1:2">
      <c r="A1434" s="280" t="s">
        <v>1486</v>
      </c>
      <c r="B1434" s="66" t="s">
        <v>6781</v>
      </c>
    </row>
    <row r="1435" spans="1:2">
      <c r="A1435" s="280" t="s">
        <v>1485</v>
      </c>
      <c r="B1435" s="65">
        <v>138812</v>
      </c>
    </row>
    <row r="1436" spans="1:2">
      <c r="A1436" s="280" t="s">
        <v>1383</v>
      </c>
      <c r="B1436" s="65">
        <v>126214</v>
      </c>
    </row>
    <row r="1437" spans="1:2">
      <c r="A1437" s="280" t="s">
        <v>1382</v>
      </c>
      <c r="B1437" s="65">
        <v>1494</v>
      </c>
    </row>
    <row r="1438" spans="1:2">
      <c r="A1438" s="280" t="s">
        <v>1381</v>
      </c>
      <c r="B1438" s="65">
        <v>141171</v>
      </c>
    </row>
    <row r="1439" spans="1:2">
      <c r="A1439" s="280" t="s">
        <v>1380</v>
      </c>
      <c r="B1439" s="65">
        <v>155727</v>
      </c>
    </row>
    <row r="1440" spans="1:2">
      <c r="A1440" s="280" t="s">
        <v>1379</v>
      </c>
      <c r="B1440" s="65">
        <v>155724</v>
      </c>
    </row>
    <row r="1441" spans="1:2">
      <c r="A1441" s="280" t="s">
        <v>1378</v>
      </c>
      <c r="B1441" s="65">
        <v>7800</v>
      </c>
    </row>
    <row r="1442" spans="1:2">
      <c r="A1442" s="280" t="s">
        <v>1589</v>
      </c>
      <c r="B1442" s="65">
        <v>35372</v>
      </c>
    </row>
    <row r="1443" spans="1:2">
      <c r="A1443" s="280" t="s">
        <v>1588</v>
      </c>
      <c r="B1443" s="65">
        <v>35123</v>
      </c>
    </row>
    <row r="1444" spans="1:2">
      <c r="A1444" s="280" t="s">
        <v>1587</v>
      </c>
      <c r="B1444" s="65">
        <v>157068</v>
      </c>
    </row>
    <row r="1445" spans="1:2">
      <c r="A1445" s="280" t="s">
        <v>1586</v>
      </c>
      <c r="B1445" s="65">
        <v>58563</v>
      </c>
    </row>
    <row r="1446" spans="1:2">
      <c r="A1446" s="280" t="s">
        <v>1585</v>
      </c>
      <c r="B1446" s="66" t="s">
        <v>6781</v>
      </c>
    </row>
    <row r="1447" spans="1:2">
      <c r="A1447" s="280" t="s">
        <v>1484</v>
      </c>
      <c r="B1447" s="65">
        <v>116633</v>
      </c>
    </row>
    <row r="1448" spans="1:2">
      <c r="A1448" s="280" t="s">
        <v>1483</v>
      </c>
      <c r="B1448" s="66" t="s">
        <v>6781</v>
      </c>
    </row>
    <row r="1449" spans="1:2">
      <c r="A1449" s="280" t="s">
        <v>1482</v>
      </c>
      <c r="B1449" s="65">
        <v>77272</v>
      </c>
    </row>
    <row r="1450" spans="1:2">
      <c r="A1450" s="280" t="s">
        <v>1481</v>
      </c>
      <c r="B1450" s="65">
        <v>129777</v>
      </c>
    </row>
    <row r="1451" spans="1:2">
      <c r="A1451" s="280" t="s">
        <v>1480</v>
      </c>
      <c r="B1451" s="65">
        <v>93376</v>
      </c>
    </row>
    <row r="1452" spans="1:2">
      <c r="A1452" s="280" t="s">
        <v>1479</v>
      </c>
      <c r="B1452" s="66" t="s">
        <v>6781</v>
      </c>
    </row>
    <row r="1453" spans="1:2">
      <c r="A1453" s="280" t="s">
        <v>1377</v>
      </c>
      <c r="B1453" s="65">
        <v>17128</v>
      </c>
    </row>
    <row r="1454" spans="1:2">
      <c r="A1454" s="280" t="s">
        <v>1376</v>
      </c>
      <c r="B1454" s="65">
        <v>131791</v>
      </c>
    </row>
    <row r="1455" spans="1:2">
      <c r="A1455" s="280" t="s">
        <v>1375</v>
      </c>
      <c r="B1455" s="65">
        <v>67409</v>
      </c>
    </row>
    <row r="1456" spans="1:2">
      <c r="A1456" s="280" t="s">
        <v>1374</v>
      </c>
      <c r="B1456" s="66" t="s">
        <v>6781</v>
      </c>
    </row>
    <row r="1457" spans="1:2">
      <c r="A1457" s="280" t="s">
        <v>1373</v>
      </c>
      <c r="B1457" s="65">
        <v>67410</v>
      </c>
    </row>
    <row r="1458" spans="1:2">
      <c r="A1458" s="280" t="s">
        <v>1372</v>
      </c>
      <c r="B1458" s="65">
        <v>42860</v>
      </c>
    </row>
    <row r="1459" spans="1:2">
      <c r="A1459" s="280" t="s">
        <v>1584</v>
      </c>
      <c r="B1459" s="65">
        <v>138953</v>
      </c>
    </row>
    <row r="1460" spans="1:2">
      <c r="A1460" s="280" t="s">
        <v>1583</v>
      </c>
      <c r="B1460" s="65">
        <v>108436</v>
      </c>
    </row>
    <row r="1461" spans="1:2">
      <c r="A1461" s="280" t="s">
        <v>1582</v>
      </c>
      <c r="B1461" s="66" t="s">
        <v>6781</v>
      </c>
    </row>
    <row r="1462" spans="1:2">
      <c r="A1462" s="280" t="s">
        <v>1581</v>
      </c>
      <c r="B1462" s="65">
        <v>138810</v>
      </c>
    </row>
    <row r="1463" spans="1:2">
      <c r="A1463" s="280" t="s">
        <v>1580</v>
      </c>
      <c r="B1463" s="65">
        <v>105914</v>
      </c>
    </row>
    <row r="1464" spans="1:2">
      <c r="A1464" s="280" t="s">
        <v>1579</v>
      </c>
      <c r="B1464" s="65">
        <v>1112</v>
      </c>
    </row>
    <row r="1465" spans="1:2">
      <c r="A1465" s="280" t="s">
        <v>1478</v>
      </c>
      <c r="B1465" s="66" t="s">
        <v>6781</v>
      </c>
    </row>
    <row r="1466" spans="1:2">
      <c r="A1466" s="280" t="s">
        <v>1477</v>
      </c>
      <c r="B1466" s="65">
        <v>132828</v>
      </c>
    </row>
    <row r="1467" spans="1:2">
      <c r="A1467" s="280" t="s">
        <v>1476</v>
      </c>
      <c r="B1467" s="65">
        <v>118326</v>
      </c>
    </row>
    <row r="1468" spans="1:2">
      <c r="A1468" s="280" t="s">
        <v>1475</v>
      </c>
      <c r="B1468" s="65">
        <v>132825</v>
      </c>
    </row>
    <row r="1469" spans="1:2">
      <c r="A1469" s="280" t="s">
        <v>1474</v>
      </c>
      <c r="B1469" s="65">
        <v>100660</v>
      </c>
    </row>
    <row r="1470" spans="1:2">
      <c r="A1470" s="280" t="s">
        <v>1371</v>
      </c>
      <c r="B1470" s="65">
        <v>96718</v>
      </c>
    </row>
    <row r="1471" spans="1:2">
      <c r="A1471" s="280" t="s">
        <v>1369</v>
      </c>
      <c r="B1471" s="66" t="s">
        <v>6781</v>
      </c>
    </row>
    <row r="1472" spans="1:2">
      <c r="A1472" s="280" t="s">
        <v>1368</v>
      </c>
      <c r="B1472" s="66" t="s">
        <v>6781</v>
      </c>
    </row>
    <row r="1473" spans="1:2">
      <c r="A1473" s="280" t="s">
        <v>1367</v>
      </c>
      <c r="B1473" s="65">
        <v>5589</v>
      </c>
    </row>
    <row r="1474" spans="1:2">
      <c r="A1474" s="280" t="s">
        <v>1366</v>
      </c>
      <c r="B1474" s="66" t="s">
        <v>6781</v>
      </c>
    </row>
    <row r="1475" spans="1:2">
      <c r="A1475" s="280" t="s">
        <v>1626</v>
      </c>
      <c r="B1475" s="65">
        <v>141037</v>
      </c>
    </row>
    <row r="1476" spans="1:2">
      <c r="A1476" s="280" t="s">
        <v>1625</v>
      </c>
      <c r="B1476" s="65">
        <v>172025</v>
      </c>
    </row>
    <row r="1477" spans="1:2">
      <c r="A1477" s="280" t="s">
        <v>1624</v>
      </c>
      <c r="B1477" s="65">
        <v>107176</v>
      </c>
    </row>
    <row r="1478" spans="1:2">
      <c r="A1478" s="280" t="s">
        <v>1623</v>
      </c>
      <c r="B1478" s="65">
        <v>108840</v>
      </c>
    </row>
    <row r="1479" spans="1:2">
      <c r="A1479" s="280" t="s">
        <v>1618</v>
      </c>
      <c r="B1479" s="65">
        <v>132868</v>
      </c>
    </row>
    <row r="1480" spans="1:2">
      <c r="A1480" s="280" t="s">
        <v>1617</v>
      </c>
      <c r="B1480" s="65">
        <v>121221</v>
      </c>
    </row>
    <row r="1481" spans="1:2">
      <c r="A1481" s="280" t="s">
        <v>1616</v>
      </c>
      <c r="B1481" s="65">
        <v>12755</v>
      </c>
    </row>
    <row r="1482" spans="1:2">
      <c r="A1482" s="280" t="s">
        <v>1615</v>
      </c>
      <c r="B1482" s="65">
        <v>156193</v>
      </c>
    </row>
    <row r="1483" spans="1:2">
      <c r="A1483" s="280" t="s">
        <v>1578</v>
      </c>
      <c r="B1483" s="65">
        <v>20246</v>
      </c>
    </row>
    <row r="1484" spans="1:2">
      <c r="A1484" s="280" t="s">
        <v>1577</v>
      </c>
      <c r="B1484" s="65">
        <v>118908</v>
      </c>
    </row>
    <row r="1485" spans="1:2">
      <c r="A1485" s="280" t="s">
        <v>1576</v>
      </c>
      <c r="B1485" s="65">
        <v>123544</v>
      </c>
    </row>
    <row r="1486" spans="1:2">
      <c r="A1486" s="280" t="s">
        <v>1575</v>
      </c>
      <c r="B1486" s="65">
        <v>7295</v>
      </c>
    </row>
    <row r="1487" spans="1:2">
      <c r="A1487" s="280" t="s">
        <v>1574</v>
      </c>
      <c r="B1487" s="65">
        <v>348</v>
      </c>
    </row>
    <row r="1488" spans="1:2">
      <c r="A1488" s="280" t="s">
        <v>1526</v>
      </c>
      <c r="B1488" s="65">
        <v>133870</v>
      </c>
    </row>
    <row r="1489" spans="1:2">
      <c r="A1489" s="280" t="s">
        <v>1525</v>
      </c>
      <c r="B1489" s="65">
        <v>1589</v>
      </c>
    </row>
    <row r="1490" spans="1:2">
      <c r="A1490" s="280" t="s">
        <v>1524</v>
      </c>
      <c r="B1490" s="65">
        <v>177133</v>
      </c>
    </row>
    <row r="1491" spans="1:2">
      <c r="A1491" s="280" t="s">
        <v>1523</v>
      </c>
      <c r="B1491" s="65">
        <v>81885</v>
      </c>
    </row>
    <row r="1492" spans="1:2">
      <c r="A1492" s="280" t="s">
        <v>1522</v>
      </c>
      <c r="B1492" s="65">
        <v>133445</v>
      </c>
    </row>
    <row r="1493" spans="1:2">
      <c r="A1493" s="280" t="s">
        <v>1521</v>
      </c>
      <c r="B1493" s="65">
        <v>178281</v>
      </c>
    </row>
    <row r="1494" spans="1:2">
      <c r="A1494" s="280" t="s">
        <v>1514</v>
      </c>
      <c r="B1494" s="65">
        <v>139885</v>
      </c>
    </row>
    <row r="1495" spans="1:2">
      <c r="A1495" s="280" t="s">
        <v>1513</v>
      </c>
      <c r="B1495" s="65">
        <v>35269</v>
      </c>
    </row>
    <row r="1496" spans="1:2">
      <c r="A1496" s="280" t="s">
        <v>1512</v>
      </c>
      <c r="B1496" s="65">
        <v>140953</v>
      </c>
    </row>
    <row r="1497" spans="1:2">
      <c r="A1497" s="280" t="s">
        <v>1511</v>
      </c>
      <c r="B1497" s="65">
        <v>7292</v>
      </c>
    </row>
    <row r="1498" spans="1:2">
      <c r="A1498" s="280" t="s">
        <v>1510</v>
      </c>
      <c r="B1498" s="65">
        <v>141050</v>
      </c>
    </row>
    <row r="1499" spans="1:2">
      <c r="A1499" s="280" t="s">
        <v>1509</v>
      </c>
      <c r="B1499" s="65">
        <v>141100</v>
      </c>
    </row>
    <row r="1500" spans="1:2">
      <c r="A1500" s="280" t="s">
        <v>1472</v>
      </c>
      <c r="B1500" s="65">
        <v>5417</v>
      </c>
    </row>
    <row r="1501" spans="1:2">
      <c r="A1501" s="280" t="s">
        <v>1471</v>
      </c>
      <c r="B1501" s="65">
        <v>114075</v>
      </c>
    </row>
    <row r="1502" spans="1:2">
      <c r="A1502" s="280" t="s">
        <v>1470</v>
      </c>
      <c r="B1502" s="65">
        <v>7294</v>
      </c>
    </row>
    <row r="1503" spans="1:2">
      <c r="A1503" s="280" t="s">
        <v>1469</v>
      </c>
      <c r="B1503" s="65">
        <v>127217</v>
      </c>
    </row>
    <row r="1504" spans="1:2">
      <c r="A1504" s="280" t="s">
        <v>1468</v>
      </c>
      <c r="B1504" s="65">
        <v>30233</v>
      </c>
    </row>
    <row r="1505" spans="1:2">
      <c r="A1505" s="280" t="s">
        <v>1467</v>
      </c>
      <c r="B1505" s="65">
        <v>95215</v>
      </c>
    </row>
    <row r="1506" spans="1:2">
      <c r="A1506" s="280" t="s">
        <v>1419</v>
      </c>
      <c r="B1506" s="65">
        <v>140939</v>
      </c>
    </row>
    <row r="1507" spans="1:2">
      <c r="A1507" s="280" t="s">
        <v>1418</v>
      </c>
      <c r="B1507" s="65">
        <v>140915</v>
      </c>
    </row>
    <row r="1508" spans="1:2">
      <c r="A1508" s="280" t="s">
        <v>1417</v>
      </c>
      <c r="B1508" s="65">
        <v>52578</v>
      </c>
    </row>
    <row r="1509" spans="1:2">
      <c r="A1509" s="280" t="s">
        <v>1416</v>
      </c>
      <c r="B1509" s="65">
        <v>140972</v>
      </c>
    </row>
    <row r="1510" spans="1:2">
      <c r="A1510" s="280" t="s">
        <v>1415</v>
      </c>
      <c r="B1510" s="65">
        <v>140979</v>
      </c>
    </row>
    <row r="1511" spans="1:2">
      <c r="A1511" s="280" t="s">
        <v>1414</v>
      </c>
      <c r="B1511" s="65">
        <v>2779</v>
      </c>
    </row>
    <row r="1512" spans="1:2">
      <c r="A1512" s="280" t="s">
        <v>1407</v>
      </c>
      <c r="B1512" s="65">
        <v>5841</v>
      </c>
    </row>
    <row r="1513" spans="1:2">
      <c r="A1513" s="280" t="s">
        <v>1406</v>
      </c>
      <c r="B1513" s="65">
        <v>141094</v>
      </c>
    </row>
    <row r="1514" spans="1:2">
      <c r="A1514" s="280" t="s">
        <v>1405</v>
      </c>
      <c r="B1514" s="65">
        <v>141078</v>
      </c>
    </row>
    <row r="1515" spans="1:2">
      <c r="A1515" s="280" t="s">
        <v>1404</v>
      </c>
      <c r="B1515" s="65">
        <v>140911</v>
      </c>
    </row>
    <row r="1516" spans="1:2">
      <c r="A1516" s="280" t="s">
        <v>1403</v>
      </c>
      <c r="B1516" s="65">
        <v>6130</v>
      </c>
    </row>
    <row r="1517" spans="1:2">
      <c r="A1517" s="280" t="s">
        <v>1402</v>
      </c>
      <c r="B1517" s="65">
        <v>84052</v>
      </c>
    </row>
    <row r="1518" spans="1:2">
      <c r="A1518" s="280" t="s">
        <v>1365</v>
      </c>
      <c r="B1518" s="65">
        <v>141096</v>
      </c>
    </row>
    <row r="1519" spans="1:2">
      <c r="A1519" s="280" t="s">
        <v>1364</v>
      </c>
      <c r="B1519" s="65">
        <v>140964</v>
      </c>
    </row>
    <row r="1520" spans="1:2">
      <c r="A1520" s="280" t="s">
        <v>1363</v>
      </c>
      <c r="B1520" s="65">
        <v>5695</v>
      </c>
    </row>
    <row r="1521" spans="1:2">
      <c r="A1521" s="280" t="s">
        <v>1362</v>
      </c>
      <c r="B1521" s="65">
        <v>13045</v>
      </c>
    </row>
    <row r="1522" spans="1:2">
      <c r="A1522" s="280" t="s">
        <v>1361</v>
      </c>
      <c r="B1522" s="65">
        <v>140962</v>
      </c>
    </row>
    <row r="1523" spans="1:2">
      <c r="A1523" s="280" t="s">
        <v>1360</v>
      </c>
      <c r="B1523" s="65">
        <v>14995</v>
      </c>
    </row>
    <row r="1524" spans="1:2">
      <c r="A1524" s="280" t="s">
        <v>1572</v>
      </c>
      <c r="B1524" s="65">
        <v>115499</v>
      </c>
    </row>
    <row r="1525" spans="1:2">
      <c r="A1525" s="280" t="s">
        <v>1571</v>
      </c>
      <c r="B1525" s="65">
        <v>86224</v>
      </c>
    </row>
    <row r="1526" spans="1:2">
      <c r="A1526" s="280" t="s">
        <v>1570</v>
      </c>
      <c r="B1526" s="65">
        <v>47676</v>
      </c>
    </row>
    <row r="1527" spans="1:2">
      <c r="A1527" s="280" t="s">
        <v>1569</v>
      </c>
      <c r="B1527" s="66" t="s">
        <v>6781</v>
      </c>
    </row>
    <row r="1528" spans="1:2">
      <c r="A1528" s="280" t="s">
        <v>1568</v>
      </c>
      <c r="B1528" s="65">
        <v>31007</v>
      </c>
    </row>
    <row r="1529" spans="1:2">
      <c r="A1529" s="280" t="s">
        <v>1567</v>
      </c>
      <c r="B1529" s="65">
        <v>108958</v>
      </c>
    </row>
    <row r="1530" spans="1:2">
      <c r="A1530" s="280" t="s">
        <v>1466</v>
      </c>
      <c r="B1530" s="65">
        <v>132336</v>
      </c>
    </row>
    <row r="1531" spans="1:2">
      <c r="A1531" s="280" t="s">
        <v>1465</v>
      </c>
      <c r="B1531" s="65">
        <v>156271</v>
      </c>
    </row>
    <row r="1532" spans="1:2">
      <c r="A1532" s="280" t="s">
        <v>1464</v>
      </c>
      <c r="B1532" s="66" t="s">
        <v>6781</v>
      </c>
    </row>
    <row r="1533" spans="1:2">
      <c r="A1533" s="280" t="s">
        <v>1463</v>
      </c>
      <c r="B1533" s="65">
        <v>134900</v>
      </c>
    </row>
    <row r="1534" spans="1:2">
      <c r="A1534" s="280" t="s">
        <v>1462</v>
      </c>
      <c r="B1534" s="65">
        <v>140577</v>
      </c>
    </row>
    <row r="1535" spans="1:2">
      <c r="A1535" s="280" t="s">
        <v>1461</v>
      </c>
      <c r="B1535" s="65">
        <v>143143</v>
      </c>
    </row>
    <row r="1536" spans="1:2">
      <c r="A1536" s="280" t="s">
        <v>1359</v>
      </c>
      <c r="B1536" s="65">
        <v>9720</v>
      </c>
    </row>
    <row r="1537" spans="1:2">
      <c r="A1537" s="280" t="s">
        <v>1358</v>
      </c>
      <c r="B1537" s="65">
        <v>97344</v>
      </c>
    </row>
    <row r="1538" spans="1:2">
      <c r="A1538" s="280" t="s">
        <v>1357</v>
      </c>
      <c r="B1538" s="65">
        <v>118742</v>
      </c>
    </row>
    <row r="1539" spans="1:2">
      <c r="A1539" s="280" t="s">
        <v>1355</v>
      </c>
      <c r="B1539" s="65">
        <v>83397</v>
      </c>
    </row>
    <row r="1540" spans="1:2">
      <c r="A1540" s="280" t="s">
        <v>1354</v>
      </c>
      <c r="B1540" s="65">
        <v>60888</v>
      </c>
    </row>
    <row r="1541" spans="1:2">
      <c r="A1541" s="280" t="s">
        <v>1636</v>
      </c>
      <c r="B1541" s="65">
        <v>8797</v>
      </c>
    </row>
    <row r="1542" spans="1:2">
      <c r="A1542" s="280" t="s">
        <v>1644</v>
      </c>
      <c r="B1542" s="65">
        <v>135897</v>
      </c>
    </row>
    <row r="1543" spans="1:2">
      <c r="A1543" s="280" t="s">
        <v>1729</v>
      </c>
      <c r="B1543" s="65">
        <v>5798</v>
      </c>
    </row>
    <row r="1544" spans="1:2">
      <c r="A1544" s="280" t="s">
        <v>1741</v>
      </c>
      <c r="B1544" s="65">
        <v>135899</v>
      </c>
    </row>
    <row r="1545" spans="1:2">
      <c r="A1545" s="280" t="s">
        <v>1753</v>
      </c>
      <c r="B1545" s="65">
        <v>9484</v>
      </c>
    </row>
    <row r="1546" spans="1:2">
      <c r="A1546" s="280" t="s">
        <v>1840</v>
      </c>
      <c r="B1546" s="65">
        <v>141097</v>
      </c>
    </row>
    <row r="1547" spans="1:2">
      <c r="A1547" s="280" t="s">
        <v>1852</v>
      </c>
      <c r="B1547" s="65">
        <v>141093</v>
      </c>
    </row>
    <row r="1548" spans="1:2">
      <c r="A1548" s="280" t="s">
        <v>1864</v>
      </c>
      <c r="B1548" s="65">
        <v>140947</v>
      </c>
    </row>
    <row r="1549" spans="1:2">
      <c r="A1549" s="280" t="s">
        <v>1951</v>
      </c>
      <c r="B1549" s="65">
        <v>76826</v>
      </c>
    </row>
    <row r="1550" spans="1:2">
      <c r="A1550" s="280" t="s">
        <v>1637</v>
      </c>
      <c r="B1550" s="65">
        <v>323</v>
      </c>
    </row>
    <row r="1551" spans="1:2">
      <c r="A1551" s="280" t="s">
        <v>1645</v>
      </c>
      <c r="B1551" s="65">
        <v>83903</v>
      </c>
    </row>
    <row r="1552" spans="1:2">
      <c r="A1552" s="280" t="s">
        <v>1730</v>
      </c>
      <c r="B1552" s="65">
        <v>107830</v>
      </c>
    </row>
    <row r="1553" spans="1:2">
      <c r="A1553" s="280" t="s">
        <v>1742</v>
      </c>
      <c r="B1553" s="65">
        <v>127809</v>
      </c>
    </row>
    <row r="1554" spans="1:2">
      <c r="A1554" s="280" t="s">
        <v>1754</v>
      </c>
      <c r="B1554" s="65">
        <v>141102</v>
      </c>
    </row>
    <row r="1555" spans="1:2">
      <c r="A1555" s="280" t="s">
        <v>1841</v>
      </c>
      <c r="B1555" s="65">
        <v>6004</v>
      </c>
    </row>
    <row r="1556" spans="1:2">
      <c r="A1556" s="280" t="s">
        <v>1853</v>
      </c>
      <c r="B1556" s="65">
        <v>141069</v>
      </c>
    </row>
    <row r="1557" spans="1:2">
      <c r="A1557" s="280" t="s">
        <v>1865</v>
      </c>
      <c r="B1557" s="65">
        <v>141013</v>
      </c>
    </row>
    <row r="1558" spans="1:2">
      <c r="A1558" s="280" t="s">
        <v>1952</v>
      </c>
      <c r="B1558" s="65">
        <v>140924</v>
      </c>
    </row>
    <row r="1559" spans="1:2">
      <c r="A1559" s="280" t="s">
        <v>1731</v>
      </c>
      <c r="B1559" s="65">
        <v>141070</v>
      </c>
    </row>
    <row r="1560" spans="1:2">
      <c r="A1560" s="280" t="s">
        <v>1743</v>
      </c>
      <c r="B1560" s="65">
        <v>141044</v>
      </c>
    </row>
    <row r="1561" spans="1:2">
      <c r="A1561" s="280" t="s">
        <v>1755</v>
      </c>
      <c r="B1561" s="65">
        <v>83902</v>
      </c>
    </row>
    <row r="1562" spans="1:2">
      <c r="A1562" s="280" t="s">
        <v>1842</v>
      </c>
      <c r="B1562" s="65">
        <v>1510</v>
      </c>
    </row>
    <row r="1563" spans="1:2">
      <c r="A1563" s="280" t="s">
        <v>1854</v>
      </c>
      <c r="B1563" s="65">
        <v>141016</v>
      </c>
    </row>
    <row r="1564" spans="1:2">
      <c r="A1564" s="280" t="s">
        <v>1866</v>
      </c>
      <c r="B1564" s="65">
        <v>140997</v>
      </c>
    </row>
    <row r="1565" spans="1:2">
      <c r="A1565" s="280" t="s">
        <v>1953</v>
      </c>
      <c r="B1565" s="65">
        <v>96256</v>
      </c>
    </row>
    <row r="1566" spans="1:2">
      <c r="A1566" s="280" t="s">
        <v>1732</v>
      </c>
      <c r="B1566" s="65">
        <v>76893</v>
      </c>
    </row>
    <row r="1567" spans="1:2">
      <c r="A1567" s="280" t="s">
        <v>1744</v>
      </c>
      <c r="B1567" s="65">
        <v>141031</v>
      </c>
    </row>
    <row r="1568" spans="1:2">
      <c r="A1568" s="280" t="s">
        <v>1756</v>
      </c>
      <c r="B1568" s="65">
        <v>8440</v>
      </c>
    </row>
    <row r="1569" spans="1:2">
      <c r="A1569" s="280" t="s">
        <v>1843</v>
      </c>
      <c r="B1569" s="65">
        <v>74603</v>
      </c>
    </row>
    <row r="1570" spans="1:2">
      <c r="A1570" s="280" t="s">
        <v>1855</v>
      </c>
      <c r="B1570" s="65">
        <v>3778</v>
      </c>
    </row>
    <row r="1571" spans="1:2">
      <c r="A1571" s="280" t="s">
        <v>1867</v>
      </c>
      <c r="B1571" s="65">
        <v>140949</v>
      </c>
    </row>
    <row r="1572" spans="1:2">
      <c r="A1572" s="280" t="s">
        <v>1954</v>
      </c>
      <c r="B1572" s="65">
        <v>108485</v>
      </c>
    </row>
    <row r="1573" spans="1:2">
      <c r="A1573" s="280" t="s">
        <v>1638</v>
      </c>
      <c r="B1573" s="65">
        <v>177057</v>
      </c>
    </row>
    <row r="1574" spans="1:2">
      <c r="A1574" s="280" t="s">
        <v>1646</v>
      </c>
      <c r="B1574" s="65">
        <v>135156</v>
      </c>
    </row>
    <row r="1575" spans="1:2">
      <c r="A1575" s="280" t="s">
        <v>1733</v>
      </c>
      <c r="B1575" s="65">
        <v>140966</v>
      </c>
    </row>
    <row r="1576" spans="1:2">
      <c r="A1576" s="280" t="s">
        <v>1745</v>
      </c>
      <c r="B1576" s="65">
        <v>141063</v>
      </c>
    </row>
    <row r="1577" spans="1:2">
      <c r="A1577" s="280" t="s">
        <v>1757</v>
      </c>
      <c r="B1577" s="65">
        <v>141113</v>
      </c>
    </row>
    <row r="1578" spans="1:2">
      <c r="A1578" s="280" t="s">
        <v>1844</v>
      </c>
      <c r="B1578" s="65">
        <v>140981</v>
      </c>
    </row>
    <row r="1579" spans="1:2">
      <c r="A1579" s="280" t="s">
        <v>1856</v>
      </c>
      <c r="B1579" s="65">
        <v>7280</v>
      </c>
    </row>
    <row r="1580" spans="1:2">
      <c r="A1580" s="280" t="s">
        <v>1868</v>
      </c>
      <c r="B1580" s="65">
        <v>2637</v>
      </c>
    </row>
    <row r="1581" spans="1:2">
      <c r="A1581" s="280" t="s">
        <v>1955</v>
      </c>
      <c r="B1581" s="65">
        <v>2485</v>
      </c>
    </row>
    <row r="1582" spans="1:2">
      <c r="A1582" s="280" t="s">
        <v>1639</v>
      </c>
      <c r="B1582" s="65">
        <v>134162</v>
      </c>
    </row>
    <row r="1583" spans="1:2">
      <c r="A1583" s="280" t="s">
        <v>1647</v>
      </c>
      <c r="B1583" s="65">
        <v>141110</v>
      </c>
    </row>
    <row r="1584" spans="1:2">
      <c r="A1584" s="280" t="s">
        <v>1734</v>
      </c>
      <c r="B1584" s="65">
        <v>140965</v>
      </c>
    </row>
    <row r="1585" spans="1:2">
      <c r="A1585" s="280" t="s">
        <v>1746</v>
      </c>
      <c r="B1585" s="65">
        <v>140980</v>
      </c>
    </row>
    <row r="1586" spans="1:2">
      <c r="A1586" s="280" t="s">
        <v>1758</v>
      </c>
      <c r="B1586" s="65">
        <v>140983</v>
      </c>
    </row>
    <row r="1587" spans="1:2">
      <c r="A1587" s="280" t="s">
        <v>1845</v>
      </c>
      <c r="B1587" s="65">
        <v>140996</v>
      </c>
    </row>
    <row r="1588" spans="1:2">
      <c r="A1588" s="280" t="s">
        <v>1857</v>
      </c>
      <c r="B1588" s="65">
        <v>156770</v>
      </c>
    </row>
    <row r="1589" spans="1:2">
      <c r="A1589" s="280" t="s">
        <v>1869</v>
      </c>
      <c r="B1589" s="65">
        <v>117060</v>
      </c>
    </row>
    <row r="1590" spans="1:2">
      <c r="A1590" s="280" t="s">
        <v>1956</v>
      </c>
      <c r="B1590" s="65">
        <v>7291</v>
      </c>
    </row>
    <row r="1591" spans="1:2">
      <c r="A1591" s="280" t="s">
        <v>1728</v>
      </c>
      <c r="B1591" s="66" t="s">
        <v>6781</v>
      </c>
    </row>
    <row r="1592" spans="1:2">
      <c r="A1592" s="280" t="s">
        <v>1727</v>
      </c>
      <c r="B1592" s="65">
        <v>177007</v>
      </c>
    </row>
    <row r="1593" spans="1:2">
      <c r="A1593" s="280" t="s">
        <v>1726</v>
      </c>
      <c r="B1593" s="65">
        <v>83233</v>
      </c>
    </row>
    <row r="1594" spans="1:2">
      <c r="A1594" s="280" t="s">
        <v>1724</v>
      </c>
      <c r="B1594" s="65">
        <v>124574</v>
      </c>
    </row>
    <row r="1595" spans="1:2">
      <c r="A1595" s="280" t="s">
        <v>1839</v>
      </c>
      <c r="B1595" s="65">
        <v>116597</v>
      </c>
    </row>
    <row r="1596" spans="1:2">
      <c r="A1596" s="280" t="s">
        <v>1837</v>
      </c>
      <c r="B1596" s="65">
        <v>173568</v>
      </c>
    </row>
    <row r="1597" spans="1:2">
      <c r="A1597" s="280" t="s">
        <v>1836</v>
      </c>
      <c r="B1597" s="65">
        <v>86221</v>
      </c>
    </row>
    <row r="1598" spans="1:2">
      <c r="A1598" s="280" t="s">
        <v>1835</v>
      </c>
      <c r="B1598" s="65">
        <v>117</v>
      </c>
    </row>
    <row r="1599" spans="1:2">
      <c r="A1599" s="280" t="s">
        <v>1834</v>
      </c>
      <c r="B1599" s="65">
        <v>133213</v>
      </c>
    </row>
    <row r="1600" spans="1:2">
      <c r="A1600" s="280" t="s">
        <v>1950</v>
      </c>
      <c r="B1600" s="65">
        <v>100216</v>
      </c>
    </row>
    <row r="1601" spans="1:2">
      <c r="A1601" s="280" t="s">
        <v>1949</v>
      </c>
      <c r="B1601" s="65">
        <v>100945</v>
      </c>
    </row>
    <row r="1602" spans="1:2">
      <c r="A1602" s="280" t="s">
        <v>1948</v>
      </c>
      <c r="B1602" s="65">
        <v>138958</v>
      </c>
    </row>
    <row r="1603" spans="1:2">
      <c r="A1603" s="280" t="s">
        <v>1947</v>
      </c>
      <c r="B1603" s="65">
        <v>114053</v>
      </c>
    </row>
    <row r="1604" spans="1:2">
      <c r="A1604" s="280" t="s">
        <v>1946</v>
      </c>
      <c r="B1604" s="65">
        <v>137712</v>
      </c>
    </row>
    <row r="1605" spans="1:2">
      <c r="A1605" s="280" t="s">
        <v>1722</v>
      </c>
      <c r="B1605" s="65">
        <v>113597</v>
      </c>
    </row>
    <row r="1606" spans="1:2">
      <c r="A1606" s="280" t="s">
        <v>1721</v>
      </c>
      <c r="B1606" s="65">
        <v>156697</v>
      </c>
    </row>
    <row r="1607" spans="1:2">
      <c r="A1607" s="280" t="s">
        <v>1716</v>
      </c>
      <c r="B1607" s="65">
        <v>130235</v>
      </c>
    </row>
    <row r="1608" spans="1:2">
      <c r="A1608" s="280" t="s">
        <v>1715</v>
      </c>
      <c r="B1608" s="65">
        <v>120031</v>
      </c>
    </row>
    <row r="1609" spans="1:2">
      <c r="A1609" s="280" t="s">
        <v>1710</v>
      </c>
      <c r="B1609" s="65">
        <v>124670</v>
      </c>
    </row>
    <row r="1610" spans="1:2">
      <c r="A1610" s="280" t="s">
        <v>1709</v>
      </c>
      <c r="B1610" s="65">
        <v>159320</v>
      </c>
    </row>
    <row r="1611" spans="1:2">
      <c r="A1611" s="280" t="s">
        <v>1704</v>
      </c>
      <c r="B1611" s="65">
        <v>111869</v>
      </c>
    </row>
    <row r="1612" spans="1:2">
      <c r="A1612" s="280" t="s">
        <v>1703</v>
      </c>
      <c r="B1612" s="65">
        <v>138922</v>
      </c>
    </row>
    <row r="1613" spans="1:2">
      <c r="A1613" s="280" t="s">
        <v>1698</v>
      </c>
      <c r="B1613" s="66" t="s">
        <v>6781</v>
      </c>
    </row>
    <row r="1614" spans="1:2">
      <c r="A1614" s="280" t="s">
        <v>1697</v>
      </c>
      <c r="B1614" s="65">
        <v>28472</v>
      </c>
    </row>
    <row r="1615" spans="1:2">
      <c r="A1615" s="280" t="s">
        <v>1696</v>
      </c>
      <c r="B1615" s="65">
        <v>100748</v>
      </c>
    </row>
    <row r="1616" spans="1:2">
      <c r="A1616" s="280" t="s">
        <v>1809</v>
      </c>
      <c r="B1616" s="65">
        <v>114978</v>
      </c>
    </row>
    <row r="1617" spans="1:2">
      <c r="A1617" s="280" t="s">
        <v>1808</v>
      </c>
      <c r="B1617" s="65">
        <v>112805</v>
      </c>
    </row>
    <row r="1618" spans="1:2">
      <c r="A1618" s="280" t="s">
        <v>1807</v>
      </c>
      <c r="B1618" s="65">
        <v>114368</v>
      </c>
    </row>
    <row r="1619" spans="1:2">
      <c r="A1619" s="280" t="s">
        <v>1920</v>
      </c>
      <c r="B1619" s="66" t="s">
        <v>6781</v>
      </c>
    </row>
    <row r="1620" spans="1:2">
      <c r="A1620" s="280" t="s">
        <v>1919</v>
      </c>
      <c r="B1620" s="66" t="s">
        <v>6781</v>
      </c>
    </row>
    <row r="1621" spans="1:2">
      <c r="A1621" s="280" t="s">
        <v>1632</v>
      </c>
      <c r="B1621" s="66" t="s">
        <v>6781</v>
      </c>
    </row>
    <row r="1622" spans="1:2">
      <c r="A1622" s="280" t="s">
        <v>1640</v>
      </c>
      <c r="B1622" s="65">
        <v>141081</v>
      </c>
    </row>
    <row r="1623" spans="1:2">
      <c r="A1623" s="280" t="s">
        <v>1690</v>
      </c>
      <c r="B1623" s="65">
        <v>4074</v>
      </c>
    </row>
    <row r="1624" spans="1:2">
      <c r="A1624" s="280" t="s">
        <v>1735</v>
      </c>
      <c r="B1624" s="65">
        <v>5737</v>
      </c>
    </row>
    <row r="1625" spans="1:2">
      <c r="A1625" s="280" t="s">
        <v>1747</v>
      </c>
      <c r="B1625" s="65">
        <v>141047</v>
      </c>
    </row>
    <row r="1626" spans="1:2">
      <c r="A1626" s="280" t="s">
        <v>1801</v>
      </c>
      <c r="B1626" s="65">
        <v>14999</v>
      </c>
    </row>
    <row r="1627" spans="1:2">
      <c r="A1627" s="280" t="s">
        <v>1846</v>
      </c>
      <c r="B1627" s="65">
        <v>141092</v>
      </c>
    </row>
    <row r="1628" spans="1:2">
      <c r="A1628" s="280" t="s">
        <v>1858</v>
      </c>
      <c r="B1628" s="65">
        <v>88650</v>
      </c>
    </row>
    <row r="1629" spans="1:2">
      <c r="A1629" s="280" t="s">
        <v>1912</v>
      </c>
      <c r="B1629" s="65">
        <v>83749</v>
      </c>
    </row>
    <row r="1630" spans="1:2">
      <c r="A1630" s="280" t="s">
        <v>1633</v>
      </c>
      <c r="B1630" s="65">
        <v>141080</v>
      </c>
    </row>
    <row r="1631" spans="1:2">
      <c r="A1631" s="280" t="s">
        <v>1641</v>
      </c>
      <c r="B1631" s="65">
        <v>48699</v>
      </c>
    </row>
    <row r="1632" spans="1:2">
      <c r="A1632" s="280" t="s">
        <v>1691</v>
      </c>
      <c r="B1632" s="65">
        <v>10223</v>
      </c>
    </row>
    <row r="1633" spans="1:2">
      <c r="A1633" s="280" t="s">
        <v>1736</v>
      </c>
      <c r="B1633" s="65">
        <v>141099</v>
      </c>
    </row>
    <row r="1634" spans="1:2">
      <c r="A1634" s="280" t="s">
        <v>1748</v>
      </c>
      <c r="B1634" s="65">
        <v>83900</v>
      </c>
    </row>
    <row r="1635" spans="1:2">
      <c r="A1635" s="280" t="s">
        <v>1802</v>
      </c>
      <c r="B1635" s="65">
        <v>6128</v>
      </c>
    </row>
    <row r="1636" spans="1:2">
      <c r="A1636" s="280" t="s">
        <v>1847</v>
      </c>
      <c r="B1636" s="65">
        <v>78261</v>
      </c>
    </row>
    <row r="1637" spans="1:2">
      <c r="A1637" s="280" t="s">
        <v>1859</v>
      </c>
      <c r="B1637" s="65">
        <v>140938</v>
      </c>
    </row>
    <row r="1638" spans="1:2">
      <c r="A1638" s="280" t="s">
        <v>1913</v>
      </c>
      <c r="B1638" s="65">
        <v>141071</v>
      </c>
    </row>
    <row r="1639" spans="1:2">
      <c r="A1639" s="280" t="s">
        <v>1692</v>
      </c>
      <c r="B1639" s="65">
        <v>10971</v>
      </c>
    </row>
    <row r="1640" spans="1:2">
      <c r="A1640" s="280" t="s">
        <v>1737</v>
      </c>
      <c r="B1640" s="65">
        <v>2217</v>
      </c>
    </row>
    <row r="1641" spans="1:2">
      <c r="A1641" s="280" t="s">
        <v>1749</v>
      </c>
      <c r="B1641" s="65">
        <v>5964</v>
      </c>
    </row>
    <row r="1642" spans="1:2">
      <c r="A1642" s="280" t="s">
        <v>1803</v>
      </c>
      <c r="B1642" s="65">
        <v>78262</v>
      </c>
    </row>
    <row r="1643" spans="1:2">
      <c r="A1643" s="280" t="s">
        <v>1848</v>
      </c>
      <c r="B1643" s="65">
        <v>140907</v>
      </c>
    </row>
    <row r="1644" spans="1:2">
      <c r="A1644" s="280" t="s">
        <v>1860</v>
      </c>
      <c r="B1644" s="65">
        <v>47842</v>
      </c>
    </row>
    <row r="1645" spans="1:2">
      <c r="A1645" s="280" t="s">
        <v>1914</v>
      </c>
      <c r="B1645" s="65">
        <v>12449</v>
      </c>
    </row>
    <row r="1646" spans="1:2">
      <c r="A1646" s="280" t="s">
        <v>1693</v>
      </c>
      <c r="B1646" s="65">
        <v>9928</v>
      </c>
    </row>
    <row r="1647" spans="1:2">
      <c r="A1647" s="280" t="s">
        <v>1738</v>
      </c>
      <c r="B1647" s="65">
        <v>110437</v>
      </c>
    </row>
    <row r="1648" spans="1:2">
      <c r="A1648" s="280" t="s">
        <v>1750</v>
      </c>
      <c r="B1648" s="65">
        <v>9937</v>
      </c>
    </row>
    <row r="1649" spans="1:2">
      <c r="A1649" s="280" t="s">
        <v>1804</v>
      </c>
      <c r="B1649" s="65">
        <v>141021</v>
      </c>
    </row>
    <row r="1650" spans="1:2">
      <c r="A1650" s="280" t="s">
        <v>1849</v>
      </c>
      <c r="B1650" s="65">
        <v>854</v>
      </c>
    </row>
    <row r="1651" spans="1:2">
      <c r="A1651" s="280" t="s">
        <v>1861</v>
      </c>
      <c r="B1651" s="65">
        <v>820</v>
      </c>
    </row>
    <row r="1652" spans="1:2">
      <c r="A1652" s="280" t="s">
        <v>1915</v>
      </c>
      <c r="B1652" s="65">
        <v>5837</v>
      </c>
    </row>
    <row r="1653" spans="1:2">
      <c r="A1653" s="280" t="s">
        <v>1634</v>
      </c>
      <c r="B1653" s="65">
        <v>2778</v>
      </c>
    </row>
    <row r="1654" spans="1:2">
      <c r="A1654" s="280" t="s">
        <v>1642</v>
      </c>
      <c r="B1654" s="65">
        <v>8001</v>
      </c>
    </row>
    <row r="1655" spans="1:2">
      <c r="A1655" s="280" t="s">
        <v>1694</v>
      </c>
      <c r="B1655" s="65">
        <v>398</v>
      </c>
    </row>
    <row r="1656" spans="1:2">
      <c r="A1656" s="280" t="s">
        <v>1739</v>
      </c>
      <c r="B1656" s="65">
        <v>140958</v>
      </c>
    </row>
    <row r="1657" spans="1:2">
      <c r="A1657" s="280" t="s">
        <v>1751</v>
      </c>
      <c r="B1657" s="65">
        <v>158011</v>
      </c>
    </row>
    <row r="1658" spans="1:2">
      <c r="A1658" s="280" t="s">
        <v>1805</v>
      </c>
      <c r="B1658" s="65">
        <v>141077</v>
      </c>
    </row>
    <row r="1659" spans="1:2">
      <c r="A1659" s="280" t="s">
        <v>1850</v>
      </c>
      <c r="B1659" s="65">
        <v>744</v>
      </c>
    </row>
    <row r="1660" spans="1:2">
      <c r="A1660" s="280" t="s">
        <v>1862</v>
      </c>
      <c r="B1660" s="65">
        <v>141020</v>
      </c>
    </row>
    <row r="1661" spans="1:2">
      <c r="A1661" s="280" t="s">
        <v>1916</v>
      </c>
      <c r="B1661" s="65">
        <v>117067</v>
      </c>
    </row>
    <row r="1662" spans="1:2">
      <c r="A1662" s="280" t="s">
        <v>1635</v>
      </c>
      <c r="B1662" s="65">
        <v>141055</v>
      </c>
    </row>
    <row r="1663" spans="1:2">
      <c r="A1663" s="280" t="s">
        <v>1643</v>
      </c>
      <c r="B1663" s="65">
        <v>14149</v>
      </c>
    </row>
    <row r="1664" spans="1:2">
      <c r="A1664" s="280" t="s">
        <v>1740</v>
      </c>
      <c r="B1664" s="65">
        <v>6965</v>
      </c>
    </row>
    <row r="1665" spans="1:2">
      <c r="A1665" s="280" t="s">
        <v>1752</v>
      </c>
      <c r="B1665" s="65">
        <v>141083</v>
      </c>
    </row>
    <row r="1666" spans="1:2">
      <c r="A1666" s="280" t="s">
        <v>1806</v>
      </c>
      <c r="B1666" s="65">
        <v>20001</v>
      </c>
    </row>
    <row r="1667" spans="1:2">
      <c r="A1667" s="280" t="s">
        <v>1851</v>
      </c>
      <c r="B1667" s="65">
        <v>5846</v>
      </c>
    </row>
    <row r="1668" spans="1:2">
      <c r="A1668" s="280" t="s">
        <v>1863</v>
      </c>
      <c r="B1668" s="65">
        <v>14434</v>
      </c>
    </row>
    <row r="1669" spans="1:2">
      <c r="A1669" s="280" t="s">
        <v>1917</v>
      </c>
      <c r="B1669" s="65">
        <v>141072</v>
      </c>
    </row>
    <row r="1670" spans="1:2">
      <c r="A1670" s="280" t="s">
        <v>1687</v>
      </c>
      <c r="B1670" s="65">
        <v>2634</v>
      </c>
    </row>
    <row r="1671" spans="1:2">
      <c r="A1671" s="280" t="s">
        <v>1685</v>
      </c>
      <c r="B1671" s="65">
        <v>9124</v>
      </c>
    </row>
    <row r="1672" spans="1:2">
      <c r="A1672" s="280" t="s">
        <v>1684</v>
      </c>
      <c r="B1672" s="65">
        <v>138566</v>
      </c>
    </row>
    <row r="1673" spans="1:2">
      <c r="A1673" s="280" t="s">
        <v>1800</v>
      </c>
      <c r="B1673" s="65">
        <v>73227</v>
      </c>
    </row>
    <row r="1674" spans="1:2">
      <c r="A1674" s="280" t="s">
        <v>1799</v>
      </c>
      <c r="B1674" s="65">
        <v>157448</v>
      </c>
    </row>
    <row r="1675" spans="1:2">
      <c r="A1675" s="280" t="s">
        <v>1798</v>
      </c>
      <c r="B1675" s="65">
        <v>141230</v>
      </c>
    </row>
    <row r="1676" spans="1:2">
      <c r="A1676" s="280" t="s">
        <v>1797</v>
      </c>
      <c r="B1676" s="65">
        <v>114046</v>
      </c>
    </row>
    <row r="1677" spans="1:2">
      <c r="A1677" s="280" t="s">
        <v>1796</v>
      </c>
      <c r="B1677" s="65">
        <v>9280</v>
      </c>
    </row>
    <row r="1678" spans="1:2">
      <c r="A1678" s="280" t="s">
        <v>1911</v>
      </c>
      <c r="B1678" s="65">
        <v>59</v>
      </c>
    </row>
    <row r="1679" spans="1:2">
      <c r="A1679" s="280" t="s">
        <v>1910</v>
      </c>
      <c r="B1679" s="65">
        <v>140670</v>
      </c>
    </row>
    <row r="1680" spans="1:2">
      <c r="A1680" s="280" t="s">
        <v>1909</v>
      </c>
      <c r="B1680" s="65">
        <v>83787</v>
      </c>
    </row>
    <row r="1681" spans="1:2">
      <c r="A1681" s="280" t="s">
        <v>1908</v>
      </c>
      <c r="B1681" s="65">
        <v>52</v>
      </c>
    </row>
    <row r="1682" spans="1:2">
      <c r="A1682" s="280" t="s">
        <v>1907</v>
      </c>
      <c r="B1682" s="65">
        <v>134061</v>
      </c>
    </row>
    <row r="1683" spans="1:2">
      <c r="A1683" s="280" t="s">
        <v>2280</v>
      </c>
      <c r="B1683" s="65">
        <v>54336</v>
      </c>
    </row>
    <row r="1684" spans="1:2">
      <c r="A1684" s="280" t="s">
        <v>2288</v>
      </c>
      <c r="B1684" s="65">
        <v>131890</v>
      </c>
    </row>
    <row r="1685" spans="1:2">
      <c r="A1685" s="280" t="s">
        <v>2334</v>
      </c>
      <c r="B1685" s="65">
        <v>1778</v>
      </c>
    </row>
    <row r="1686" spans="1:2">
      <c r="A1686" s="280" t="s">
        <v>2385</v>
      </c>
      <c r="B1686" s="65">
        <v>60066</v>
      </c>
    </row>
    <row r="1687" spans="1:2">
      <c r="A1687" s="280" t="s">
        <v>2397</v>
      </c>
      <c r="B1687" s="65">
        <v>51895</v>
      </c>
    </row>
    <row r="1688" spans="1:2">
      <c r="A1688" s="280" t="s">
        <v>2445</v>
      </c>
      <c r="B1688" s="65">
        <v>206563</v>
      </c>
    </row>
    <row r="1689" spans="1:2">
      <c r="A1689" s="280" t="s">
        <v>2496</v>
      </c>
      <c r="B1689" s="65">
        <v>69252</v>
      </c>
    </row>
    <row r="1690" spans="1:2">
      <c r="A1690" s="280" t="s">
        <v>2508</v>
      </c>
      <c r="B1690" s="65">
        <v>105333</v>
      </c>
    </row>
    <row r="1691" spans="1:2">
      <c r="A1691" s="280" t="s">
        <v>2556</v>
      </c>
      <c r="B1691" s="65">
        <v>60063</v>
      </c>
    </row>
    <row r="1692" spans="1:2">
      <c r="A1692" s="280" t="s">
        <v>2281</v>
      </c>
      <c r="B1692" s="65">
        <v>144223</v>
      </c>
    </row>
    <row r="1693" spans="1:2">
      <c r="A1693" s="280" t="s">
        <v>2289</v>
      </c>
      <c r="B1693" s="65">
        <v>31426</v>
      </c>
    </row>
    <row r="1694" spans="1:2">
      <c r="A1694" s="280" t="s">
        <v>2335</v>
      </c>
      <c r="B1694" s="65">
        <v>118905</v>
      </c>
    </row>
    <row r="1695" spans="1:2">
      <c r="A1695" s="280" t="s">
        <v>2386</v>
      </c>
      <c r="B1695" s="65">
        <v>12233</v>
      </c>
    </row>
    <row r="1696" spans="1:2">
      <c r="A1696" s="280" t="s">
        <v>2398</v>
      </c>
      <c r="B1696" s="65">
        <v>1115</v>
      </c>
    </row>
    <row r="1697" spans="1:2">
      <c r="A1697" s="280" t="s">
        <v>2446</v>
      </c>
      <c r="B1697" s="65">
        <v>100391</v>
      </c>
    </row>
    <row r="1698" spans="1:2">
      <c r="A1698" s="280" t="s">
        <v>2497</v>
      </c>
      <c r="B1698" s="65">
        <v>346</v>
      </c>
    </row>
    <row r="1699" spans="1:2">
      <c r="A1699" s="280" t="s">
        <v>2509</v>
      </c>
      <c r="B1699" s="65">
        <v>37687</v>
      </c>
    </row>
    <row r="1700" spans="1:2">
      <c r="A1700" s="280" t="s">
        <v>2557</v>
      </c>
      <c r="B1700" s="65">
        <v>117145</v>
      </c>
    </row>
    <row r="1701" spans="1:2">
      <c r="A1701" s="280" t="s">
        <v>2336</v>
      </c>
      <c r="B1701" s="65">
        <v>78468</v>
      </c>
    </row>
    <row r="1702" spans="1:2">
      <c r="A1702" s="280" t="s">
        <v>2387</v>
      </c>
      <c r="B1702" s="65">
        <v>80739</v>
      </c>
    </row>
    <row r="1703" spans="1:2">
      <c r="A1703" s="280" t="s">
        <v>2399</v>
      </c>
      <c r="B1703" s="65">
        <v>72365</v>
      </c>
    </row>
    <row r="1704" spans="1:2">
      <c r="A1704" s="280" t="s">
        <v>2447</v>
      </c>
      <c r="B1704" s="65">
        <v>117930</v>
      </c>
    </row>
    <row r="1705" spans="1:2">
      <c r="A1705" s="280" t="s">
        <v>2498</v>
      </c>
      <c r="B1705" s="65">
        <v>17095</v>
      </c>
    </row>
    <row r="1706" spans="1:2">
      <c r="A1706" s="280" t="s">
        <v>2510</v>
      </c>
      <c r="B1706" s="65">
        <v>1664</v>
      </c>
    </row>
    <row r="1707" spans="1:2">
      <c r="A1707" s="280" t="s">
        <v>2558</v>
      </c>
      <c r="B1707" s="65">
        <v>109260</v>
      </c>
    </row>
    <row r="1708" spans="1:2">
      <c r="A1708" s="280" t="s">
        <v>2337</v>
      </c>
      <c r="B1708" s="65">
        <v>121419</v>
      </c>
    </row>
    <row r="1709" spans="1:2">
      <c r="A1709" s="280" t="s">
        <v>2388</v>
      </c>
      <c r="B1709" s="65">
        <v>96317</v>
      </c>
    </row>
    <row r="1710" spans="1:2">
      <c r="A1710" s="280" t="s">
        <v>2400</v>
      </c>
      <c r="B1710" s="65">
        <v>112427</v>
      </c>
    </row>
    <row r="1711" spans="1:2">
      <c r="A1711" s="280" t="s">
        <v>2448</v>
      </c>
      <c r="B1711" s="65">
        <v>88439</v>
      </c>
    </row>
    <row r="1712" spans="1:2">
      <c r="A1712" s="280" t="s">
        <v>2499</v>
      </c>
      <c r="B1712" s="65">
        <v>157797</v>
      </c>
    </row>
    <row r="1713" spans="1:2">
      <c r="A1713" s="280" t="s">
        <v>2511</v>
      </c>
      <c r="B1713" s="65">
        <v>101119</v>
      </c>
    </row>
    <row r="1714" spans="1:2">
      <c r="A1714" s="280" t="s">
        <v>2559</v>
      </c>
      <c r="B1714" s="65">
        <v>60082</v>
      </c>
    </row>
    <row r="1715" spans="1:2">
      <c r="A1715" s="280" t="s">
        <v>2282</v>
      </c>
      <c r="B1715" s="65">
        <v>89410</v>
      </c>
    </row>
    <row r="1716" spans="1:2">
      <c r="A1716" s="280" t="s">
        <v>2290</v>
      </c>
      <c r="B1716" s="65">
        <v>28492</v>
      </c>
    </row>
    <row r="1717" spans="1:2">
      <c r="A1717" s="280" t="s">
        <v>2338</v>
      </c>
      <c r="B1717" s="65">
        <v>19550</v>
      </c>
    </row>
    <row r="1718" spans="1:2">
      <c r="A1718" s="280" t="s">
        <v>2389</v>
      </c>
      <c r="B1718" s="65">
        <v>89704</v>
      </c>
    </row>
    <row r="1719" spans="1:2">
      <c r="A1719" s="280" t="s">
        <v>2401</v>
      </c>
      <c r="B1719" s="65">
        <v>100133</v>
      </c>
    </row>
    <row r="1720" spans="1:2">
      <c r="A1720" s="280" t="s">
        <v>2449</v>
      </c>
      <c r="B1720" s="65">
        <v>100021</v>
      </c>
    </row>
    <row r="1721" spans="1:2">
      <c r="A1721" s="280" t="s">
        <v>2500</v>
      </c>
      <c r="B1721" s="65">
        <v>84891</v>
      </c>
    </row>
    <row r="1722" spans="1:2">
      <c r="A1722" s="280" t="s">
        <v>2512</v>
      </c>
      <c r="B1722" s="65">
        <v>33312</v>
      </c>
    </row>
    <row r="1723" spans="1:2">
      <c r="A1723" s="280" t="s">
        <v>2560</v>
      </c>
      <c r="B1723" s="65">
        <v>7897</v>
      </c>
    </row>
    <row r="1724" spans="1:2">
      <c r="A1724" s="280" t="s">
        <v>2283</v>
      </c>
      <c r="B1724" s="65">
        <v>101346</v>
      </c>
    </row>
    <row r="1725" spans="1:2">
      <c r="A1725" s="280" t="s">
        <v>2291</v>
      </c>
      <c r="B1725" s="65">
        <v>110251</v>
      </c>
    </row>
    <row r="1726" spans="1:2">
      <c r="A1726" s="280" t="s">
        <v>2339</v>
      </c>
      <c r="B1726" s="65">
        <v>74068</v>
      </c>
    </row>
    <row r="1727" spans="1:2">
      <c r="A1727" s="280" t="s">
        <v>2390</v>
      </c>
      <c r="B1727" s="65">
        <v>73351</v>
      </c>
    </row>
    <row r="1728" spans="1:2">
      <c r="A1728" s="280" t="s">
        <v>2402</v>
      </c>
      <c r="B1728" s="65">
        <v>131955</v>
      </c>
    </row>
    <row r="1729" spans="1:2">
      <c r="A1729" s="280" t="s">
        <v>2450</v>
      </c>
      <c r="B1729" s="65">
        <v>131803</v>
      </c>
    </row>
    <row r="1730" spans="1:2">
      <c r="A1730" s="280" t="s">
        <v>2501</v>
      </c>
      <c r="B1730" s="65">
        <v>104757</v>
      </c>
    </row>
    <row r="1731" spans="1:2">
      <c r="A1731" s="280" t="s">
        <v>2513</v>
      </c>
      <c r="B1731" s="65">
        <v>5499</v>
      </c>
    </row>
    <row r="1732" spans="1:2">
      <c r="A1732" s="280" t="s">
        <v>2561</v>
      </c>
      <c r="B1732" s="65">
        <v>135400</v>
      </c>
    </row>
    <row r="1733" spans="1:2">
      <c r="A1733" s="280" t="s">
        <v>2340</v>
      </c>
      <c r="B1733" s="65">
        <v>50165</v>
      </c>
    </row>
    <row r="1734" spans="1:2">
      <c r="A1734" s="280" t="s">
        <v>2341</v>
      </c>
      <c r="B1734" s="65">
        <v>120002</v>
      </c>
    </row>
    <row r="1735" spans="1:2">
      <c r="A1735" s="280" t="s">
        <v>2342</v>
      </c>
      <c r="B1735" s="65">
        <v>63745</v>
      </c>
    </row>
    <row r="1736" spans="1:2">
      <c r="A1736" s="280" t="s">
        <v>2451</v>
      </c>
      <c r="B1736" s="65">
        <v>120004</v>
      </c>
    </row>
    <row r="1737" spans="1:2">
      <c r="A1737" s="280" t="s">
        <v>2452</v>
      </c>
      <c r="B1737" s="65">
        <v>2456</v>
      </c>
    </row>
    <row r="1738" spans="1:2">
      <c r="A1738" s="280" t="s">
        <v>2562</v>
      </c>
      <c r="B1738" s="65">
        <v>100185</v>
      </c>
    </row>
    <row r="1739" spans="1:2">
      <c r="A1739" s="280" t="s">
        <v>2563</v>
      </c>
      <c r="B1739" s="65">
        <v>22722</v>
      </c>
    </row>
    <row r="1740" spans="1:2">
      <c r="A1740" s="280" t="s">
        <v>2343</v>
      </c>
      <c r="B1740" s="65">
        <v>112564</v>
      </c>
    </row>
    <row r="1741" spans="1:2">
      <c r="A1741" s="280" t="s">
        <v>2344</v>
      </c>
      <c r="B1741" s="65">
        <v>110566</v>
      </c>
    </row>
    <row r="1742" spans="1:2">
      <c r="A1742" s="280" t="s">
        <v>2345</v>
      </c>
      <c r="B1742" s="65">
        <v>107027</v>
      </c>
    </row>
    <row r="1743" spans="1:2">
      <c r="A1743" s="280" t="s">
        <v>2347</v>
      </c>
      <c r="B1743" s="65">
        <v>111146</v>
      </c>
    </row>
    <row r="1744" spans="1:2">
      <c r="A1744" s="280" t="s">
        <v>2348</v>
      </c>
      <c r="B1744" s="65">
        <v>13919</v>
      </c>
    </row>
    <row r="1745" spans="1:2">
      <c r="A1745" s="280" t="s">
        <v>2454</v>
      </c>
      <c r="B1745" s="65">
        <v>118779</v>
      </c>
    </row>
    <row r="1746" spans="1:2">
      <c r="A1746" s="280" t="s">
        <v>2456</v>
      </c>
      <c r="B1746" s="65">
        <v>108869</v>
      </c>
    </row>
    <row r="1747" spans="1:2">
      <c r="A1747" s="280" t="s">
        <v>2457</v>
      </c>
      <c r="B1747" s="65">
        <v>136008</v>
      </c>
    </row>
    <row r="1748" spans="1:2">
      <c r="A1748" s="280" t="s">
        <v>2458</v>
      </c>
      <c r="B1748" s="65">
        <v>17481</v>
      </c>
    </row>
    <row r="1749" spans="1:2">
      <c r="A1749" s="280" t="s">
        <v>2459</v>
      </c>
      <c r="B1749" s="65">
        <v>110809</v>
      </c>
    </row>
    <row r="1750" spans="1:2">
      <c r="A1750" s="280" t="s">
        <v>2565</v>
      </c>
      <c r="B1750" s="65">
        <v>14103</v>
      </c>
    </row>
    <row r="1751" spans="1:2">
      <c r="A1751" s="280" t="s">
        <v>2568</v>
      </c>
      <c r="B1751" s="65">
        <v>14111</v>
      </c>
    </row>
    <row r="1752" spans="1:2">
      <c r="A1752" s="280" t="s">
        <v>2570</v>
      </c>
      <c r="B1752" s="65">
        <v>157609</v>
      </c>
    </row>
    <row r="1753" spans="1:2">
      <c r="A1753" s="280" t="s">
        <v>2349</v>
      </c>
      <c r="B1753" s="65">
        <v>155718</v>
      </c>
    </row>
    <row r="1754" spans="1:2">
      <c r="A1754" s="280" t="s">
        <v>2460</v>
      </c>
      <c r="B1754" s="66" t="s">
        <v>6781</v>
      </c>
    </row>
    <row r="1755" spans="1:2">
      <c r="A1755" s="280" t="s">
        <v>2461</v>
      </c>
      <c r="B1755" s="66" t="s">
        <v>6781</v>
      </c>
    </row>
    <row r="1756" spans="1:2">
      <c r="A1756" s="280" t="s">
        <v>2462</v>
      </c>
      <c r="B1756" s="66" t="s">
        <v>6781</v>
      </c>
    </row>
    <row r="1757" spans="1:2">
      <c r="A1757" s="280" t="s">
        <v>2463</v>
      </c>
      <c r="B1757" s="65">
        <v>143747</v>
      </c>
    </row>
    <row r="1758" spans="1:2">
      <c r="A1758" s="280" t="s">
        <v>2464</v>
      </c>
      <c r="B1758" s="65">
        <v>695</v>
      </c>
    </row>
    <row r="1759" spans="1:2">
      <c r="A1759" s="280" t="s">
        <v>2571</v>
      </c>
      <c r="B1759" s="65">
        <v>39717</v>
      </c>
    </row>
    <row r="1760" spans="1:2">
      <c r="A1760" s="280" t="s">
        <v>2572</v>
      </c>
      <c r="B1760" s="65">
        <v>178499</v>
      </c>
    </row>
    <row r="1761" spans="1:2">
      <c r="A1761" s="280" t="s">
        <v>2573</v>
      </c>
      <c r="B1761" s="65">
        <v>199</v>
      </c>
    </row>
    <row r="1762" spans="1:2">
      <c r="A1762" s="280" t="s">
        <v>2574</v>
      </c>
      <c r="B1762" s="65">
        <v>125900</v>
      </c>
    </row>
    <row r="1763" spans="1:2">
      <c r="A1763" s="280" t="s">
        <v>2355</v>
      </c>
      <c r="B1763" s="65">
        <v>31494</v>
      </c>
    </row>
    <row r="1764" spans="1:2">
      <c r="A1764" s="280" t="s">
        <v>2357</v>
      </c>
      <c r="B1764" s="65">
        <v>561</v>
      </c>
    </row>
    <row r="1765" spans="1:2">
      <c r="A1765" s="280" t="s">
        <v>2467</v>
      </c>
      <c r="B1765" s="65">
        <v>2647</v>
      </c>
    </row>
    <row r="1766" spans="1:2">
      <c r="A1766" s="280" t="s">
        <v>2468</v>
      </c>
      <c r="B1766" s="66" t="s">
        <v>6781</v>
      </c>
    </row>
    <row r="1767" spans="1:2">
      <c r="A1767" s="280" t="s">
        <v>2470</v>
      </c>
      <c r="B1767" s="65">
        <v>400</v>
      </c>
    </row>
    <row r="1768" spans="1:2">
      <c r="A1768" s="280" t="s">
        <v>2577</v>
      </c>
      <c r="B1768" s="65">
        <v>31450</v>
      </c>
    </row>
    <row r="1769" spans="1:2">
      <c r="A1769" s="280" t="s">
        <v>2579</v>
      </c>
      <c r="B1769" s="65">
        <v>101321</v>
      </c>
    </row>
    <row r="1770" spans="1:2">
      <c r="A1770" s="280" t="s">
        <v>2580</v>
      </c>
      <c r="B1770" s="65">
        <v>138844</v>
      </c>
    </row>
    <row r="1771" spans="1:2">
      <c r="A1771" s="280" t="s">
        <v>2582</v>
      </c>
      <c r="B1771" s="65">
        <v>118318</v>
      </c>
    </row>
    <row r="1772" spans="1:2">
      <c r="A1772" s="280" t="s">
        <v>2361</v>
      </c>
      <c r="B1772" s="65">
        <v>1964</v>
      </c>
    </row>
    <row r="1773" spans="1:2">
      <c r="A1773" s="280" t="s">
        <v>2362</v>
      </c>
      <c r="B1773" s="66" t="s">
        <v>6781</v>
      </c>
    </row>
    <row r="1774" spans="1:2">
      <c r="A1774" s="280" t="s">
        <v>2363</v>
      </c>
      <c r="B1774" s="65">
        <v>628</v>
      </c>
    </row>
    <row r="1775" spans="1:2">
      <c r="A1775" s="280" t="s">
        <v>2364</v>
      </c>
      <c r="B1775" s="65">
        <v>1724</v>
      </c>
    </row>
    <row r="1776" spans="1:2">
      <c r="A1776" s="280" t="s">
        <v>2365</v>
      </c>
      <c r="B1776" s="66" t="s">
        <v>6781</v>
      </c>
    </row>
    <row r="1777" spans="1:2">
      <c r="A1777" s="280" t="s">
        <v>2366</v>
      </c>
      <c r="B1777" s="65">
        <v>156911</v>
      </c>
    </row>
    <row r="1778" spans="1:2">
      <c r="A1778" s="280" t="s">
        <v>2474</v>
      </c>
      <c r="B1778" s="65">
        <v>99854</v>
      </c>
    </row>
    <row r="1779" spans="1:2">
      <c r="A1779" s="280" t="s">
        <v>2475</v>
      </c>
      <c r="B1779" s="65">
        <v>88353</v>
      </c>
    </row>
    <row r="1780" spans="1:2">
      <c r="A1780" s="280" t="s">
        <v>2476</v>
      </c>
      <c r="B1780" s="65">
        <v>105102</v>
      </c>
    </row>
    <row r="1781" spans="1:2">
      <c r="A1781" s="280" t="s">
        <v>2477</v>
      </c>
      <c r="B1781" s="65">
        <v>918</v>
      </c>
    </row>
    <row r="1782" spans="1:2">
      <c r="A1782" s="280" t="s">
        <v>2583</v>
      </c>
      <c r="B1782" s="65">
        <v>77267</v>
      </c>
    </row>
    <row r="1783" spans="1:2">
      <c r="A1783" s="280" t="s">
        <v>2584</v>
      </c>
      <c r="B1783" s="65">
        <v>763</v>
      </c>
    </row>
    <row r="1784" spans="1:2">
      <c r="A1784" s="280" t="s">
        <v>2585</v>
      </c>
      <c r="B1784" s="65">
        <v>626</v>
      </c>
    </row>
    <row r="1785" spans="1:2">
      <c r="A1785" s="280" t="s">
        <v>2586</v>
      </c>
      <c r="B1785" s="65">
        <v>80419</v>
      </c>
    </row>
    <row r="1786" spans="1:2">
      <c r="A1786" s="280" t="s">
        <v>2587</v>
      </c>
      <c r="B1786" s="65">
        <v>31459</v>
      </c>
    </row>
    <row r="1787" spans="1:2">
      <c r="A1787" s="280" t="s">
        <v>2588</v>
      </c>
      <c r="B1787" s="65">
        <v>113995</v>
      </c>
    </row>
    <row r="1788" spans="1:2">
      <c r="A1788" s="280" t="s">
        <v>2367</v>
      </c>
      <c r="B1788" s="65">
        <v>86625</v>
      </c>
    </row>
    <row r="1789" spans="1:2">
      <c r="A1789" s="280" t="s">
        <v>2368</v>
      </c>
      <c r="B1789" s="65">
        <v>20110</v>
      </c>
    </row>
    <row r="1790" spans="1:2">
      <c r="A1790" s="280" t="s">
        <v>2369</v>
      </c>
      <c r="B1790" s="65">
        <v>700</v>
      </c>
    </row>
    <row r="1791" spans="1:2">
      <c r="A1791" s="280" t="s">
        <v>2370</v>
      </c>
      <c r="B1791" s="65">
        <v>129854</v>
      </c>
    </row>
    <row r="1792" spans="1:2">
      <c r="A1792" s="280" t="s">
        <v>2371</v>
      </c>
      <c r="B1792" s="65">
        <v>156192</v>
      </c>
    </row>
    <row r="1793" spans="1:2">
      <c r="A1793" s="280" t="s">
        <v>2372</v>
      </c>
      <c r="B1793" s="65">
        <v>87</v>
      </c>
    </row>
    <row r="1794" spans="1:2">
      <c r="A1794" s="280" t="s">
        <v>2478</v>
      </c>
      <c r="B1794" s="66" t="s">
        <v>6781</v>
      </c>
    </row>
    <row r="1795" spans="1:2">
      <c r="A1795" s="280" t="s">
        <v>2479</v>
      </c>
      <c r="B1795" s="65">
        <v>124936</v>
      </c>
    </row>
    <row r="1796" spans="1:2">
      <c r="A1796" s="280" t="s">
        <v>2480</v>
      </c>
      <c r="B1796" s="65">
        <v>20309</v>
      </c>
    </row>
    <row r="1797" spans="1:2">
      <c r="A1797" s="280" t="s">
        <v>2481</v>
      </c>
      <c r="B1797" s="65">
        <v>65204</v>
      </c>
    </row>
    <row r="1798" spans="1:2">
      <c r="A1798" s="280" t="s">
        <v>2482</v>
      </c>
      <c r="B1798" s="65">
        <v>112655</v>
      </c>
    </row>
    <row r="1799" spans="1:2">
      <c r="A1799" s="280" t="s">
        <v>2483</v>
      </c>
      <c r="B1799" s="65">
        <v>20823</v>
      </c>
    </row>
    <row r="1800" spans="1:2">
      <c r="A1800" s="280" t="s">
        <v>2589</v>
      </c>
      <c r="B1800" s="65">
        <v>264</v>
      </c>
    </row>
    <row r="1801" spans="1:2">
      <c r="A1801" s="280" t="s">
        <v>2590</v>
      </c>
      <c r="B1801" s="65">
        <v>138945</v>
      </c>
    </row>
    <row r="1802" spans="1:2">
      <c r="A1802" s="280" t="s">
        <v>2591</v>
      </c>
      <c r="B1802" s="65">
        <v>258</v>
      </c>
    </row>
    <row r="1803" spans="1:2">
      <c r="A1803" s="280" t="s">
        <v>2592</v>
      </c>
      <c r="B1803" s="65">
        <v>105512</v>
      </c>
    </row>
    <row r="1804" spans="1:2">
      <c r="A1804" s="280" t="s">
        <v>2593</v>
      </c>
      <c r="B1804" s="65">
        <v>7326</v>
      </c>
    </row>
    <row r="1805" spans="1:2">
      <c r="A1805" s="280" t="s">
        <v>2594</v>
      </c>
      <c r="B1805" s="65">
        <v>1372</v>
      </c>
    </row>
    <row r="1806" spans="1:2">
      <c r="A1806" s="280" t="s">
        <v>2373</v>
      </c>
      <c r="B1806" s="65">
        <v>12360</v>
      </c>
    </row>
    <row r="1807" spans="1:2">
      <c r="A1807" s="280" t="s">
        <v>2374</v>
      </c>
      <c r="B1807" s="65">
        <v>101027</v>
      </c>
    </row>
    <row r="1808" spans="1:2">
      <c r="A1808" s="280" t="s">
        <v>2375</v>
      </c>
      <c r="B1808" s="65">
        <v>81252</v>
      </c>
    </row>
    <row r="1809" spans="1:2">
      <c r="A1809" s="280" t="s">
        <v>2376</v>
      </c>
      <c r="B1809" s="65">
        <v>133696</v>
      </c>
    </row>
    <row r="1810" spans="1:2">
      <c r="A1810" s="280" t="s">
        <v>2378</v>
      </c>
      <c r="B1810" s="65">
        <v>429</v>
      </c>
    </row>
    <row r="1811" spans="1:2">
      <c r="A1811" s="280" t="s">
        <v>2484</v>
      </c>
      <c r="B1811" s="65">
        <v>130558</v>
      </c>
    </row>
    <row r="1812" spans="1:2">
      <c r="A1812" s="280" t="s">
        <v>2485</v>
      </c>
      <c r="B1812" s="65">
        <v>138845</v>
      </c>
    </row>
    <row r="1813" spans="1:2">
      <c r="A1813" s="280" t="s">
        <v>2486</v>
      </c>
      <c r="B1813" s="66" t="s">
        <v>6781</v>
      </c>
    </row>
    <row r="1814" spans="1:2">
      <c r="A1814" s="280" t="s">
        <v>2487</v>
      </c>
      <c r="B1814" s="65">
        <v>114768</v>
      </c>
    </row>
    <row r="1815" spans="1:2">
      <c r="A1815" s="280" t="s">
        <v>2489</v>
      </c>
      <c r="B1815" s="65">
        <v>97477</v>
      </c>
    </row>
    <row r="1816" spans="1:2">
      <c r="A1816" s="280" t="s">
        <v>2595</v>
      </c>
      <c r="B1816" s="65">
        <v>11671</v>
      </c>
    </row>
    <row r="1817" spans="1:2">
      <c r="A1817" s="280" t="s">
        <v>2596</v>
      </c>
      <c r="B1817" s="65">
        <v>110810</v>
      </c>
    </row>
    <row r="1818" spans="1:2">
      <c r="A1818" s="280" t="s">
        <v>2597</v>
      </c>
      <c r="B1818" s="65">
        <v>103226</v>
      </c>
    </row>
    <row r="1819" spans="1:2">
      <c r="A1819" s="280" t="s">
        <v>2598</v>
      </c>
      <c r="B1819" s="65">
        <v>132597</v>
      </c>
    </row>
    <row r="1820" spans="1:2">
      <c r="A1820" s="280" t="s">
        <v>2600</v>
      </c>
      <c r="B1820" s="65">
        <v>97208</v>
      </c>
    </row>
    <row r="1821" spans="1:2">
      <c r="A1821" s="280" t="s">
        <v>1998</v>
      </c>
      <c r="B1821" s="65">
        <v>112686</v>
      </c>
    </row>
    <row r="1822" spans="1:2">
      <c r="A1822" s="280" t="s">
        <v>2157</v>
      </c>
      <c r="B1822" s="65">
        <v>109850</v>
      </c>
    </row>
    <row r="1823" spans="1:2">
      <c r="A1823" s="280" t="s">
        <v>2169</v>
      </c>
      <c r="B1823" s="65">
        <v>123944</v>
      </c>
    </row>
    <row r="1824" spans="1:2">
      <c r="A1824" s="280" t="s">
        <v>2216</v>
      </c>
      <c r="B1824" s="65">
        <v>63520</v>
      </c>
    </row>
    <row r="1825" spans="1:2">
      <c r="A1825" s="280" t="s">
        <v>2264</v>
      </c>
      <c r="B1825" s="65">
        <v>157617</v>
      </c>
    </row>
    <row r="1826" spans="1:2">
      <c r="A1826" s="280" t="s">
        <v>2272</v>
      </c>
      <c r="B1826" s="65">
        <v>116941</v>
      </c>
    </row>
    <row r="1827" spans="1:2">
      <c r="A1827" s="280" t="s">
        <v>1999</v>
      </c>
      <c r="B1827" s="65">
        <v>34</v>
      </c>
    </row>
    <row r="1828" spans="1:2">
      <c r="A1828" s="280" t="s">
        <v>2049</v>
      </c>
      <c r="B1828" s="65">
        <v>156867</v>
      </c>
    </row>
    <row r="1829" spans="1:2">
      <c r="A1829" s="280" t="s">
        <v>2061</v>
      </c>
      <c r="B1829" s="65">
        <v>1079</v>
      </c>
    </row>
    <row r="1830" spans="1:2">
      <c r="A1830" s="280" t="s">
        <v>2108</v>
      </c>
      <c r="B1830" s="65">
        <v>324</v>
      </c>
    </row>
    <row r="1831" spans="1:2">
      <c r="A1831" s="280" t="s">
        <v>2158</v>
      </c>
      <c r="B1831" s="65">
        <v>13570</v>
      </c>
    </row>
    <row r="1832" spans="1:2">
      <c r="A1832" s="280" t="s">
        <v>2170</v>
      </c>
      <c r="B1832" s="65">
        <v>79504</v>
      </c>
    </row>
    <row r="1833" spans="1:2">
      <c r="A1833" s="280" t="s">
        <v>2217</v>
      </c>
      <c r="B1833" s="65">
        <v>268</v>
      </c>
    </row>
    <row r="1834" spans="1:2">
      <c r="A1834" s="280" t="s">
        <v>2265</v>
      </c>
      <c r="B1834" s="65">
        <v>20676</v>
      </c>
    </row>
    <row r="1835" spans="1:2">
      <c r="A1835" s="280" t="s">
        <v>2273</v>
      </c>
      <c r="B1835" s="65">
        <v>5425</v>
      </c>
    </row>
    <row r="1836" spans="1:2">
      <c r="A1836" s="280" t="s">
        <v>2000</v>
      </c>
      <c r="B1836" s="65">
        <v>114950</v>
      </c>
    </row>
    <row r="1837" spans="1:2">
      <c r="A1837" s="280" t="s">
        <v>2050</v>
      </c>
      <c r="B1837" s="65">
        <v>157041</v>
      </c>
    </row>
    <row r="1838" spans="1:2">
      <c r="A1838" s="280" t="s">
        <v>2062</v>
      </c>
      <c r="B1838" s="65">
        <v>120175</v>
      </c>
    </row>
    <row r="1839" spans="1:2">
      <c r="A1839" s="280" t="s">
        <v>2109</v>
      </c>
      <c r="B1839" s="65">
        <v>14732</v>
      </c>
    </row>
    <row r="1840" spans="1:2">
      <c r="A1840" s="280" t="s">
        <v>2159</v>
      </c>
      <c r="B1840" s="65">
        <v>1067</v>
      </c>
    </row>
    <row r="1841" spans="1:2">
      <c r="A1841" s="280" t="s">
        <v>2171</v>
      </c>
      <c r="B1841" s="65">
        <v>157512</v>
      </c>
    </row>
    <row r="1842" spans="1:2">
      <c r="A1842" s="280" t="s">
        <v>2218</v>
      </c>
      <c r="B1842" s="66" t="s">
        <v>6781</v>
      </c>
    </row>
    <row r="1843" spans="1:2">
      <c r="A1843" s="280" t="s">
        <v>2001</v>
      </c>
      <c r="B1843" s="65">
        <v>1931</v>
      </c>
    </row>
    <row r="1844" spans="1:2">
      <c r="A1844" s="280" t="s">
        <v>2051</v>
      </c>
      <c r="B1844" s="65">
        <v>113326</v>
      </c>
    </row>
    <row r="1845" spans="1:2">
      <c r="A1845" s="280" t="s">
        <v>2063</v>
      </c>
      <c r="B1845" s="65">
        <v>16011</v>
      </c>
    </row>
    <row r="1846" spans="1:2">
      <c r="A1846" s="280" t="s">
        <v>2110</v>
      </c>
      <c r="B1846" s="65">
        <v>82352</v>
      </c>
    </row>
    <row r="1847" spans="1:2">
      <c r="A1847" s="280" t="s">
        <v>2160</v>
      </c>
      <c r="B1847" s="65">
        <v>83917</v>
      </c>
    </row>
    <row r="1848" spans="1:2">
      <c r="A1848" s="280" t="s">
        <v>2172</v>
      </c>
      <c r="B1848" s="65">
        <v>3710</v>
      </c>
    </row>
    <row r="1849" spans="1:2">
      <c r="A1849" s="280" t="s">
        <v>2219</v>
      </c>
      <c r="B1849" s="65">
        <v>61494</v>
      </c>
    </row>
    <row r="1850" spans="1:2">
      <c r="A1850" s="280" t="s">
        <v>2002</v>
      </c>
      <c r="B1850" s="65">
        <v>35162</v>
      </c>
    </row>
    <row r="1851" spans="1:2">
      <c r="A1851" s="280" t="s">
        <v>2052</v>
      </c>
      <c r="B1851" s="65">
        <v>35254</v>
      </c>
    </row>
    <row r="1852" spans="1:2">
      <c r="A1852" s="280" t="s">
        <v>2064</v>
      </c>
      <c r="B1852" s="65">
        <v>138289</v>
      </c>
    </row>
    <row r="1853" spans="1:2">
      <c r="A1853" s="280" t="s">
        <v>2111</v>
      </c>
      <c r="B1853" s="65">
        <v>14500</v>
      </c>
    </row>
    <row r="1854" spans="1:2">
      <c r="A1854" s="280" t="s">
        <v>2161</v>
      </c>
      <c r="B1854" s="65">
        <v>36992</v>
      </c>
    </row>
    <row r="1855" spans="1:2">
      <c r="A1855" s="280" t="s">
        <v>2173</v>
      </c>
      <c r="B1855" s="65">
        <v>35267</v>
      </c>
    </row>
    <row r="1856" spans="1:2">
      <c r="A1856" s="280" t="s">
        <v>2220</v>
      </c>
      <c r="B1856" s="65">
        <v>33601</v>
      </c>
    </row>
    <row r="1857" spans="1:2">
      <c r="A1857" s="280" t="s">
        <v>2266</v>
      </c>
      <c r="B1857" s="65">
        <v>73874</v>
      </c>
    </row>
    <row r="1858" spans="1:2">
      <c r="A1858" s="280" t="s">
        <v>2274</v>
      </c>
      <c r="B1858" s="65">
        <v>83661</v>
      </c>
    </row>
    <row r="1859" spans="1:2">
      <c r="A1859" s="280" t="s">
        <v>2053</v>
      </c>
      <c r="B1859" s="65">
        <v>90501</v>
      </c>
    </row>
    <row r="1860" spans="1:2">
      <c r="A1860" s="280" t="s">
        <v>2065</v>
      </c>
      <c r="B1860" s="65">
        <v>130157</v>
      </c>
    </row>
    <row r="1861" spans="1:2">
      <c r="A1861" s="280" t="s">
        <v>2162</v>
      </c>
      <c r="B1861" s="65">
        <v>8366</v>
      </c>
    </row>
    <row r="1862" spans="1:2">
      <c r="A1862" s="280" t="s">
        <v>2174</v>
      </c>
      <c r="B1862" s="65">
        <v>60168</v>
      </c>
    </row>
    <row r="1863" spans="1:2">
      <c r="A1863" s="280" t="s">
        <v>2221</v>
      </c>
      <c r="B1863" s="65">
        <v>156347</v>
      </c>
    </row>
    <row r="1864" spans="1:2">
      <c r="A1864" s="280" t="s">
        <v>2267</v>
      </c>
      <c r="B1864" s="65">
        <v>59364</v>
      </c>
    </row>
    <row r="1865" spans="1:2">
      <c r="A1865" s="280" t="s">
        <v>2275</v>
      </c>
      <c r="B1865" s="65">
        <v>35277</v>
      </c>
    </row>
    <row r="1866" spans="1:2">
      <c r="A1866" s="280" t="s">
        <v>2630</v>
      </c>
      <c r="B1866" s="65">
        <v>65580</v>
      </c>
    </row>
    <row r="1867" spans="1:2">
      <c r="A1867" s="280" t="s">
        <v>2619</v>
      </c>
      <c r="B1867" s="66" t="s">
        <v>6781</v>
      </c>
    </row>
    <row r="1868" spans="1:2">
      <c r="A1868" s="280" t="s">
        <v>2631</v>
      </c>
      <c r="B1868" s="65">
        <v>7814</v>
      </c>
    </row>
    <row r="1869" spans="1:2">
      <c r="A1869" s="280" t="s">
        <v>2222</v>
      </c>
      <c r="B1869" s="66" t="s">
        <v>6781</v>
      </c>
    </row>
    <row r="1870" spans="1:2">
      <c r="A1870" s="280" t="s">
        <v>2223</v>
      </c>
      <c r="B1870" s="65">
        <v>110674</v>
      </c>
    </row>
    <row r="1871" spans="1:2">
      <c r="A1871" s="280" t="s">
        <v>2224</v>
      </c>
      <c r="B1871" s="65">
        <v>22681</v>
      </c>
    </row>
    <row r="1872" spans="1:2">
      <c r="A1872" s="280" t="s">
        <v>2620</v>
      </c>
      <c r="B1872" s="65">
        <v>100907</v>
      </c>
    </row>
    <row r="1873" spans="1:2">
      <c r="A1873" s="280" t="s">
        <v>2622</v>
      </c>
      <c r="B1873" s="66" t="s">
        <v>6781</v>
      </c>
    </row>
    <row r="1874" spans="1:2">
      <c r="A1874" s="280" t="s">
        <v>2623</v>
      </c>
      <c r="B1874" s="65">
        <v>143835</v>
      </c>
    </row>
    <row r="1875" spans="1:2">
      <c r="A1875" s="280" t="s">
        <v>2113</v>
      </c>
      <c r="B1875" s="65">
        <v>82521</v>
      </c>
    </row>
    <row r="1876" spans="1:2">
      <c r="A1876" s="280" t="s">
        <v>2114</v>
      </c>
      <c r="B1876" s="66" t="s">
        <v>6781</v>
      </c>
    </row>
    <row r="1877" spans="1:2">
      <c r="A1877" s="280" t="s">
        <v>2115</v>
      </c>
      <c r="B1877" s="65">
        <v>137591</v>
      </c>
    </row>
    <row r="1878" spans="1:2">
      <c r="A1878" s="280" t="s">
        <v>2625</v>
      </c>
      <c r="B1878" s="65">
        <v>25814</v>
      </c>
    </row>
    <row r="1879" spans="1:2">
      <c r="A1879" s="280" t="s">
        <v>2626</v>
      </c>
      <c r="B1879" s="65">
        <v>118955</v>
      </c>
    </row>
    <row r="1880" spans="1:2">
      <c r="A1880" s="280" t="s">
        <v>2627</v>
      </c>
      <c r="B1880" s="65">
        <v>128030</v>
      </c>
    </row>
    <row r="1881" spans="1:2">
      <c r="A1881" s="280" t="s">
        <v>2004</v>
      </c>
      <c r="B1881" s="65">
        <v>133777</v>
      </c>
    </row>
    <row r="1882" spans="1:2">
      <c r="A1882" s="280" t="s">
        <v>2005</v>
      </c>
      <c r="B1882" s="65">
        <v>129853</v>
      </c>
    </row>
    <row r="1883" spans="1:2">
      <c r="A1883" s="280" t="s">
        <v>2006</v>
      </c>
      <c r="B1883" s="65">
        <v>136454</v>
      </c>
    </row>
    <row r="1884" spans="1:2">
      <c r="A1884" s="280" t="s">
        <v>2225</v>
      </c>
      <c r="B1884" s="65">
        <v>120</v>
      </c>
    </row>
    <row r="1885" spans="1:2">
      <c r="A1885" s="280" t="s">
        <v>2227</v>
      </c>
      <c r="B1885" s="65">
        <v>101246</v>
      </c>
    </row>
    <row r="1886" spans="1:2">
      <c r="A1886" s="280" t="s">
        <v>2228</v>
      </c>
      <c r="B1886" s="65">
        <v>91601</v>
      </c>
    </row>
    <row r="1887" spans="1:2">
      <c r="A1887" s="280" t="s">
        <v>2229</v>
      </c>
      <c r="B1887" s="65">
        <v>156830</v>
      </c>
    </row>
    <row r="1888" spans="1:2">
      <c r="A1888" s="280" t="s">
        <v>2230</v>
      </c>
      <c r="B1888" s="65">
        <v>110681</v>
      </c>
    </row>
    <row r="1889" spans="1:2">
      <c r="A1889" s="280" t="s">
        <v>2116</v>
      </c>
      <c r="B1889" s="65">
        <v>65585</v>
      </c>
    </row>
    <row r="1890" spans="1:2">
      <c r="A1890" s="280" t="s">
        <v>2117</v>
      </c>
      <c r="B1890" s="65">
        <v>158212</v>
      </c>
    </row>
    <row r="1891" spans="1:2">
      <c r="A1891" s="280" t="s">
        <v>2118</v>
      </c>
      <c r="B1891" s="65">
        <v>60318</v>
      </c>
    </row>
    <row r="1892" spans="1:2">
      <c r="A1892" s="280" t="s">
        <v>2119</v>
      </c>
      <c r="B1892" s="65">
        <v>566</v>
      </c>
    </row>
    <row r="1893" spans="1:2">
      <c r="A1893" s="280" t="s">
        <v>2120</v>
      </c>
      <c r="B1893" s="66" t="s">
        <v>6781</v>
      </c>
    </row>
    <row r="1894" spans="1:2">
      <c r="A1894" s="280" t="s">
        <v>2121</v>
      </c>
      <c r="B1894" s="66" t="s">
        <v>6781</v>
      </c>
    </row>
    <row r="1895" spans="1:2">
      <c r="A1895" s="280" t="s">
        <v>2007</v>
      </c>
      <c r="B1895" s="65">
        <v>115194</v>
      </c>
    </row>
    <row r="1896" spans="1:2">
      <c r="A1896" s="280" t="s">
        <v>2008</v>
      </c>
      <c r="B1896" s="65">
        <v>129750</v>
      </c>
    </row>
    <row r="1897" spans="1:2">
      <c r="A1897" s="280" t="s">
        <v>2009</v>
      </c>
      <c r="B1897" s="65">
        <v>60043</v>
      </c>
    </row>
    <row r="1898" spans="1:2">
      <c r="A1898" s="280" t="s">
        <v>2010</v>
      </c>
      <c r="B1898" s="66" t="s">
        <v>6781</v>
      </c>
    </row>
    <row r="1899" spans="1:2">
      <c r="A1899" s="280" t="s">
        <v>2011</v>
      </c>
      <c r="B1899" s="65">
        <v>570</v>
      </c>
    </row>
    <row r="1900" spans="1:2">
      <c r="A1900" s="280" t="s">
        <v>2012</v>
      </c>
      <c r="B1900" s="65">
        <v>159191</v>
      </c>
    </row>
    <row r="1901" spans="1:2">
      <c r="A1901" s="280" t="s">
        <v>2231</v>
      </c>
      <c r="B1901" s="66" t="s">
        <v>6781</v>
      </c>
    </row>
    <row r="1902" spans="1:2">
      <c r="A1902" s="280" t="s">
        <v>2232</v>
      </c>
      <c r="B1902" s="65">
        <v>132822</v>
      </c>
    </row>
    <row r="1903" spans="1:2">
      <c r="A1903" s="280" t="s">
        <v>2233</v>
      </c>
      <c r="B1903" s="65">
        <v>1999</v>
      </c>
    </row>
    <row r="1904" spans="1:2">
      <c r="A1904" s="280" t="s">
        <v>2234</v>
      </c>
      <c r="B1904" s="65">
        <v>47420</v>
      </c>
    </row>
    <row r="1905" spans="1:2">
      <c r="A1905" s="280" t="s">
        <v>2235</v>
      </c>
      <c r="B1905" s="65">
        <v>97116</v>
      </c>
    </row>
    <row r="1906" spans="1:2">
      <c r="A1906" s="280" t="s">
        <v>2236</v>
      </c>
      <c r="B1906" s="65">
        <v>138554</v>
      </c>
    </row>
    <row r="1907" spans="1:2">
      <c r="A1907" s="280" t="s">
        <v>2122</v>
      </c>
      <c r="B1907" s="65">
        <v>157623</v>
      </c>
    </row>
    <row r="1908" spans="1:2">
      <c r="A1908" s="280" t="s">
        <v>2123</v>
      </c>
      <c r="B1908" s="66" t="s">
        <v>6781</v>
      </c>
    </row>
    <row r="1909" spans="1:2">
      <c r="A1909" s="280" t="s">
        <v>2124</v>
      </c>
      <c r="B1909" s="66" t="s">
        <v>6781</v>
      </c>
    </row>
    <row r="1910" spans="1:2">
      <c r="A1910" s="280" t="s">
        <v>2127</v>
      </c>
      <c r="B1910" s="65">
        <v>119965</v>
      </c>
    </row>
    <row r="1911" spans="1:2">
      <c r="A1911" s="280" t="s">
        <v>2013</v>
      </c>
      <c r="B1911" s="65">
        <v>37944</v>
      </c>
    </row>
    <row r="1912" spans="1:2">
      <c r="A1912" s="280" t="s">
        <v>2015</v>
      </c>
      <c r="B1912" s="65">
        <v>67577</v>
      </c>
    </row>
    <row r="1913" spans="1:2">
      <c r="A1913" s="280" t="s">
        <v>2016</v>
      </c>
      <c r="B1913" s="65">
        <v>12158</v>
      </c>
    </row>
    <row r="1914" spans="1:2">
      <c r="A1914" s="280" t="s">
        <v>2017</v>
      </c>
      <c r="B1914" s="65">
        <v>110199</v>
      </c>
    </row>
    <row r="1915" spans="1:2">
      <c r="A1915" s="280" t="s">
        <v>2237</v>
      </c>
      <c r="B1915" s="65">
        <v>105355</v>
      </c>
    </row>
    <row r="1916" spans="1:2">
      <c r="A1916" s="280" t="s">
        <v>2238</v>
      </c>
      <c r="B1916" s="65">
        <v>100965</v>
      </c>
    </row>
    <row r="1917" spans="1:2">
      <c r="A1917" s="280" t="s">
        <v>2239</v>
      </c>
      <c r="B1917" s="66" t="s">
        <v>6781</v>
      </c>
    </row>
    <row r="1918" spans="1:2">
      <c r="A1918" s="280" t="s">
        <v>2240</v>
      </c>
      <c r="B1918" s="65">
        <v>135746</v>
      </c>
    </row>
    <row r="1919" spans="1:2">
      <c r="A1919" s="280" t="s">
        <v>2241</v>
      </c>
      <c r="B1919" s="65">
        <v>132595</v>
      </c>
    </row>
    <row r="1920" spans="1:2">
      <c r="A1920" s="280" t="s">
        <v>2242</v>
      </c>
      <c r="B1920" s="65">
        <v>139410</v>
      </c>
    </row>
    <row r="1921" spans="1:2">
      <c r="A1921" s="280" t="s">
        <v>2128</v>
      </c>
      <c r="B1921" s="65">
        <v>157514</v>
      </c>
    </row>
    <row r="1922" spans="1:2">
      <c r="A1922" s="280" t="s">
        <v>2129</v>
      </c>
      <c r="B1922" s="66" t="s">
        <v>6781</v>
      </c>
    </row>
    <row r="1923" spans="1:2">
      <c r="A1923" s="280" t="s">
        <v>2130</v>
      </c>
      <c r="B1923" s="66" t="s">
        <v>6781</v>
      </c>
    </row>
    <row r="1924" spans="1:2">
      <c r="A1924" s="280" t="s">
        <v>2131</v>
      </c>
      <c r="B1924" s="65">
        <v>58974</v>
      </c>
    </row>
    <row r="1925" spans="1:2">
      <c r="A1925" s="280" t="s">
        <v>2132</v>
      </c>
      <c r="B1925" s="65">
        <v>112289</v>
      </c>
    </row>
    <row r="1926" spans="1:2">
      <c r="A1926" s="280" t="s">
        <v>2133</v>
      </c>
      <c r="B1926" s="66" t="s">
        <v>6781</v>
      </c>
    </row>
    <row r="1927" spans="1:2">
      <c r="A1927" s="280" t="s">
        <v>2019</v>
      </c>
      <c r="B1927" s="65">
        <v>17422</v>
      </c>
    </row>
    <row r="1928" spans="1:2">
      <c r="A1928" s="280" t="s">
        <v>2020</v>
      </c>
      <c r="B1928" s="65">
        <v>86031</v>
      </c>
    </row>
    <row r="1929" spans="1:2">
      <c r="A1929" s="280" t="s">
        <v>2021</v>
      </c>
      <c r="B1929" s="65">
        <v>132709</v>
      </c>
    </row>
    <row r="1930" spans="1:2">
      <c r="A1930" s="280" t="s">
        <v>2022</v>
      </c>
      <c r="B1930" s="65">
        <v>142311</v>
      </c>
    </row>
    <row r="1931" spans="1:2">
      <c r="A1931" s="280" t="s">
        <v>2023</v>
      </c>
      <c r="B1931" s="66" t="s">
        <v>6781</v>
      </c>
    </row>
    <row r="1932" spans="1:2">
      <c r="A1932" s="280" t="s">
        <v>2024</v>
      </c>
      <c r="B1932" s="65">
        <v>79428</v>
      </c>
    </row>
    <row r="1933" spans="1:2">
      <c r="A1933" s="280" t="s">
        <v>2243</v>
      </c>
      <c r="B1933" s="65">
        <v>39735</v>
      </c>
    </row>
    <row r="1934" spans="1:2">
      <c r="A1934" s="280" t="s">
        <v>2244</v>
      </c>
      <c r="B1934" s="65">
        <v>100263</v>
      </c>
    </row>
    <row r="1935" spans="1:2">
      <c r="A1935" s="280" t="s">
        <v>2245</v>
      </c>
      <c r="B1935" s="65">
        <v>131531</v>
      </c>
    </row>
    <row r="1936" spans="1:2">
      <c r="A1936" s="280" t="s">
        <v>2246</v>
      </c>
      <c r="B1936" s="65">
        <v>53271</v>
      </c>
    </row>
    <row r="1937" spans="1:2">
      <c r="A1937" s="280" t="s">
        <v>2247</v>
      </c>
      <c r="B1937" s="65">
        <v>57665</v>
      </c>
    </row>
    <row r="1938" spans="1:2">
      <c r="A1938" s="280" t="s">
        <v>2248</v>
      </c>
      <c r="B1938" s="65">
        <v>129516</v>
      </c>
    </row>
    <row r="1939" spans="1:2">
      <c r="A1939" s="280" t="s">
        <v>2134</v>
      </c>
      <c r="B1939" s="65">
        <v>123728</v>
      </c>
    </row>
    <row r="1940" spans="1:2">
      <c r="A1940" s="280" t="s">
        <v>2135</v>
      </c>
      <c r="B1940" s="65">
        <v>2018</v>
      </c>
    </row>
    <row r="1941" spans="1:2">
      <c r="A1941" s="280" t="s">
        <v>2136</v>
      </c>
      <c r="B1941" s="65">
        <v>157464</v>
      </c>
    </row>
    <row r="1942" spans="1:2">
      <c r="A1942" s="280" t="s">
        <v>2137</v>
      </c>
      <c r="B1942" s="65">
        <v>156160</v>
      </c>
    </row>
    <row r="1943" spans="1:2">
      <c r="A1943" s="280" t="s">
        <v>2138</v>
      </c>
      <c r="B1943" s="65">
        <v>96046</v>
      </c>
    </row>
    <row r="1944" spans="1:2">
      <c r="A1944" s="280" t="s">
        <v>2139</v>
      </c>
      <c r="B1944" s="65">
        <v>136240</v>
      </c>
    </row>
    <row r="1945" spans="1:2">
      <c r="A1945" s="280" t="s">
        <v>2025</v>
      </c>
      <c r="B1945" s="65">
        <v>1915</v>
      </c>
    </row>
    <row r="1946" spans="1:2">
      <c r="A1946" s="280" t="s">
        <v>2026</v>
      </c>
      <c r="B1946" s="65">
        <v>56</v>
      </c>
    </row>
    <row r="1947" spans="1:2">
      <c r="A1947" s="280" t="s">
        <v>2027</v>
      </c>
      <c r="B1947" s="65">
        <v>35287</v>
      </c>
    </row>
    <row r="1948" spans="1:2">
      <c r="A1948" s="280" t="s">
        <v>2028</v>
      </c>
      <c r="B1948" s="65">
        <v>21591</v>
      </c>
    </row>
    <row r="1949" spans="1:2">
      <c r="A1949" s="280" t="s">
        <v>2029</v>
      </c>
      <c r="B1949" s="65">
        <v>142656</v>
      </c>
    </row>
    <row r="1950" spans="1:2">
      <c r="A1950" s="280" t="s">
        <v>2030</v>
      </c>
      <c r="B1950" s="65">
        <v>1435</v>
      </c>
    </row>
    <row r="1951" spans="1:2">
      <c r="A1951" s="280" t="s">
        <v>2249</v>
      </c>
      <c r="B1951" s="65">
        <v>110025</v>
      </c>
    </row>
    <row r="1952" spans="1:2">
      <c r="A1952" s="280" t="s">
        <v>2250</v>
      </c>
      <c r="B1952" s="65">
        <v>9723</v>
      </c>
    </row>
    <row r="1953" spans="1:2">
      <c r="A1953" s="280" t="s">
        <v>2251</v>
      </c>
      <c r="B1953" s="65">
        <v>96288</v>
      </c>
    </row>
    <row r="1954" spans="1:2">
      <c r="A1954" s="280" t="s">
        <v>2252</v>
      </c>
      <c r="B1954" s="65">
        <v>430</v>
      </c>
    </row>
    <row r="1955" spans="1:2">
      <c r="A1955" s="280" t="s">
        <v>2253</v>
      </c>
      <c r="B1955" s="65">
        <v>139710</v>
      </c>
    </row>
    <row r="1956" spans="1:2">
      <c r="A1956" s="280" t="s">
        <v>2254</v>
      </c>
      <c r="B1956" s="65">
        <v>177091</v>
      </c>
    </row>
    <row r="1957" spans="1:2">
      <c r="A1957" s="280" t="s">
        <v>2140</v>
      </c>
      <c r="B1957" s="65">
        <v>136453</v>
      </c>
    </row>
    <row r="1958" spans="1:2">
      <c r="A1958" s="280" t="s">
        <v>2141</v>
      </c>
      <c r="B1958" s="66" t="s">
        <v>6781</v>
      </c>
    </row>
    <row r="1959" spans="1:2">
      <c r="A1959" s="280" t="s">
        <v>2142</v>
      </c>
      <c r="B1959" s="65">
        <v>137006</v>
      </c>
    </row>
    <row r="1960" spans="1:2">
      <c r="A1960" s="280" t="s">
        <v>2143</v>
      </c>
      <c r="B1960" s="65">
        <v>69237</v>
      </c>
    </row>
    <row r="1961" spans="1:2">
      <c r="A1961" s="280" t="s">
        <v>2144</v>
      </c>
      <c r="B1961" s="66" t="s">
        <v>6781</v>
      </c>
    </row>
    <row r="1962" spans="1:2">
      <c r="A1962" s="280" t="s">
        <v>2145</v>
      </c>
      <c r="B1962" s="65">
        <v>204</v>
      </c>
    </row>
    <row r="1963" spans="1:2">
      <c r="A1963" s="280" t="s">
        <v>2031</v>
      </c>
      <c r="B1963" s="65">
        <v>157079</v>
      </c>
    </row>
    <row r="1964" spans="1:2">
      <c r="A1964" s="280" t="s">
        <v>2032</v>
      </c>
      <c r="B1964" s="65">
        <v>138846</v>
      </c>
    </row>
    <row r="1965" spans="1:2">
      <c r="A1965" s="280" t="s">
        <v>2033</v>
      </c>
      <c r="B1965" s="65">
        <v>96319</v>
      </c>
    </row>
    <row r="1966" spans="1:2">
      <c r="A1966" s="280" t="s">
        <v>2035</v>
      </c>
      <c r="B1966" s="65">
        <v>142590</v>
      </c>
    </row>
    <row r="1967" spans="1:2">
      <c r="A1967" s="280" t="s">
        <v>2036</v>
      </c>
      <c r="B1967" s="65">
        <v>138516</v>
      </c>
    </row>
    <row r="1968" spans="1:2">
      <c r="A1968" s="280" t="s">
        <v>2255</v>
      </c>
      <c r="B1968" s="65">
        <v>106356</v>
      </c>
    </row>
    <row r="1969" spans="1:2">
      <c r="A1969" s="280" t="s">
        <v>2256</v>
      </c>
      <c r="B1969" s="65">
        <v>61368</v>
      </c>
    </row>
    <row r="1970" spans="1:2">
      <c r="A1970" s="280" t="s">
        <v>2257</v>
      </c>
      <c r="B1970" s="65">
        <v>139717</v>
      </c>
    </row>
    <row r="1971" spans="1:2">
      <c r="A1971" s="280" t="s">
        <v>2637</v>
      </c>
      <c r="B1971" s="65">
        <v>155721</v>
      </c>
    </row>
    <row r="1972" spans="1:2">
      <c r="A1972" s="280" t="s">
        <v>2259</v>
      </c>
      <c r="B1972" s="66" t="s">
        <v>6781</v>
      </c>
    </row>
    <row r="1973" spans="1:2">
      <c r="A1973" s="280" t="s">
        <v>2146</v>
      </c>
      <c r="B1973" s="65">
        <v>111572</v>
      </c>
    </row>
    <row r="1974" spans="1:2">
      <c r="A1974" s="280" t="s">
        <v>2147</v>
      </c>
      <c r="B1974" s="65">
        <v>122622</v>
      </c>
    </row>
    <row r="1975" spans="1:2">
      <c r="A1975" s="280" t="s">
        <v>2149</v>
      </c>
      <c r="B1975" s="65">
        <v>62220</v>
      </c>
    </row>
    <row r="1976" spans="1:2">
      <c r="A1976" s="280" t="s">
        <v>2638</v>
      </c>
      <c r="B1976" s="66" t="s">
        <v>6781</v>
      </c>
    </row>
    <row r="1977" spans="1:2">
      <c r="A1977" s="280" t="s">
        <v>2150</v>
      </c>
      <c r="B1977" s="65">
        <v>130114</v>
      </c>
    </row>
    <row r="1978" spans="1:2">
      <c r="A1978" s="280" t="s">
        <v>2038</v>
      </c>
      <c r="B1978" s="65">
        <v>137618</v>
      </c>
    </row>
    <row r="1979" spans="1:2">
      <c r="A1979" s="280" t="s">
        <v>2039</v>
      </c>
      <c r="B1979" s="65">
        <v>97707</v>
      </c>
    </row>
    <row r="1980" spans="1:2">
      <c r="A1980" s="280" t="s">
        <v>2040</v>
      </c>
      <c r="B1980" s="66" t="s">
        <v>6781</v>
      </c>
    </row>
    <row r="1981" spans="1:2">
      <c r="A1981" s="280" t="s">
        <v>2639</v>
      </c>
      <c r="B1981" s="65">
        <v>155723</v>
      </c>
    </row>
    <row r="1982" spans="1:2">
      <c r="A1982" s="280" t="s">
        <v>2041</v>
      </c>
      <c r="B1982" s="65">
        <v>140671</v>
      </c>
    </row>
    <row r="1983" spans="1:2">
      <c r="A1983" s="280" t="s">
        <v>2276</v>
      </c>
      <c r="B1983" s="65">
        <v>31503</v>
      </c>
    </row>
    <row r="1984" spans="1:2">
      <c r="A1984" s="280" t="s">
        <v>2284</v>
      </c>
      <c r="B1984" s="65">
        <v>22138</v>
      </c>
    </row>
    <row r="1985" spans="1:2">
      <c r="A1985" s="280" t="s">
        <v>2292</v>
      </c>
      <c r="B1985" s="65">
        <v>97052</v>
      </c>
    </row>
    <row r="1986" spans="1:2">
      <c r="A1986" s="280" t="s">
        <v>2379</v>
      </c>
      <c r="B1986" s="65">
        <v>535</v>
      </c>
    </row>
    <row r="1987" spans="1:2">
      <c r="A1987" s="280" t="s">
        <v>2391</v>
      </c>
      <c r="B1987" s="65">
        <v>96650</v>
      </c>
    </row>
    <row r="1988" spans="1:2">
      <c r="A1988" s="280" t="s">
        <v>2490</v>
      </c>
      <c r="B1988" s="65">
        <v>118837</v>
      </c>
    </row>
    <row r="1989" spans="1:2">
      <c r="A1989" s="280" t="s">
        <v>2502</v>
      </c>
      <c r="B1989" s="65">
        <v>33450</v>
      </c>
    </row>
    <row r="1990" spans="1:2">
      <c r="A1990" s="280" t="s">
        <v>2514</v>
      </c>
      <c r="B1990" s="65">
        <v>112423</v>
      </c>
    </row>
    <row r="1991" spans="1:2">
      <c r="A1991" s="280" t="s">
        <v>2277</v>
      </c>
      <c r="B1991" s="65">
        <v>30694</v>
      </c>
    </row>
    <row r="1992" spans="1:2">
      <c r="A1992" s="280" t="s">
        <v>2285</v>
      </c>
      <c r="B1992" s="66" t="s">
        <v>6781</v>
      </c>
    </row>
    <row r="1993" spans="1:2">
      <c r="A1993" s="280" t="s">
        <v>2293</v>
      </c>
      <c r="B1993" s="65">
        <v>104</v>
      </c>
    </row>
    <row r="1994" spans="1:2">
      <c r="A1994" s="280" t="s">
        <v>2380</v>
      </c>
      <c r="B1994" s="65">
        <v>27576</v>
      </c>
    </row>
    <row r="1995" spans="1:2">
      <c r="A1995" s="280" t="s">
        <v>2392</v>
      </c>
      <c r="B1995" s="65">
        <v>331</v>
      </c>
    </row>
    <row r="1996" spans="1:2">
      <c r="A1996" s="280" t="s">
        <v>2404</v>
      </c>
      <c r="B1996" s="65">
        <v>157620</v>
      </c>
    </row>
    <row r="1997" spans="1:2">
      <c r="A1997" s="280" t="s">
        <v>2491</v>
      </c>
      <c r="B1997" s="65">
        <v>38191</v>
      </c>
    </row>
    <row r="1998" spans="1:2">
      <c r="A1998" s="280" t="s">
        <v>2503</v>
      </c>
      <c r="B1998" s="65">
        <v>32064</v>
      </c>
    </row>
    <row r="1999" spans="1:2">
      <c r="A1999" s="280" t="s">
        <v>2515</v>
      </c>
      <c r="B1999" s="65">
        <v>9696</v>
      </c>
    </row>
    <row r="2000" spans="1:2">
      <c r="A2000" s="280" t="s">
        <v>2294</v>
      </c>
      <c r="B2000" s="65">
        <v>35156</v>
      </c>
    </row>
    <row r="2001" spans="1:2">
      <c r="A2001" s="280" t="s">
        <v>2381</v>
      </c>
      <c r="B2001" s="65">
        <v>103106</v>
      </c>
    </row>
    <row r="2002" spans="1:2">
      <c r="A2002" s="280" t="s">
        <v>2393</v>
      </c>
      <c r="B2002" s="65">
        <v>110480</v>
      </c>
    </row>
    <row r="2003" spans="1:2">
      <c r="A2003" s="280" t="s">
        <v>2405</v>
      </c>
      <c r="B2003" s="65">
        <v>35582</v>
      </c>
    </row>
    <row r="2004" spans="1:2">
      <c r="A2004" s="280" t="s">
        <v>2492</v>
      </c>
      <c r="B2004" s="65">
        <v>51104</v>
      </c>
    </row>
    <row r="2005" spans="1:2">
      <c r="A2005" s="280" t="s">
        <v>2504</v>
      </c>
      <c r="B2005" s="65">
        <v>64024</v>
      </c>
    </row>
    <row r="2006" spans="1:2">
      <c r="A2006" s="280" t="s">
        <v>2516</v>
      </c>
      <c r="B2006" s="65">
        <v>96225</v>
      </c>
    </row>
    <row r="2007" spans="1:2">
      <c r="A2007" s="280" t="s">
        <v>2295</v>
      </c>
      <c r="B2007" s="65">
        <v>59363</v>
      </c>
    </row>
    <row r="2008" spans="1:2">
      <c r="A2008" s="280" t="s">
        <v>2382</v>
      </c>
      <c r="B2008" s="65">
        <v>6236</v>
      </c>
    </row>
    <row r="2009" spans="1:2">
      <c r="A2009" s="280" t="s">
        <v>2394</v>
      </c>
      <c r="B2009" s="65">
        <v>35399</v>
      </c>
    </row>
    <row r="2010" spans="1:2">
      <c r="A2010" s="280" t="s">
        <v>2406</v>
      </c>
      <c r="B2010" s="65">
        <v>97366</v>
      </c>
    </row>
    <row r="2011" spans="1:2">
      <c r="A2011" s="280" t="s">
        <v>2493</v>
      </c>
      <c r="B2011" s="65">
        <v>112434</v>
      </c>
    </row>
    <row r="2012" spans="1:2">
      <c r="A2012" s="280" t="s">
        <v>2505</v>
      </c>
      <c r="B2012" s="65">
        <v>101187</v>
      </c>
    </row>
    <row r="2013" spans="1:2">
      <c r="A2013" s="280" t="s">
        <v>2517</v>
      </c>
      <c r="B2013" s="65">
        <v>178216</v>
      </c>
    </row>
    <row r="2014" spans="1:2">
      <c r="A2014" s="280" t="s">
        <v>2278</v>
      </c>
      <c r="B2014" s="65">
        <v>105010</v>
      </c>
    </row>
    <row r="2015" spans="1:2">
      <c r="A2015" s="280" t="s">
        <v>2286</v>
      </c>
      <c r="B2015" s="65">
        <v>95450</v>
      </c>
    </row>
    <row r="2016" spans="1:2">
      <c r="A2016" s="280" t="s">
        <v>2296</v>
      </c>
      <c r="B2016" s="65">
        <v>176776</v>
      </c>
    </row>
    <row r="2017" spans="1:2">
      <c r="A2017" s="280" t="s">
        <v>2383</v>
      </c>
      <c r="B2017" s="65">
        <v>481</v>
      </c>
    </row>
    <row r="2018" spans="1:2">
      <c r="A2018" s="280" t="s">
        <v>2395</v>
      </c>
      <c r="B2018" s="65">
        <v>114346</v>
      </c>
    </row>
    <row r="2019" spans="1:2">
      <c r="A2019" s="280" t="s">
        <v>2407</v>
      </c>
      <c r="B2019" s="65">
        <v>131595</v>
      </c>
    </row>
    <row r="2020" spans="1:2">
      <c r="A2020" s="280" t="s">
        <v>2494</v>
      </c>
      <c r="B2020" s="65">
        <v>1452</v>
      </c>
    </row>
    <row r="2021" spans="1:2">
      <c r="A2021" s="280" t="s">
        <v>2506</v>
      </c>
      <c r="B2021" s="65">
        <v>8328</v>
      </c>
    </row>
    <row r="2022" spans="1:2">
      <c r="A2022" s="280" t="s">
        <v>2518</v>
      </c>
      <c r="B2022" s="65">
        <v>105327</v>
      </c>
    </row>
    <row r="2023" spans="1:2">
      <c r="A2023" s="280" t="s">
        <v>2279</v>
      </c>
      <c r="B2023" s="65">
        <v>176169</v>
      </c>
    </row>
    <row r="2024" spans="1:2">
      <c r="A2024" s="280" t="s">
        <v>2287</v>
      </c>
      <c r="B2024" s="65">
        <v>214</v>
      </c>
    </row>
    <row r="2025" spans="1:2">
      <c r="A2025" s="280" t="s">
        <v>2297</v>
      </c>
      <c r="B2025" s="65">
        <v>138950</v>
      </c>
    </row>
    <row r="2026" spans="1:2">
      <c r="A2026" s="280" t="s">
        <v>2384</v>
      </c>
      <c r="B2026" s="65">
        <v>25535</v>
      </c>
    </row>
    <row r="2027" spans="1:2">
      <c r="A2027" s="280" t="s">
        <v>2396</v>
      </c>
      <c r="B2027" s="65">
        <v>112478</v>
      </c>
    </row>
    <row r="2028" spans="1:2">
      <c r="A2028" s="280" t="s">
        <v>2408</v>
      </c>
      <c r="B2028" s="65">
        <v>18601</v>
      </c>
    </row>
    <row r="2029" spans="1:2">
      <c r="A2029" s="280" t="s">
        <v>2495</v>
      </c>
      <c r="B2029" s="65">
        <v>5328</v>
      </c>
    </row>
    <row r="2030" spans="1:2">
      <c r="A2030" s="280" t="s">
        <v>2507</v>
      </c>
      <c r="B2030" s="65">
        <v>6250</v>
      </c>
    </row>
    <row r="2031" spans="1:2">
      <c r="A2031" s="280" t="s">
        <v>2519</v>
      </c>
      <c r="B2031" s="65">
        <v>36854</v>
      </c>
    </row>
    <row r="2032" spans="1:2">
      <c r="A2032" s="280" t="s">
        <v>2298</v>
      </c>
      <c r="B2032" s="66" t="s">
        <v>6781</v>
      </c>
    </row>
    <row r="2033" spans="1:2">
      <c r="A2033" s="280" t="s">
        <v>2299</v>
      </c>
      <c r="B2033" s="66" t="s">
        <v>6781</v>
      </c>
    </row>
    <row r="2034" spans="1:2">
      <c r="A2034" s="280" t="s">
        <v>2300</v>
      </c>
      <c r="B2034" s="65">
        <v>110682</v>
      </c>
    </row>
    <row r="2035" spans="1:2">
      <c r="A2035" s="280" t="s">
        <v>2301</v>
      </c>
      <c r="B2035" s="65">
        <v>9555</v>
      </c>
    </row>
    <row r="2036" spans="1:2">
      <c r="A2036" s="280" t="s">
        <v>2303</v>
      </c>
      <c r="B2036" s="65">
        <v>439</v>
      </c>
    </row>
    <row r="2037" spans="1:2">
      <c r="A2037" s="280" t="s">
        <v>2409</v>
      </c>
      <c r="B2037" s="65">
        <v>111</v>
      </c>
    </row>
    <row r="2038" spans="1:2">
      <c r="A2038" s="280" t="s">
        <v>2410</v>
      </c>
      <c r="B2038" s="66" t="s">
        <v>6781</v>
      </c>
    </row>
    <row r="2039" spans="1:2">
      <c r="A2039" s="280" t="s">
        <v>2411</v>
      </c>
      <c r="B2039" s="66" t="s">
        <v>6781</v>
      </c>
    </row>
    <row r="2040" spans="1:2">
      <c r="A2040" s="280" t="s">
        <v>2412</v>
      </c>
      <c r="B2040" s="65">
        <v>173498</v>
      </c>
    </row>
    <row r="2041" spans="1:2">
      <c r="A2041" s="280" t="s">
        <v>2414</v>
      </c>
      <c r="B2041" s="65">
        <v>428</v>
      </c>
    </row>
    <row r="2042" spans="1:2">
      <c r="A2042" s="280" t="s">
        <v>2520</v>
      </c>
      <c r="B2042" s="65">
        <v>83367</v>
      </c>
    </row>
    <row r="2043" spans="1:2">
      <c r="A2043" s="280" t="s">
        <v>2521</v>
      </c>
      <c r="B2043" s="65">
        <v>107042</v>
      </c>
    </row>
    <row r="2044" spans="1:2">
      <c r="A2044" s="280" t="s">
        <v>2522</v>
      </c>
      <c r="B2044" s="65">
        <v>126332</v>
      </c>
    </row>
    <row r="2045" spans="1:2">
      <c r="A2045" s="280" t="s">
        <v>2523</v>
      </c>
      <c r="B2045" s="66" t="s">
        <v>6781</v>
      </c>
    </row>
    <row r="2046" spans="1:2">
      <c r="A2046" s="280" t="s">
        <v>2525</v>
      </c>
      <c r="B2046" s="65">
        <v>1413</v>
      </c>
    </row>
    <row r="2047" spans="1:2">
      <c r="A2047" s="280" t="s">
        <v>2304</v>
      </c>
      <c r="B2047" s="65">
        <v>71771</v>
      </c>
    </row>
    <row r="2048" spans="1:2">
      <c r="A2048" s="280" t="s">
        <v>2305</v>
      </c>
      <c r="B2048" s="65">
        <v>42861</v>
      </c>
    </row>
    <row r="2049" spans="1:2">
      <c r="A2049" s="280" t="s">
        <v>2306</v>
      </c>
      <c r="B2049" s="65">
        <v>31457</v>
      </c>
    </row>
    <row r="2050" spans="1:2">
      <c r="A2050" s="280" t="s">
        <v>2307</v>
      </c>
      <c r="B2050" s="66" t="s">
        <v>6781</v>
      </c>
    </row>
    <row r="2051" spans="1:2">
      <c r="A2051" s="280" t="s">
        <v>2308</v>
      </c>
      <c r="B2051" s="66" t="s">
        <v>6781</v>
      </c>
    </row>
    <row r="2052" spans="1:2">
      <c r="A2052" s="280" t="s">
        <v>2309</v>
      </c>
      <c r="B2052" s="66" t="s">
        <v>6781</v>
      </c>
    </row>
    <row r="2053" spans="1:2">
      <c r="A2053" s="280" t="s">
        <v>2415</v>
      </c>
      <c r="B2053" s="65">
        <v>101413</v>
      </c>
    </row>
    <row r="2054" spans="1:2">
      <c r="A2054" s="280" t="s">
        <v>2416</v>
      </c>
      <c r="B2054" s="65">
        <v>123012</v>
      </c>
    </row>
    <row r="2055" spans="1:2">
      <c r="A2055" s="280" t="s">
        <v>2417</v>
      </c>
      <c r="B2055" s="65">
        <v>118440</v>
      </c>
    </row>
    <row r="2056" spans="1:2">
      <c r="A2056" s="280" t="s">
        <v>2418</v>
      </c>
      <c r="B2056" s="65">
        <v>54</v>
      </c>
    </row>
    <row r="2057" spans="1:2">
      <c r="A2057" s="280" t="s">
        <v>2419</v>
      </c>
      <c r="B2057" s="66" t="s">
        <v>6781</v>
      </c>
    </row>
    <row r="2058" spans="1:2">
      <c r="A2058" s="280" t="s">
        <v>2420</v>
      </c>
      <c r="B2058" s="65">
        <v>46</v>
      </c>
    </row>
    <row r="2059" spans="1:2">
      <c r="A2059" s="280" t="s">
        <v>2526</v>
      </c>
      <c r="B2059" s="65">
        <v>111865</v>
      </c>
    </row>
    <row r="2060" spans="1:2">
      <c r="A2060" s="280" t="s">
        <v>2527</v>
      </c>
      <c r="B2060" s="65">
        <v>2160</v>
      </c>
    </row>
    <row r="2061" spans="1:2">
      <c r="A2061" s="280" t="s">
        <v>2528</v>
      </c>
      <c r="B2061" s="65">
        <v>73228</v>
      </c>
    </row>
    <row r="2062" spans="1:2">
      <c r="A2062" s="280" t="s">
        <v>2529</v>
      </c>
      <c r="B2062" s="66" t="s">
        <v>6781</v>
      </c>
    </row>
    <row r="2063" spans="1:2">
      <c r="A2063" s="280" t="s">
        <v>2530</v>
      </c>
      <c r="B2063" s="65">
        <v>104554</v>
      </c>
    </row>
    <row r="2064" spans="1:2">
      <c r="A2064" s="280" t="s">
        <v>2531</v>
      </c>
      <c r="B2064" s="65">
        <v>110678</v>
      </c>
    </row>
    <row r="2065" spans="1:2">
      <c r="A2065" s="280" t="s">
        <v>2310</v>
      </c>
      <c r="B2065" s="65">
        <v>157880</v>
      </c>
    </row>
    <row r="2066" spans="1:2">
      <c r="A2066" s="280" t="s">
        <v>2311</v>
      </c>
      <c r="B2066" s="65">
        <v>124942</v>
      </c>
    </row>
    <row r="2067" spans="1:2">
      <c r="A2067" s="280" t="s">
        <v>2312</v>
      </c>
      <c r="B2067" s="65">
        <v>105079</v>
      </c>
    </row>
    <row r="2068" spans="1:2">
      <c r="A2068" s="280" t="s">
        <v>2313</v>
      </c>
      <c r="B2068" s="65">
        <v>110675</v>
      </c>
    </row>
    <row r="2069" spans="1:2">
      <c r="A2069" s="280" t="s">
        <v>2314</v>
      </c>
      <c r="B2069" s="65">
        <v>110484</v>
      </c>
    </row>
    <row r="2070" spans="1:2">
      <c r="A2070" s="280" t="s">
        <v>2315</v>
      </c>
      <c r="B2070" s="65">
        <v>100769</v>
      </c>
    </row>
    <row r="2071" spans="1:2">
      <c r="A2071" s="280" t="s">
        <v>2421</v>
      </c>
      <c r="B2071" s="65">
        <v>125002</v>
      </c>
    </row>
    <row r="2072" spans="1:2">
      <c r="A2072" s="280" t="s">
        <v>2422</v>
      </c>
      <c r="B2072" s="66" t="s">
        <v>6781</v>
      </c>
    </row>
    <row r="2073" spans="1:2">
      <c r="A2073" s="280" t="s">
        <v>2423</v>
      </c>
      <c r="B2073" s="65">
        <v>126216</v>
      </c>
    </row>
    <row r="2074" spans="1:2">
      <c r="A2074" s="280" t="s">
        <v>2424</v>
      </c>
      <c r="B2074" s="65">
        <v>72893</v>
      </c>
    </row>
    <row r="2075" spans="1:2">
      <c r="A2075" s="280" t="s">
        <v>2425</v>
      </c>
      <c r="B2075" s="65">
        <v>132475</v>
      </c>
    </row>
    <row r="2076" spans="1:2">
      <c r="A2076" s="280" t="s">
        <v>2426</v>
      </c>
      <c r="B2076" s="66" t="s">
        <v>6781</v>
      </c>
    </row>
    <row r="2077" spans="1:2">
      <c r="A2077" s="280" t="s">
        <v>2532</v>
      </c>
      <c r="B2077" s="65">
        <v>8780</v>
      </c>
    </row>
    <row r="2078" spans="1:2">
      <c r="A2078" s="280" t="s">
        <v>2533</v>
      </c>
      <c r="B2078" s="65">
        <v>137719</v>
      </c>
    </row>
    <row r="2079" spans="1:2">
      <c r="A2079" s="280" t="s">
        <v>2534</v>
      </c>
      <c r="B2079" s="65">
        <v>130583</v>
      </c>
    </row>
    <row r="2080" spans="1:2">
      <c r="A2080" s="280" t="s">
        <v>2535</v>
      </c>
      <c r="B2080" s="65">
        <v>47</v>
      </c>
    </row>
    <row r="2081" spans="1:2">
      <c r="A2081" s="280" t="s">
        <v>2536</v>
      </c>
      <c r="B2081" s="65">
        <v>49659</v>
      </c>
    </row>
    <row r="2082" spans="1:2">
      <c r="A2082" s="280" t="s">
        <v>2537</v>
      </c>
      <c r="B2082" s="65">
        <v>103115</v>
      </c>
    </row>
    <row r="2083" spans="1:2">
      <c r="A2083" s="280" t="s">
        <v>2316</v>
      </c>
      <c r="B2083" s="65">
        <v>32014</v>
      </c>
    </row>
    <row r="2084" spans="1:2">
      <c r="A2084" s="280" t="s">
        <v>2319</v>
      </c>
      <c r="B2084" s="66" t="s">
        <v>6781</v>
      </c>
    </row>
    <row r="2085" spans="1:2">
      <c r="A2085" s="280" t="s">
        <v>2320</v>
      </c>
      <c r="B2085" s="65">
        <v>59392</v>
      </c>
    </row>
    <row r="2086" spans="1:2">
      <c r="A2086" s="280" t="s">
        <v>2321</v>
      </c>
      <c r="B2086" s="65">
        <v>136457</v>
      </c>
    </row>
    <row r="2087" spans="1:2">
      <c r="A2087" s="280" t="s">
        <v>2427</v>
      </c>
      <c r="B2087" s="65">
        <v>1459</v>
      </c>
    </row>
    <row r="2088" spans="1:2">
      <c r="A2088" s="280" t="s">
        <v>2428</v>
      </c>
      <c r="B2088" s="66" t="s">
        <v>6781</v>
      </c>
    </row>
    <row r="2089" spans="1:2">
      <c r="A2089" s="280" t="s">
        <v>2429</v>
      </c>
      <c r="B2089" s="65">
        <v>135574</v>
      </c>
    </row>
    <row r="2090" spans="1:2">
      <c r="A2090" s="280" t="s">
        <v>2430</v>
      </c>
      <c r="B2090" s="65">
        <v>124757</v>
      </c>
    </row>
    <row r="2091" spans="1:2">
      <c r="A2091" s="280" t="s">
        <v>2431</v>
      </c>
      <c r="B2091" s="65">
        <v>136451</v>
      </c>
    </row>
    <row r="2092" spans="1:2">
      <c r="A2092" s="280" t="s">
        <v>2432</v>
      </c>
      <c r="B2092" s="65">
        <v>131626</v>
      </c>
    </row>
    <row r="2093" spans="1:2">
      <c r="A2093" s="280" t="s">
        <v>2538</v>
      </c>
      <c r="B2093" s="65">
        <v>113472</v>
      </c>
    </row>
    <row r="2094" spans="1:2">
      <c r="A2094" s="280" t="s">
        <v>2539</v>
      </c>
      <c r="B2094" s="65">
        <v>131401</v>
      </c>
    </row>
    <row r="2095" spans="1:2">
      <c r="A2095" s="280" t="s">
        <v>2540</v>
      </c>
      <c r="B2095" s="65">
        <v>125446</v>
      </c>
    </row>
    <row r="2096" spans="1:2">
      <c r="A2096" s="280" t="s">
        <v>2541</v>
      </c>
      <c r="B2096" s="65">
        <v>126041</v>
      </c>
    </row>
    <row r="2097" spans="1:2">
      <c r="A2097" s="280" t="s">
        <v>2542</v>
      </c>
      <c r="B2097" s="65">
        <v>110676</v>
      </c>
    </row>
    <row r="2098" spans="1:2">
      <c r="A2098" s="280" t="s">
        <v>2543</v>
      </c>
      <c r="B2098" s="65">
        <v>125445</v>
      </c>
    </row>
    <row r="2099" spans="1:2">
      <c r="A2099" s="280" t="s">
        <v>2322</v>
      </c>
      <c r="B2099" s="65">
        <v>15450</v>
      </c>
    </row>
    <row r="2100" spans="1:2">
      <c r="A2100" s="280" t="s">
        <v>2323</v>
      </c>
      <c r="B2100" s="65">
        <v>112656</v>
      </c>
    </row>
    <row r="2101" spans="1:2">
      <c r="A2101" s="280" t="s">
        <v>2324</v>
      </c>
      <c r="B2101" s="65">
        <v>1454</v>
      </c>
    </row>
    <row r="2102" spans="1:2">
      <c r="A2102" s="280" t="s">
        <v>2325</v>
      </c>
      <c r="B2102" s="65">
        <v>127112</v>
      </c>
    </row>
    <row r="2103" spans="1:2">
      <c r="A2103" s="280" t="s">
        <v>2326</v>
      </c>
      <c r="B2103" s="65">
        <v>62297</v>
      </c>
    </row>
    <row r="2104" spans="1:2">
      <c r="A2104" s="280" t="s">
        <v>2327</v>
      </c>
      <c r="B2104" s="65">
        <v>77</v>
      </c>
    </row>
    <row r="2105" spans="1:2">
      <c r="A2105" s="280" t="s">
        <v>2433</v>
      </c>
      <c r="B2105" s="65">
        <v>105374</v>
      </c>
    </row>
    <row r="2106" spans="1:2">
      <c r="A2106" s="280" t="s">
        <v>2434</v>
      </c>
      <c r="B2106" s="65">
        <v>125478</v>
      </c>
    </row>
    <row r="2107" spans="1:2">
      <c r="A2107" s="280" t="s">
        <v>2435</v>
      </c>
      <c r="B2107" s="65">
        <v>22398</v>
      </c>
    </row>
    <row r="2108" spans="1:2">
      <c r="A2108" s="280" t="s">
        <v>2436</v>
      </c>
      <c r="B2108" s="65">
        <v>8319</v>
      </c>
    </row>
    <row r="2109" spans="1:2">
      <c r="A2109" s="280" t="s">
        <v>2437</v>
      </c>
      <c r="B2109" s="65">
        <v>18504</v>
      </c>
    </row>
    <row r="2110" spans="1:2">
      <c r="A2110" s="280" t="s">
        <v>2438</v>
      </c>
      <c r="B2110" s="65">
        <v>111480</v>
      </c>
    </row>
    <row r="2111" spans="1:2">
      <c r="A2111" s="280" t="s">
        <v>2544</v>
      </c>
      <c r="B2111" s="65">
        <v>173346</v>
      </c>
    </row>
    <row r="2112" spans="1:2">
      <c r="A2112" s="280" t="s">
        <v>2545</v>
      </c>
      <c r="B2112" s="65">
        <v>127470</v>
      </c>
    </row>
    <row r="2113" spans="1:2">
      <c r="A2113" s="280" t="s">
        <v>2546</v>
      </c>
      <c r="B2113" s="65">
        <v>78462</v>
      </c>
    </row>
    <row r="2114" spans="1:2">
      <c r="A2114" s="280" t="s">
        <v>2547</v>
      </c>
      <c r="B2114" s="65">
        <v>107057</v>
      </c>
    </row>
    <row r="2115" spans="1:2">
      <c r="A2115" s="280" t="s">
        <v>2548</v>
      </c>
      <c r="B2115" s="65">
        <v>111375</v>
      </c>
    </row>
    <row r="2116" spans="1:2">
      <c r="A2116" s="280" t="s">
        <v>2549</v>
      </c>
      <c r="B2116" s="65">
        <v>9386</v>
      </c>
    </row>
    <row r="2117" spans="1:2">
      <c r="A2117" s="280" t="s">
        <v>2329</v>
      </c>
      <c r="B2117" s="65">
        <v>158075</v>
      </c>
    </row>
    <row r="2118" spans="1:2">
      <c r="A2118" s="280" t="s">
        <v>2330</v>
      </c>
      <c r="B2118" s="65">
        <v>177695</v>
      </c>
    </row>
    <row r="2119" spans="1:2">
      <c r="A2119" s="280" t="s">
        <v>2331</v>
      </c>
      <c r="B2119" s="65">
        <v>159278</v>
      </c>
    </row>
    <row r="2120" spans="1:2">
      <c r="A2120" s="280" t="s">
        <v>2332</v>
      </c>
      <c r="B2120" s="65">
        <v>138667</v>
      </c>
    </row>
    <row r="2121" spans="1:2">
      <c r="A2121" s="280" t="s">
        <v>2333</v>
      </c>
      <c r="B2121" s="66" t="s">
        <v>6781</v>
      </c>
    </row>
    <row r="2122" spans="1:2">
      <c r="A2122" s="280" t="s">
        <v>2439</v>
      </c>
      <c r="B2122" s="65">
        <v>521</v>
      </c>
    </row>
    <row r="2123" spans="1:2">
      <c r="A2123" s="280" t="s">
        <v>2440</v>
      </c>
      <c r="B2123" s="66" t="s">
        <v>6781</v>
      </c>
    </row>
    <row r="2124" spans="1:2">
      <c r="A2124" s="280" t="s">
        <v>2441</v>
      </c>
      <c r="B2124" s="65">
        <v>132596</v>
      </c>
    </row>
    <row r="2125" spans="1:2">
      <c r="A2125" s="280" t="s">
        <v>2442</v>
      </c>
      <c r="B2125" s="65">
        <v>158217</v>
      </c>
    </row>
    <row r="2126" spans="1:2">
      <c r="A2126" s="280" t="s">
        <v>2550</v>
      </c>
      <c r="B2126" s="65">
        <v>132698</v>
      </c>
    </row>
    <row r="2127" spans="1:2">
      <c r="A2127" s="280" t="s">
        <v>2551</v>
      </c>
      <c r="B2127" s="66" t="s">
        <v>6781</v>
      </c>
    </row>
    <row r="2128" spans="1:2">
      <c r="A2128" s="280" t="s">
        <v>2552</v>
      </c>
      <c r="B2128" s="66" t="s">
        <v>6781</v>
      </c>
    </row>
    <row r="2129" spans="1:2">
      <c r="A2129" s="280" t="s">
        <v>2553</v>
      </c>
      <c r="B2129" s="66" t="s">
        <v>6781</v>
      </c>
    </row>
    <row r="2130" spans="1:2">
      <c r="A2130" s="280" t="s">
        <v>2554</v>
      </c>
      <c r="B2130" s="65">
        <v>101324</v>
      </c>
    </row>
    <row r="2131" spans="1:2">
      <c r="A2131" s="280" t="s">
        <v>2555</v>
      </c>
      <c r="B2131" s="65">
        <v>3731</v>
      </c>
    </row>
    <row r="2132" spans="1:2">
      <c r="A2132" s="280" t="s">
        <v>1957</v>
      </c>
      <c r="B2132" s="65">
        <v>134099</v>
      </c>
    </row>
    <row r="2133" spans="1:2">
      <c r="A2133" s="280" t="s">
        <v>2042</v>
      </c>
      <c r="B2133" s="65">
        <v>115226</v>
      </c>
    </row>
    <row r="2134" spans="1:2">
      <c r="A2134" s="280" t="s">
        <v>2054</v>
      </c>
      <c r="B2134" s="65">
        <v>3119</v>
      </c>
    </row>
    <row r="2135" spans="1:2">
      <c r="A2135" s="280" t="s">
        <v>2066</v>
      </c>
      <c r="B2135" s="65">
        <v>131494</v>
      </c>
    </row>
    <row r="2136" spans="1:2">
      <c r="A2136" s="280" t="s">
        <v>2151</v>
      </c>
      <c r="B2136" s="65">
        <v>107963</v>
      </c>
    </row>
    <row r="2137" spans="1:2">
      <c r="A2137" s="280" t="s">
        <v>2163</v>
      </c>
      <c r="B2137" s="65">
        <v>110250</v>
      </c>
    </row>
    <row r="2138" spans="1:2">
      <c r="A2138" s="280" t="s">
        <v>2175</v>
      </c>
      <c r="B2138" s="65">
        <v>12007</v>
      </c>
    </row>
    <row r="2139" spans="1:2">
      <c r="A2139" s="280" t="s">
        <v>2260</v>
      </c>
      <c r="B2139" s="65">
        <v>116955</v>
      </c>
    </row>
    <row r="2140" spans="1:2">
      <c r="A2140" s="280" t="s">
        <v>2268</v>
      </c>
      <c r="B2140" s="65">
        <v>159021</v>
      </c>
    </row>
    <row r="2141" spans="1:2">
      <c r="A2141" s="280" t="s">
        <v>1958</v>
      </c>
      <c r="B2141" s="65">
        <v>173387</v>
      </c>
    </row>
    <row r="2142" spans="1:2">
      <c r="A2142" s="280" t="s">
        <v>2043</v>
      </c>
      <c r="B2142" s="65">
        <v>126071</v>
      </c>
    </row>
    <row r="2143" spans="1:2">
      <c r="A2143" s="280" t="s">
        <v>2055</v>
      </c>
      <c r="B2143" s="65">
        <v>61047</v>
      </c>
    </row>
    <row r="2144" spans="1:2">
      <c r="A2144" s="280" t="s">
        <v>2067</v>
      </c>
      <c r="B2144" s="65">
        <v>126112</v>
      </c>
    </row>
    <row r="2145" spans="1:2">
      <c r="A2145" s="280" t="s">
        <v>2152</v>
      </c>
      <c r="B2145" s="65">
        <v>98212</v>
      </c>
    </row>
    <row r="2146" spans="1:2">
      <c r="A2146" s="280" t="s">
        <v>2164</v>
      </c>
      <c r="B2146" s="65">
        <v>57539</v>
      </c>
    </row>
    <row r="2147" spans="1:2">
      <c r="A2147" s="280" t="s">
        <v>2176</v>
      </c>
      <c r="B2147" s="65">
        <v>23533</v>
      </c>
    </row>
    <row r="2148" spans="1:2">
      <c r="A2148" s="280" t="s">
        <v>2261</v>
      </c>
      <c r="B2148" s="65">
        <v>177137</v>
      </c>
    </row>
    <row r="2149" spans="1:2">
      <c r="A2149" s="280" t="s">
        <v>2269</v>
      </c>
      <c r="B2149" s="65">
        <v>172888</v>
      </c>
    </row>
    <row r="2150" spans="1:2">
      <c r="A2150" s="280" t="s">
        <v>1959</v>
      </c>
      <c r="B2150" s="65">
        <v>9384</v>
      </c>
    </row>
    <row r="2151" spans="1:2">
      <c r="A2151" s="280" t="s">
        <v>2044</v>
      </c>
      <c r="B2151" s="65">
        <v>177146</v>
      </c>
    </row>
    <row r="2152" spans="1:2">
      <c r="A2152" s="280" t="s">
        <v>2056</v>
      </c>
      <c r="B2152" s="65">
        <v>109245</v>
      </c>
    </row>
    <row r="2153" spans="1:2">
      <c r="A2153" s="280" t="s">
        <v>2068</v>
      </c>
      <c r="B2153" s="65">
        <v>178338</v>
      </c>
    </row>
    <row r="2154" spans="1:2">
      <c r="A2154" s="280" t="s">
        <v>2153</v>
      </c>
      <c r="B2154" s="65">
        <v>9803</v>
      </c>
    </row>
    <row r="2155" spans="1:2">
      <c r="A2155" s="280" t="s">
        <v>2165</v>
      </c>
      <c r="B2155" s="65">
        <v>64559</v>
      </c>
    </row>
    <row r="2156" spans="1:2">
      <c r="A2156" s="280" t="s">
        <v>2177</v>
      </c>
      <c r="B2156" s="65">
        <v>4412</v>
      </c>
    </row>
    <row r="2157" spans="1:2">
      <c r="A2157" s="280" t="s">
        <v>1960</v>
      </c>
      <c r="B2157" s="65">
        <v>160091</v>
      </c>
    </row>
    <row r="2158" spans="1:2">
      <c r="A2158" s="280" t="s">
        <v>2045</v>
      </c>
      <c r="B2158" s="65">
        <v>157248</v>
      </c>
    </row>
    <row r="2159" spans="1:2">
      <c r="A2159" s="280" t="s">
        <v>2057</v>
      </c>
      <c r="B2159" s="65">
        <v>112421</v>
      </c>
    </row>
    <row r="2160" spans="1:2">
      <c r="A2160" s="280" t="s">
        <v>2069</v>
      </c>
      <c r="B2160" s="65">
        <v>74060</v>
      </c>
    </row>
    <row r="2161" spans="1:2">
      <c r="A2161" s="280" t="s">
        <v>2154</v>
      </c>
      <c r="B2161" s="65">
        <v>124557</v>
      </c>
    </row>
    <row r="2162" spans="1:2">
      <c r="A2162" s="280" t="s">
        <v>2166</v>
      </c>
      <c r="B2162" s="65">
        <v>114263</v>
      </c>
    </row>
    <row r="2163" spans="1:2">
      <c r="A2163" s="280" t="s">
        <v>2178</v>
      </c>
      <c r="B2163" s="65">
        <v>120174</v>
      </c>
    </row>
    <row r="2164" spans="1:2">
      <c r="A2164" s="280" t="s">
        <v>1961</v>
      </c>
      <c r="B2164" s="65">
        <v>20674</v>
      </c>
    </row>
    <row r="2165" spans="1:2">
      <c r="A2165" s="280" t="s">
        <v>2046</v>
      </c>
      <c r="B2165" s="65">
        <v>157242</v>
      </c>
    </row>
    <row r="2166" spans="1:2">
      <c r="A2166" s="280" t="s">
        <v>2058</v>
      </c>
      <c r="B2166" s="65">
        <v>8592</v>
      </c>
    </row>
    <row r="2167" spans="1:2">
      <c r="A2167" s="280" t="s">
        <v>2070</v>
      </c>
      <c r="B2167" s="65">
        <v>113974</v>
      </c>
    </row>
    <row r="2168" spans="1:2">
      <c r="A2168" s="280" t="s">
        <v>2167</v>
      </c>
      <c r="B2168" s="65">
        <v>1929</v>
      </c>
    </row>
    <row r="2169" spans="1:2">
      <c r="A2169" s="280" t="s">
        <v>2179</v>
      </c>
      <c r="B2169" s="65">
        <v>95278</v>
      </c>
    </row>
    <row r="2170" spans="1:2">
      <c r="A2170" s="280" t="s">
        <v>2270</v>
      </c>
      <c r="B2170" s="65">
        <v>113999</v>
      </c>
    </row>
    <row r="2171" spans="1:2">
      <c r="A2171" s="280" t="s">
        <v>1962</v>
      </c>
      <c r="B2171" s="65">
        <v>87602</v>
      </c>
    </row>
    <row r="2172" spans="1:2">
      <c r="A2172" s="280" t="s">
        <v>2047</v>
      </c>
      <c r="B2172" s="65">
        <v>19649</v>
      </c>
    </row>
    <row r="2173" spans="1:2">
      <c r="A2173" s="280" t="s">
        <v>2059</v>
      </c>
      <c r="B2173" s="65">
        <v>124950</v>
      </c>
    </row>
    <row r="2174" spans="1:2">
      <c r="A2174" s="280" t="s">
        <v>2071</v>
      </c>
      <c r="B2174" s="65">
        <v>156309</v>
      </c>
    </row>
    <row r="2175" spans="1:2">
      <c r="A2175" s="280" t="s">
        <v>2156</v>
      </c>
      <c r="B2175" s="65">
        <v>117036</v>
      </c>
    </row>
    <row r="2176" spans="1:2">
      <c r="A2176" s="280" t="s">
        <v>2168</v>
      </c>
      <c r="B2176" s="65">
        <v>54930</v>
      </c>
    </row>
    <row r="2177" spans="1:2">
      <c r="A2177" s="280" t="s">
        <v>2180</v>
      </c>
      <c r="B2177" s="65">
        <v>177024</v>
      </c>
    </row>
    <row r="2178" spans="1:2">
      <c r="A2178" s="280" t="s">
        <v>2263</v>
      </c>
      <c r="B2178" s="65">
        <v>80750</v>
      </c>
    </row>
    <row r="2179" spans="1:2">
      <c r="A2179" s="280" t="s">
        <v>2271</v>
      </c>
      <c r="B2179" s="65">
        <v>121260</v>
      </c>
    </row>
    <row r="2180" spans="1:2">
      <c r="A2180" s="280" t="s">
        <v>2181</v>
      </c>
      <c r="B2180" s="65">
        <v>108747</v>
      </c>
    </row>
    <row r="2181" spans="1:2">
      <c r="A2181" s="280" t="s">
        <v>2182</v>
      </c>
      <c r="B2181" s="65">
        <v>100751</v>
      </c>
    </row>
    <row r="2182" spans="1:2">
      <c r="A2182" s="280" t="s">
        <v>2183</v>
      </c>
      <c r="B2182" s="65">
        <v>108226</v>
      </c>
    </row>
    <row r="2183" spans="1:2">
      <c r="A2183" s="280" t="s">
        <v>2184</v>
      </c>
      <c r="B2183" s="66" t="s">
        <v>6781</v>
      </c>
    </row>
    <row r="2184" spans="1:2">
      <c r="A2184" s="280" t="s">
        <v>2632</v>
      </c>
      <c r="B2184" s="65">
        <v>1172</v>
      </c>
    </row>
    <row r="2185" spans="1:2">
      <c r="A2185" s="280" t="s">
        <v>2185</v>
      </c>
      <c r="B2185" s="65">
        <v>118894</v>
      </c>
    </row>
    <row r="2186" spans="1:2">
      <c r="A2186" s="280" t="s">
        <v>2072</v>
      </c>
      <c r="B2186" s="65">
        <v>107025</v>
      </c>
    </row>
    <row r="2187" spans="1:2">
      <c r="A2187" s="280" t="s">
        <v>2074</v>
      </c>
      <c r="B2187" s="65">
        <v>160317</v>
      </c>
    </row>
    <row r="2188" spans="1:2">
      <c r="A2188" s="280" t="s">
        <v>2621</v>
      </c>
      <c r="B2188" s="65">
        <v>156931</v>
      </c>
    </row>
    <row r="2189" spans="1:2">
      <c r="A2189" s="280" t="s">
        <v>2076</v>
      </c>
      <c r="B2189" s="65">
        <v>138405</v>
      </c>
    </row>
    <row r="2190" spans="1:2">
      <c r="A2190" s="280" t="s">
        <v>1963</v>
      </c>
      <c r="B2190" s="65">
        <v>124994</v>
      </c>
    </row>
    <row r="2191" spans="1:2">
      <c r="A2191" s="280" t="s">
        <v>1964</v>
      </c>
      <c r="B2191" s="65">
        <v>113615</v>
      </c>
    </row>
    <row r="2192" spans="1:2">
      <c r="A2192" s="280" t="s">
        <v>1965</v>
      </c>
      <c r="B2192" s="65">
        <v>105219</v>
      </c>
    </row>
    <row r="2193" spans="1:2">
      <c r="A2193" s="280" t="s">
        <v>1966</v>
      </c>
      <c r="B2193" s="65">
        <v>138617</v>
      </c>
    </row>
    <row r="2194" spans="1:2">
      <c r="A2194" s="280" t="s">
        <v>2629</v>
      </c>
      <c r="B2194" s="65">
        <v>31505</v>
      </c>
    </row>
    <row r="2195" spans="1:2">
      <c r="A2195" s="280" t="s">
        <v>1967</v>
      </c>
      <c r="B2195" s="65">
        <v>156825</v>
      </c>
    </row>
    <row r="2196" spans="1:2">
      <c r="A2196" s="280" t="s">
        <v>2186</v>
      </c>
      <c r="B2196" s="65">
        <v>159055</v>
      </c>
    </row>
    <row r="2197" spans="1:2">
      <c r="A2197" s="280" t="s">
        <v>2187</v>
      </c>
      <c r="B2197" s="65">
        <v>22502</v>
      </c>
    </row>
    <row r="2198" spans="1:2">
      <c r="A2198" s="280" t="s">
        <v>2188</v>
      </c>
      <c r="B2198" s="65">
        <v>63423</v>
      </c>
    </row>
    <row r="2199" spans="1:2">
      <c r="A2199" s="280" t="s">
        <v>2189</v>
      </c>
      <c r="B2199" s="65">
        <v>15934</v>
      </c>
    </row>
    <row r="2200" spans="1:2">
      <c r="A2200" s="280" t="s">
        <v>2190</v>
      </c>
      <c r="B2200" s="65">
        <v>156759</v>
      </c>
    </row>
    <row r="2201" spans="1:2">
      <c r="A2201" s="280" t="s">
        <v>2191</v>
      </c>
      <c r="B2201" s="65">
        <v>132999</v>
      </c>
    </row>
    <row r="2202" spans="1:2">
      <c r="A2202" s="280" t="s">
        <v>2077</v>
      </c>
      <c r="B2202" s="65">
        <v>129751</v>
      </c>
    </row>
    <row r="2203" spans="1:2">
      <c r="A2203" s="280" t="s">
        <v>2078</v>
      </c>
      <c r="B2203" s="66" t="s">
        <v>6781</v>
      </c>
    </row>
    <row r="2204" spans="1:2">
      <c r="A2204" s="280" t="s">
        <v>2079</v>
      </c>
      <c r="B2204" s="65">
        <v>173454</v>
      </c>
    </row>
    <row r="2205" spans="1:2">
      <c r="A2205" s="280" t="s">
        <v>2081</v>
      </c>
      <c r="B2205" s="65">
        <v>113622</v>
      </c>
    </row>
    <row r="2206" spans="1:2">
      <c r="A2206" s="280" t="s">
        <v>2082</v>
      </c>
      <c r="B2206" s="66" t="s">
        <v>6781</v>
      </c>
    </row>
    <row r="2207" spans="1:2">
      <c r="A2207" s="280" t="s">
        <v>1968</v>
      </c>
      <c r="B2207" s="65">
        <v>159176</v>
      </c>
    </row>
    <row r="2208" spans="1:2">
      <c r="A2208" s="280" t="s">
        <v>1969</v>
      </c>
      <c r="B2208" s="65">
        <v>90149</v>
      </c>
    </row>
    <row r="2209" spans="1:2">
      <c r="A2209" s="280" t="s">
        <v>1970</v>
      </c>
      <c r="B2209" s="65">
        <v>142655</v>
      </c>
    </row>
    <row r="2210" spans="1:2">
      <c r="A2210" s="280" t="s">
        <v>1971</v>
      </c>
      <c r="B2210" s="65">
        <v>110816</v>
      </c>
    </row>
    <row r="2211" spans="1:2">
      <c r="A2211" s="280" t="s">
        <v>1972</v>
      </c>
      <c r="B2211" s="66" t="s">
        <v>6781</v>
      </c>
    </row>
    <row r="2212" spans="1:2">
      <c r="A2212" s="280" t="s">
        <v>1973</v>
      </c>
      <c r="B2212" s="66" t="s">
        <v>6781</v>
      </c>
    </row>
    <row r="2213" spans="1:2">
      <c r="A2213" s="280" t="s">
        <v>2192</v>
      </c>
      <c r="B2213" s="65">
        <v>62856</v>
      </c>
    </row>
    <row r="2214" spans="1:2">
      <c r="A2214" s="280" t="s">
        <v>2193</v>
      </c>
      <c r="B2214" s="65">
        <v>79</v>
      </c>
    </row>
    <row r="2215" spans="1:2">
      <c r="A2215" s="280" t="s">
        <v>2194</v>
      </c>
      <c r="B2215" s="65">
        <v>130172</v>
      </c>
    </row>
    <row r="2216" spans="1:2">
      <c r="A2216" s="280" t="s">
        <v>2195</v>
      </c>
      <c r="B2216" s="65">
        <v>177479</v>
      </c>
    </row>
    <row r="2217" spans="1:2">
      <c r="A2217" s="280" t="s">
        <v>2196</v>
      </c>
      <c r="B2217" s="65">
        <v>120015</v>
      </c>
    </row>
    <row r="2218" spans="1:2">
      <c r="A2218" s="280" t="s">
        <v>2197</v>
      </c>
      <c r="B2218" s="65">
        <v>139446</v>
      </c>
    </row>
    <row r="2219" spans="1:2">
      <c r="A2219" s="280" t="s">
        <v>2083</v>
      </c>
      <c r="B2219" s="65">
        <v>130173</v>
      </c>
    </row>
    <row r="2220" spans="1:2">
      <c r="A2220" s="280" t="s">
        <v>2084</v>
      </c>
      <c r="B2220" s="65">
        <v>130120</v>
      </c>
    </row>
    <row r="2221" spans="1:2">
      <c r="A2221" s="280" t="s">
        <v>2085</v>
      </c>
      <c r="B2221" s="65">
        <v>35137</v>
      </c>
    </row>
    <row r="2222" spans="1:2">
      <c r="A2222" s="280" t="s">
        <v>2086</v>
      </c>
      <c r="B2222" s="65">
        <v>110086</v>
      </c>
    </row>
    <row r="2223" spans="1:2">
      <c r="A2223" s="280" t="s">
        <v>2087</v>
      </c>
      <c r="B2223" s="65">
        <v>110226</v>
      </c>
    </row>
    <row r="2224" spans="1:2">
      <c r="A2224" s="280" t="s">
        <v>2088</v>
      </c>
      <c r="B2224" s="65">
        <v>108449</v>
      </c>
    </row>
    <row r="2225" spans="1:2">
      <c r="A2225" s="280" t="s">
        <v>1974</v>
      </c>
      <c r="B2225" s="65">
        <v>159053</v>
      </c>
    </row>
    <row r="2226" spans="1:2">
      <c r="A2226" s="280" t="s">
        <v>1975</v>
      </c>
      <c r="B2226" s="65">
        <v>278</v>
      </c>
    </row>
    <row r="2227" spans="1:2">
      <c r="A2227" s="280" t="s">
        <v>1976</v>
      </c>
      <c r="B2227" s="65">
        <v>127255</v>
      </c>
    </row>
    <row r="2228" spans="1:2">
      <c r="A2228" s="280" t="s">
        <v>1977</v>
      </c>
      <c r="B2228" s="65">
        <v>117127</v>
      </c>
    </row>
    <row r="2229" spans="1:2">
      <c r="A2229" s="280" t="s">
        <v>1978</v>
      </c>
      <c r="B2229" s="65">
        <v>138404</v>
      </c>
    </row>
    <row r="2230" spans="1:2">
      <c r="A2230" s="280" t="s">
        <v>1979</v>
      </c>
      <c r="B2230" s="66" t="s">
        <v>6781</v>
      </c>
    </row>
    <row r="2231" spans="1:2">
      <c r="A2231" s="280" t="s">
        <v>2198</v>
      </c>
      <c r="B2231" s="65">
        <v>97130</v>
      </c>
    </row>
    <row r="2232" spans="1:2">
      <c r="A2232" s="280" t="s">
        <v>2199</v>
      </c>
      <c r="B2232" s="65">
        <v>132599</v>
      </c>
    </row>
    <row r="2233" spans="1:2">
      <c r="A2233" s="280" t="s">
        <v>2200</v>
      </c>
      <c r="B2233" s="65">
        <v>100651</v>
      </c>
    </row>
    <row r="2234" spans="1:2">
      <c r="A2234" s="280" t="s">
        <v>2201</v>
      </c>
      <c r="B2234" s="65">
        <v>114101</v>
      </c>
    </row>
    <row r="2235" spans="1:2">
      <c r="A2235" s="280" t="s">
        <v>2202</v>
      </c>
      <c r="B2235" s="65">
        <v>7151</v>
      </c>
    </row>
    <row r="2236" spans="1:2">
      <c r="A2236" s="280" t="s">
        <v>2203</v>
      </c>
      <c r="B2236" s="65">
        <v>89551</v>
      </c>
    </row>
    <row r="2237" spans="1:2">
      <c r="A2237" s="280" t="s">
        <v>2089</v>
      </c>
      <c r="B2237" s="65">
        <v>113471</v>
      </c>
    </row>
    <row r="2238" spans="1:2">
      <c r="A2238" s="280" t="s">
        <v>2090</v>
      </c>
      <c r="B2238" s="66" t="s">
        <v>6781</v>
      </c>
    </row>
    <row r="2239" spans="1:2">
      <c r="A2239" s="280" t="s">
        <v>2091</v>
      </c>
      <c r="B2239" s="65">
        <v>115524</v>
      </c>
    </row>
    <row r="2240" spans="1:2">
      <c r="A2240" s="280" t="s">
        <v>2092</v>
      </c>
      <c r="B2240" s="65">
        <v>100382</v>
      </c>
    </row>
    <row r="2241" spans="1:2">
      <c r="A2241" s="280" t="s">
        <v>2093</v>
      </c>
      <c r="B2241" s="65">
        <v>1381</v>
      </c>
    </row>
    <row r="2242" spans="1:2">
      <c r="A2242" s="280" t="s">
        <v>2094</v>
      </c>
      <c r="B2242" s="65">
        <v>100217</v>
      </c>
    </row>
    <row r="2243" spans="1:2">
      <c r="A2243" s="280" t="s">
        <v>1980</v>
      </c>
      <c r="B2243" s="65">
        <v>14485</v>
      </c>
    </row>
    <row r="2244" spans="1:2">
      <c r="A2244" s="280" t="s">
        <v>1981</v>
      </c>
      <c r="B2244" s="65">
        <v>132699</v>
      </c>
    </row>
    <row r="2245" spans="1:2">
      <c r="A2245" s="280" t="s">
        <v>1982</v>
      </c>
      <c r="B2245" s="65">
        <v>13542</v>
      </c>
    </row>
    <row r="2246" spans="1:2">
      <c r="A2246" s="280" t="s">
        <v>1983</v>
      </c>
      <c r="B2246" s="65">
        <v>84017</v>
      </c>
    </row>
    <row r="2247" spans="1:2">
      <c r="A2247" s="280" t="s">
        <v>1984</v>
      </c>
      <c r="B2247" s="65">
        <v>124932</v>
      </c>
    </row>
    <row r="2248" spans="1:2">
      <c r="A2248" s="280" t="s">
        <v>1985</v>
      </c>
      <c r="B2248" s="65">
        <v>110872</v>
      </c>
    </row>
    <row r="2249" spans="1:2">
      <c r="A2249" s="280" t="s">
        <v>2204</v>
      </c>
      <c r="B2249" s="65">
        <v>49200</v>
      </c>
    </row>
    <row r="2250" spans="1:2">
      <c r="A2250" s="280" t="s">
        <v>2205</v>
      </c>
      <c r="B2250" s="65">
        <v>58621</v>
      </c>
    </row>
    <row r="2251" spans="1:2">
      <c r="A2251" s="280" t="s">
        <v>2206</v>
      </c>
      <c r="B2251" s="65">
        <v>116844</v>
      </c>
    </row>
    <row r="2252" spans="1:2">
      <c r="A2252" s="280" t="s">
        <v>2207</v>
      </c>
      <c r="B2252" s="65">
        <v>82458</v>
      </c>
    </row>
    <row r="2253" spans="1:2">
      <c r="A2253" s="280" t="s">
        <v>2208</v>
      </c>
      <c r="B2253" s="65">
        <v>133874</v>
      </c>
    </row>
    <row r="2254" spans="1:2">
      <c r="A2254" s="280" t="s">
        <v>2209</v>
      </c>
      <c r="B2254" s="65">
        <v>7348</v>
      </c>
    </row>
    <row r="2255" spans="1:2">
      <c r="A2255" s="280" t="s">
        <v>2095</v>
      </c>
      <c r="B2255" s="65">
        <v>101441</v>
      </c>
    </row>
    <row r="2256" spans="1:2">
      <c r="A2256" s="280" t="s">
        <v>2096</v>
      </c>
      <c r="B2256" s="65">
        <v>178330</v>
      </c>
    </row>
    <row r="2257" spans="1:2">
      <c r="A2257" s="280" t="s">
        <v>2097</v>
      </c>
      <c r="B2257" s="65">
        <v>35274</v>
      </c>
    </row>
    <row r="2258" spans="1:2">
      <c r="A2258" s="280" t="s">
        <v>2098</v>
      </c>
      <c r="B2258" s="65">
        <v>117922</v>
      </c>
    </row>
    <row r="2259" spans="1:2">
      <c r="A2259" s="280" t="s">
        <v>2099</v>
      </c>
      <c r="B2259" s="65">
        <v>138759</v>
      </c>
    </row>
    <row r="2260" spans="1:2">
      <c r="A2260" s="280" t="s">
        <v>2100</v>
      </c>
      <c r="B2260" s="65">
        <v>177623</v>
      </c>
    </row>
    <row r="2261" spans="1:2">
      <c r="A2261" s="280" t="s">
        <v>1986</v>
      </c>
      <c r="B2261" s="65">
        <v>2698</v>
      </c>
    </row>
    <row r="2262" spans="1:2">
      <c r="A2262" s="280" t="s">
        <v>1987</v>
      </c>
      <c r="B2262" s="65">
        <v>178450</v>
      </c>
    </row>
    <row r="2263" spans="1:2">
      <c r="A2263" s="280" t="s">
        <v>1988</v>
      </c>
      <c r="B2263" s="65">
        <v>107899</v>
      </c>
    </row>
    <row r="2264" spans="1:2">
      <c r="A2264" s="280" t="s">
        <v>1989</v>
      </c>
      <c r="B2264" s="65">
        <v>472</v>
      </c>
    </row>
    <row r="2265" spans="1:2">
      <c r="A2265" s="280" t="s">
        <v>1990</v>
      </c>
      <c r="B2265" s="65">
        <v>74241</v>
      </c>
    </row>
    <row r="2266" spans="1:2">
      <c r="A2266" s="280" t="s">
        <v>1991</v>
      </c>
      <c r="B2266" s="65">
        <v>92080</v>
      </c>
    </row>
    <row r="2267" spans="1:2">
      <c r="A2267" s="280" t="s">
        <v>2210</v>
      </c>
      <c r="B2267" s="65">
        <v>172653</v>
      </c>
    </row>
    <row r="2268" spans="1:2">
      <c r="A2268" s="280" t="s">
        <v>2211</v>
      </c>
      <c r="B2268" s="65">
        <v>47353</v>
      </c>
    </row>
    <row r="2269" spans="1:2">
      <c r="A2269" s="280" t="s">
        <v>2212</v>
      </c>
      <c r="B2269" s="65">
        <v>158218</v>
      </c>
    </row>
    <row r="2270" spans="1:2">
      <c r="A2270" s="280" t="s">
        <v>2213</v>
      </c>
      <c r="B2270" s="65">
        <v>124146</v>
      </c>
    </row>
    <row r="2271" spans="1:2">
      <c r="A2271" s="280" t="s">
        <v>2214</v>
      </c>
      <c r="B2271" s="65">
        <v>116908</v>
      </c>
    </row>
    <row r="2272" spans="1:2">
      <c r="A2272" s="280" t="s">
        <v>2215</v>
      </c>
      <c r="B2272" s="65">
        <v>84018</v>
      </c>
    </row>
    <row r="2273" spans="1:2">
      <c r="A2273" s="280" t="s">
        <v>2101</v>
      </c>
      <c r="B2273" s="65">
        <v>121302</v>
      </c>
    </row>
    <row r="2274" spans="1:2">
      <c r="A2274" s="280" t="s">
        <v>2102</v>
      </c>
      <c r="B2274" s="65">
        <v>85072</v>
      </c>
    </row>
    <row r="2275" spans="1:2">
      <c r="A2275" s="280" t="s">
        <v>2103</v>
      </c>
      <c r="B2275" s="65">
        <v>1839</v>
      </c>
    </row>
    <row r="2276" spans="1:2">
      <c r="A2276" s="280" t="s">
        <v>2104</v>
      </c>
      <c r="B2276" s="65">
        <v>132594</v>
      </c>
    </row>
    <row r="2277" spans="1:2">
      <c r="A2277" s="280" t="s">
        <v>2105</v>
      </c>
      <c r="B2277" s="65">
        <v>178638</v>
      </c>
    </row>
    <row r="2278" spans="1:2">
      <c r="A2278" s="280" t="s">
        <v>2106</v>
      </c>
      <c r="B2278" s="65">
        <v>132590</v>
      </c>
    </row>
    <row r="2279" spans="1:2">
      <c r="A2279" s="280" t="s">
        <v>1992</v>
      </c>
      <c r="B2279" s="65">
        <v>58569</v>
      </c>
    </row>
    <row r="2280" spans="1:2">
      <c r="A2280" s="280" t="s">
        <v>1993</v>
      </c>
      <c r="B2280" s="65">
        <v>121693</v>
      </c>
    </row>
    <row r="2281" spans="1:2">
      <c r="A2281" s="280" t="s">
        <v>1994</v>
      </c>
      <c r="B2281" s="65">
        <v>7634</v>
      </c>
    </row>
    <row r="2282" spans="1:2">
      <c r="A2282" s="280" t="s">
        <v>1995</v>
      </c>
      <c r="B2282" s="65">
        <v>119962</v>
      </c>
    </row>
    <row r="2283" spans="1:2">
      <c r="A2283" s="280" t="s">
        <v>1996</v>
      </c>
      <c r="B2283" s="65">
        <v>24156</v>
      </c>
    </row>
    <row r="2284" spans="1:2">
      <c r="A2284" s="280" t="s">
        <v>1997</v>
      </c>
      <c r="B2284" s="65">
        <v>116951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AD71-AE2B-4EA9-9E64-97BEFA60CBEC}">
  <dimension ref="A1:D1723"/>
  <sheetViews>
    <sheetView tabSelected="1" workbookViewId="0">
      <selection activeCell="C2" sqref="C2"/>
    </sheetView>
  </sheetViews>
  <sheetFormatPr defaultColWidth="8.85546875" defaultRowHeight="15"/>
  <cols>
    <col min="1" max="1" width="11.42578125" bestFit="1" customWidth="1"/>
    <col min="2" max="2" width="7" bestFit="1" customWidth="1"/>
    <col min="3" max="3" width="15.42578125" bestFit="1" customWidth="1"/>
    <col min="4" max="4" width="5.42578125" bestFit="1" customWidth="1"/>
  </cols>
  <sheetData>
    <row r="1" spans="1:4" ht="46.5" customHeight="1">
      <c r="A1" s="67" t="s">
        <v>3590</v>
      </c>
      <c r="B1" s="67" t="s">
        <v>3588</v>
      </c>
      <c r="C1" s="67" t="s">
        <v>3591</v>
      </c>
      <c r="D1" s="67" t="s">
        <v>3592</v>
      </c>
    </row>
    <row r="2" spans="1:4">
      <c r="A2" s="66" t="s">
        <v>1154</v>
      </c>
      <c r="B2" s="65">
        <v>35148</v>
      </c>
      <c r="C2" s="65">
        <v>35148</v>
      </c>
      <c r="D2" s="65">
        <v>1011</v>
      </c>
    </row>
    <row r="3" spans="1:4">
      <c r="A3" s="66" t="s">
        <v>1722</v>
      </c>
      <c r="B3" s="65">
        <v>113597</v>
      </c>
      <c r="C3" s="65">
        <v>358200</v>
      </c>
      <c r="D3" s="65">
        <v>900</v>
      </c>
    </row>
    <row r="4" spans="1:4">
      <c r="A4" s="66" t="s">
        <v>1721</v>
      </c>
      <c r="B4" s="65">
        <v>156697</v>
      </c>
      <c r="C4" s="65">
        <v>2510</v>
      </c>
      <c r="D4" s="65">
        <v>873</v>
      </c>
    </row>
    <row r="5" spans="1:4">
      <c r="A5" s="66" t="s">
        <v>408</v>
      </c>
      <c r="B5" s="65">
        <v>111868</v>
      </c>
      <c r="C5" s="65">
        <v>3342</v>
      </c>
      <c r="D5" s="65">
        <v>822</v>
      </c>
    </row>
    <row r="6" spans="1:4">
      <c r="A6" s="66" t="s">
        <v>2409</v>
      </c>
      <c r="B6" s="65">
        <v>111</v>
      </c>
      <c r="C6" s="65">
        <v>6246</v>
      </c>
      <c r="D6" s="65">
        <v>734</v>
      </c>
    </row>
    <row r="7" spans="1:4">
      <c r="A7" s="66" t="s">
        <v>2077</v>
      </c>
      <c r="B7" s="65">
        <v>129751</v>
      </c>
      <c r="C7" s="65">
        <v>15388</v>
      </c>
      <c r="D7" s="65">
        <v>687</v>
      </c>
    </row>
    <row r="8" spans="1:4">
      <c r="A8" s="66" t="s">
        <v>413</v>
      </c>
      <c r="B8" s="65">
        <v>157426</v>
      </c>
      <c r="C8" s="65">
        <v>13215</v>
      </c>
      <c r="D8" s="65">
        <v>675</v>
      </c>
    </row>
    <row r="9" spans="1:4">
      <c r="A9" s="66" t="s">
        <v>2451</v>
      </c>
      <c r="B9" s="65">
        <v>120004</v>
      </c>
      <c r="C9" s="65">
        <v>254100</v>
      </c>
      <c r="D9" s="65">
        <v>665</v>
      </c>
    </row>
    <row r="10" spans="1:4">
      <c r="A10" s="66" t="s">
        <v>2004</v>
      </c>
      <c r="B10" s="65">
        <v>133777</v>
      </c>
      <c r="C10" s="65">
        <v>83830</v>
      </c>
      <c r="D10" s="65">
        <v>615</v>
      </c>
    </row>
    <row r="11" spans="1:4">
      <c r="A11" s="66" t="s">
        <v>407</v>
      </c>
      <c r="B11" s="65">
        <v>116916</v>
      </c>
      <c r="C11" s="65">
        <v>13301</v>
      </c>
      <c r="D11" s="65">
        <v>573</v>
      </c>
    </row>
    <row r="12" spans="1:4">
      <c r="A12" s="66" t="s">
        <v>395</v>
      </c>
      <c r="B12" s="65">
        <v>111867</v>
      </c>
      <c r="C12" s="65">
        <v>2162</v>
      </c>
      <c r="D12" s="65">
        <v>563</v>
      </c>
    </row>
    <row r="13" spans="1:4">
      <c r="A13" s="66" t="s">
        <v>2572</v>
      </c>
      <c r="B13" s="65">
        <v>178499</v>
      </c>
      <c r="C13" s="65">
        <v>14093</v>
      </c>
      <c r="D13" s="65">
        <v>535</v>
      </c>
    </row>
    <row r="14" spans="1:4">
      <c r="A14" s="66" t="s">
        <v>1704</v>
      </c>
      <c r="B14" s="65">
        <v>111869</v>
      </c>
      <c r="C14" s="65">
        <v>1986</v>
      </c>
      <c r="D14" s="65">
        <v>526</v>
      </c>
    </row>
    <row r="15" spans="1:4">
      <c r="A15" s="66" t="s">
        <v>2452</v>
      </c>
      <c r="B15" s="65">
        <v>2456</v>
      </c>
      <c r="C15" s="65">
        <v>10555</v>
      </c>
      <c r="D15" s="65">
        <v>514</v>
      </c>
    </row>
    <row r="16" spans="1:4">
      <c r="A16" s="66" t="s">
        <v>2116</v>
      </c>
      <c r="B16" s="65">
        <v>65585</v>
      </c>
      <c r="C16" s="65">
        <v>1691</v>
      </c>
      <c r="D16" s="65">
        <v>502</v>
      </c>
    </row>
    <row r="17" spans="1:4">
      <c r="A17" s="66" t="s">
        <v>402</v>
      </c>
      <c r="B17" s="65">
        <v>176166</v>
      </c>
      <c r="C17" s="65">
        <v>20077</v>
      </c>
      <c r="D17" s="65">
        <v>495</v>
      </c>
    </row>
    <row r="18" spans="1:4">
      <c r="A18" s="66" t="s">
        <v>2427</v>
      </c>
      <c r="B18" s="65">
        <v>1459</v>
      </c>
      <c r="C18" s="65">
        <v>7589</v>
      </c>
      <c r="D18" s="65">
        <v>494</v>
      </c>
    </row>
    <row r="19" spans="1:4">
      <c r="A19" s="66" t="s">
        <v>2418</v>
      </c>
      <c r="B19" s="65">
        <v>54</v>
      </c>
      <c r="C19" s="65">
        <v>12707</v>
      </c>
      <c r="D19" s="65">
        <v>492</v>
      </c>
    </row>
    <row r="20" spans="1:4">
      <c r="A20" s="66" t="s">
        <v>1160</v>
      </c>
      <c r="B20" s="65">
        <v>110451</v>
      </c>
      <c r="C20" s="65">
        <v>1129</v>
      </c>
      <c r="D20" s="65">
        <v>485</v>
      </c>
    </row>
    <row r="21" spans="1:4">
      <c r="A21" s="66" t="s">
        <v>809</v>
      </c>
      <c r="B21" s="65">
        <v>100875</v>
      </c>
      <c r="C21" s="65">
        <v>7366</v>
      </c>
      <c r="D21" s="65">
        <v>485</v>
      </c>
    </row>
    <row r="22" spans="1:4">
      <c r="A22" s="66" t="s">
        <v>2081</v>
      </c>
      <c r="B22" s="65">
        <v>113622</v>
      </c>
      <c r="C22" s="65">
        <v>7678</v>
      </c>
      <c r="D22" s="65">
        <v>473</v>
      </c>
    </row>
    <row r="23" spans="1:4">
      <c r="A23" s="66" t="s">
        <v>1151</v>
      </c>
      <c r="B23" s="65">
        <v>135743</v>
      </c>
      <c r="C23" s="65">
        <v>78550</v>
      </c>
      <c r="D23" s="65">
        <v>467</v>
      </c>
    </row>
    <row r="24" spans="1:4">
      <c r="A24" s="66" t="s">
        <v>995</v>
      </c>
      <c r="B24" s="65">
        <v>112169</v>
      </c>
      <c r="C24" s="65">
        <v>6785</v>
      </c>
      <c r="D24" s="65">
        <v>466</v>
      </c>
    </row>
    <row r="25" spans="1:4">
      <c r="A25" s="66" t="s">
        <v>2627</v>
      </c>
      <c r="B25" s="65">
        <v>128030</v>
      </c>
      <c r="C25" s="65">
        <v>5484</v>
      </c>
      <c r="D25" s="65">
        <v>454</v>
      </c>
    </row>
    <row r="26" spans="1:4">
      <c r="A26" s="66" t="s">
        <v>1716</v>
      </c>
      <c r="B26" s="65">
        <v>130235</v>
      </c>
      <c r="C26" s="65">
        <v>9120</v>
      </c>
      <c r="D26" s="65">
        <v>451</v>
      </c>
    </row>
    <row r="27" spans="1:4">
      <c r="A27" s="66" t="s">
        <v>1496</v>
      </c>
      <c r="B27" s="65">
        <v>140229</v>
      </c>
      <c r="C27" s="65">
        <v>21920</v>
      </c>
      <c r="D27" s="65">
        <v>443</v>
      </c>
    </row>
    <row r="28" spans="1:4">
      <c r="A28" s="66" t="s">
        <v>1159</v>
      </c>
      <c r="B28" s="65">
        <v>100107</v>
      </c>
      <c r="C28" s="65">
        <v>23280</v>
      </c>
      <c r="D28" s="65">
        <v>438</v>
      </c>
    </row>
    <row r="29" spans="1:4">
      <c r="A29" s="66" t="s">
        <v>396</v>
      </c>
      <c r="B29" s="65">
        <v>160086</v>
      </c>
      <c r="C29" s="65">
        <v>18420</v>
      </c>
      <c r="D29" s="65">
        <v>434</v>
      </c>
    </row>
    <row r="30" spans="1:4">
      <c r="A30" s="66" t="s">
        <v>1587</v>
      </c>
      <c r="B30" s="65">
        <v>157068</v>
      </c>
      <c r="C30" s="65">
        <v>8820</v>
      </c>
      <c r="D30" s="65">
        <v>432</v>
      </c>
    </row>
    <row r="31" spans="1:4">
      <c r="A31" s="66" t="s">
        <v>807</v>
      </c>
      <c r="B31" s="65">
        <v>125897</v>
      </c>
      <c r="C31" s="65">
        <v>882</v>
      </c>
      <c r="D31" s="65">
        <v>431</v>
      </c>
    </row>
    <row r="32" spans="1:4">
      <c r="A32" s="66" t="s">
        <v>773</v>
      </c>
      <c r="B32" s="65">
        <v>112566</v>
      </c>
      <c r="C32" s="65">
        <v>184200</v>
      </c>
      <c r="D32" s="65">
        <v>427</v>
      </c>
    </row>
    <row r="33" spans="1:4">
      <c r="A33" s="66" t="s">
        <v>2414</v>
      </c>
      <c r="B33" s="65">
        <v>428</v>
      </c>
      <c r="C33" s="65">
        <v>9355</v>
      </c>
      <c r="D33" s="65">
        <v>405</v>
      </c>
    </row>
    <row r="34" spans="1:4">
      <c r="A34" s="66" t="s">
        <v>769</v>
      </c>
      <c r="B34" s="65">
        <v>135227</v>
      </c>
      <c r="C34" s="65">
        <v>11995</v>
      </c>
      <c r="D34" s="65">
        <v>404</v>
      </c>
    </row>
    <row r="35" spans="1:4">
      <c r="A35" s="66" t="s">
        <v>1289</v>
      </c>
      <c r="B35" s="65">
        <v>225537</v>
      </c>
      <c r="C35" s="65">
        <v>7665</v>
      </c>
      <c r="D35" s="65">
        <v>399</v>
      </c>
    </row>
    <row r="36" spans="1:4">
      <c r="A36" s="66" t="s">
        <v>2620</v>
      </c>
      <c r="B36" s="65">
        <v>100907</v>
      </c>
      <c r="C36" s="65">
        <v>19429</v>
      </c>
      <c r="D36" s="65">
        <v>394</v>
      </c>
    </row>
    <row r="37" spans="1:4">
      <c r="A37" s="66" t="s">
        <v>1448</v>
      </c>
      <c r="B37" s="65">
        <v>100955</v>
      </c>
      <c r="C37" s="65">
        <v>5839</v>
      </c>
      <c r="D37" s="65">
        <v>393</v>
      </c>
    </row>
    <row r="38" spans="1:4">
      <c r="A38" s="66" t="s">
        <v>2134</v>
      </c>
      <c r="B38" s="65">
        <v>123728</v>
      </c>
      <c r="C38" s="65">
        <v>12806</v>
      </c>
      <c r="D38" s="65">
        <v>384</v>
      </c>
    </row>
    <row r="39" spans="1:4">
      <c r="A39" s="66" t="s">
        <v>768</v>
      </c>
      <c r="B39" s="65">
        <v>113611</v>
      </c>
      <c r="C39" s="65">
        <v>4025</v>
      </c>
      <c r="D39" s="65">
        <v>380</v>
      </c>
    </row>
    <row r="40" spans="1:4">
      <c r="A40" s="66" t="s">
        <v>2076</v>
      </c>
      <c r="B40" s="65">
        <v>138405</v>
      </c>
      <c r="C40" s="65">
        <v>4217</v>
      </c>
      <c r="D40" s="65">
        <v>379</v>
      </c>
    </row>
    <row r="41" spans="1:4">
      <c r="A41" s="66" t="s">
        <v>2454</v>
      </c>
      <c r="B41" s="65">
        <v>118779</v>
      </c>
      <c r="C41" s="65">
        <v>56850</v>
      </c>
      <c r="D41" s="65">
        <v>377</v>
      </c>
    </row>
    <row r="42" spans="1:4">
      <c r="A42" s="66" t="s">
        <v>455</v>
      </c>
      <c r="B42" s="65">
        <v>100771</v>
      </c>
      <c r="C42" s="65">
        <v>4074</v>
      </c>
      <c r="D42" s="65">
        <v>374</v>
      </c>
    </row>
    <row r="43" spans="1:4">
      <c r="A43" s="66" t="s">
        <v>1169</v>
      </c>
      <c r="B43" s="65">
        <v>12747</v>
      </c>
      <c r="C43" s="65">
        <v>4090</v>
      </c>
      <c r="D43" s="65">
        <v>373</v>
      </c>
    </row>
    <row r="44" spans="1:4">
      <c r="A44" s="66" t="s">
        <v>2579</v>
      </c>
      <c r="B44" s="65">
        <v>101321</v>
      </c>
      <c r="C44" s="65">
        <v>6415</v>
      </c>
      <c r="D44" s="65">
        <v>367</v>
      </c>
    </row>
    <row r="45" spans="1:4">
      <c r="A45" s="66" t="s">
        <v>2119</v>
      </c>
      <c r="B45" s="65">
        <v>566</v>
      </c>
      <c r="C45" s="65">
        <v>16850</v>
      </c>
      <c r="D45" s="65">
        <v>363</v>
      </c>
    </row>
    <row r="46" spans="1:4">
      <c r="A46" s="66" t="s">
        <v>414</v>
      </c>
      <c r="B46" s="65">
        <v>156698</v>
      </c>
      <c r="C46" s="65">
        <v>951</v>
      </c>
      <c r="D46" s="65">
        <v>359</v>
      </c>
    </row>
    <row r="47" spans="1:4">
      <c r="A47" s="66" t="s">
        <v>2008</v>
      </c>
      <c r="B47" s="65">
        <v>129750</v>
      </c>
      <c r="C47" s="65">
        <v>4719</v>
      </c>
      <c r="D47" s="65">
        <v>357</v>
      </c>
    </row>
    <row r="48" spans="1:4">
      <c r="A48" s="66" t="s">
        <v>1266</v>
      </c>
      <c r="B48" s="65">
        <v>120003</v>
      </c>
      <c r="C48" s="65">
        <v>25598</v>
      </c>
      <c r="D48" s="65">
        <v>351</v>
      </c>
    </row>
    <row r="49" spans="1:4">
      <c r="A49" s="66" t="s">
        <v>1184</v>
      </c>
      <c r="B49" s="65">
        <v>114795</v>
      </c>
      <c r="C49" s="65">
        <v>3896</v>
      </c>
      <c r="D49" s="65">
        <v>348</v>
      </c>
    </row>
    <row r="50" spans="1:4">
      <c r="A50" s="66" t="s">
        <v>2456</v>
      </c>
      <c r="B50" s="65">
        <v>108869</v>
      </c>
      <c r="C50" s="65">
        <v>620800</v>
      </c>
      <c r="D50" s="65">
        <v>346</v>
      </c>
    </row>
    <row r="51" spans="1:4">
      <c r="A51" s="66" t="s">
        <v>2117</v>
      </c>
      <c r="B51" s="65">
        <v>158212</v>
      </c>
      <c r="C51" s="65">
        <v>3793</v>
      </c>
      <c r="D51" s="65">
        <v>340</v>
      </c>
    </row>
    <row r="52" spans="1:4">
      <c r="A52" s="66" t="s">
        <v>815</v>
      </c>
      <c r="B52" s="65">
        <v>129752</v>
      </c>
      <c r="C52" s="65">
        <v>5112</v>
      </c>
      <c r="D52" s="65">
        <v>337</v>
      </c>
    </row>
    <row r="53" spans="1:4">
      <c r="A53" s="66" t="s">
        <v>2484</v>
      </c>
      <c r="B53" s="65">
        <v>130558</v>
      </c>
      <c r="C53" s="65">
        <v>2661</v>
      </c>
      <c r="D53" s="65">
        <v>334</v>
      </c>
    </row>
    <row r="54" spans="1:4">
      <c r="A54" s="66" t="s">
        <v>1372</v>
      </c>
      <c r="B54" s="65">
        <v>42860</v>
      </c>
      <c r="C54" s="65">
        <v>16041</v>
      </c>
      <c r="D54" s="65">
        <v>332</v>
      </c>
    </row>
    <row r="55" spans="1:4">
      <c r="A55" s="66" t="s">
        <v>2370</v>
      </c>
      <c r="B55" s="65">
        <v>129854</v>
      </c>
      <c r="C55" s="65">
        <v>4162</v>
      </c>
      <c r="D55" s="65">
        <v>331</v>
      </c>
    </row>
    <row r="56" spans="1:4">
      <c r="A56" s="66" t="s">
        <v>1964</v>
      </c>
      <c r="B56" s="65">
        <v>113615</v>
      </c>
      <c r="C56" s="65">
        <v>6942</v>
      </c>
      <c r="D56" s="65">
        <v>328</v>
      </c>
    </row>
    <row r="57" spans="1:4">
      <c r="A57" s="66" t="s">
        <v>401</v>
      </c>
      <c r="B57" s="65">
        <v>174195</v>
      </c>
      <c r="C57" s="65">
        <v>4307</v>
      </c>
      <c r="D57" s="65">
        <v>325</v>
      </c>
    </row>
    <row r="58" spans="1:4">
      <c r="A58" s="66" t="s">
        <v>1715</v>
      </c>
      <c r="B58" s="65">
        <v>120031</v>
      </c>
      <c r="C58" s="65">
        <v>6273</v>
      </c>
      <c r="D58" s="65">
        <v>320</v>
      </c>
    </row>
    <row r="59" spans="1:4">
      <c r="A59" s="66" t="s">
        <v>2424</v>
      </c>
      <c r="B59" s="65">
        <v>72893</v>
      </c>
      <c r="C59" s="65">
        <v>6418</v>
      </c>
      <c r="D59" s="65">
        <v>312</v>
      </c>
    </row>
    <row r="60" spans="1:4">
      <c r="A60" s="66" t="s">
        <v>813</v>
      </c>
      <c r="B60" s="65">
        <v>106272</v>
      </c>
      <c r="C60" s="65">
        <v>1190</v>
      </c>
      <c r="D60" s="65">
        <v>311</v>
      </c>
    </row>
    <row r="61" spans="1:4">
      <c r="A61" s="66" t="s">
        <v>1231</v>
      </c>
      <c r="B61" s="65">
        <v>127720</v>
      </c>
      <c r="C61" s="65">
        <v>8629</v>
      </c>
      <c r="D61" s="65">
        <v>311</v>
      </c>
    </row>
    <row r="62" spans="1:4">
      <c r="A62" s="66" t="s">
        <v>883</v>
      </c>
      <c r="B62" s="65">
        <v>127395</v>
      </c>
      <c r="C62" s="65">
        <v>3379</v>
      </c>
      <c r="D62" s="65">
        <v>311</v>
      </c>
    </row>
    <row r="63" spans="1:4">
      <c r="A63" s="66" t="s">
        <v>2115</v>
      </c>
      <c r="B63" s="65">
        <v>137591</v>
      </c>
      <c r="C63" s="65">
        <v>3462</v>
      </c>
      <c r="D63" s="65">
        <v>311</v>
      </c>
    </row>
    <row r="64" spans="1:4">
      <c r="A64" s="66" t="s">
        <v>2521</v>
      </c>
      <c r="B64" s="65">
        <v>107042</v>
      </c>
      <c r="C64" s="65">
        <v>81500</v>
      </c>
      <c r="D64" s="65">
        <v>311</v>
      </c>
    </row>
    <row r="65" spans="1:4">
      <c r="A65" s="66" t="s">
        <v>1117</v>
      </c>
      <c r="B65" s="65">
        <v>129167</v>
      </c>
      <c r="C65" s="65">
        <v>1735</v>
      </c>
      <c r="D65" s="65">
        <v>302</v>
      </c>
    </row>
    <row r="66" spans="1:4">
      <c r="A66" s="66" t="s">
        <v>1124</v>
      </c>
      <c r="B66" s="65">
        <v>1001</v>
      </c>
      <c r="C66" s="65">
        <v>1730</v>
      </c>
      <c r="D66" s="65">
        <v>301</v>
      </c>
    </row>
    <row r="67" spans="1:4">
      <c r="A67" s="66" t="s">
        <v>151</v>
      </c>
      <c r="B67" s="65">
        <v>177263</v>
      </c>
      <c r="C67" s="65">
        <v>3855</v>
      </c>
      <c r="D67" s="65">
        <v>300</v>
      </c>
    </row>
    <row r="68" spans="1:4">
      <c r="A68" s="66" t="s">
        <v>492</v>
      </c>
      <c r="B68" s="65">
        <v>178640</v>
      </c>
      <c r="C68" s="65">
        <v>1944</v>
      </c>
      <c r="D68" s="65">
        <v>297</v>
      </c>
    </row>
    <row r="69" spans="1:4">
      <c r="A69" s="66" t="s">
        <v>2011</v>
      </c>
      <c r="B69" s="65">
        <v>570</v>
      </c>
      <c r="C69" s="65">
        <v>2702</v>
      </c>
      <c r="D69" s="65">
        <v>297</v>
      </c>
    </row>
    <row r="70" spans="1:4">
      <c r="A70" s="66" t="s">
        <v>2079</v>
      </c>
      <c r="B70" s="65">
        <v>173454</v>
      </c>
      <c r="C70" s="65">
        <v>65500</v>
      </c>
      <c r="D70" s="65">
        <v>296</v>
      </c>
    </row>
    <row r="71" spans="1:4">
      <c r="A71" s="66" t="s">
        <v>2417</v>
      </c>
      <c r="B71" s="65">
        <v>118440</v>
      </c>
      <c r="C71" s="65">
        <v>2771</v>
      </c>
      <c r="D71" s="65">
        <v>292</v>
      </c>
    </row>
    <row r="72" spans="1:4">
      <c r="A72" s="66" t="s">
        <v>1121</v>
      </c>
      <c r="B72" s="65">
        <v>138553</v>
      </c>
      <c r="C72" s="65">
        <v>58400</v>
      </c>
      <c r="D72" s="65">
        <v>286</v>
      </c>
    </row>
    <row r="73" spans="1:4">
      <c r="A73" s="66" t="s">
        <v>2623</v>
      </c>
      <c r="B73" s="65">
        <v>143835</v>
      </c>
      <c r="C73" s="65">
        <v>916</v>
      </c>
      <c r="D73" s="65">
        <v>285</v>
      </c>
    </row>
    <row r="74" spans="1:4">
      <c r="A74" s="66" t="s">
        <v>1453</v>
      </c>
      <c r="B74" s="65">
        <v>173075</v>
      </c>
      <c r="C74" s="65">
        <v>2218</v>
      </c>
      <c r="D74" s="65">
        <v>277</v>
      </c>
    </row>
    <row r="75" spans="1:4">
      <c r="A75" s="66" t="s">
        <v>934</v>
      </c>
      <c r="B75" s="65">
        <v>136385</v>
      </c>
      <c r="C75" s="65">
        <v>19305</v>
      </c>
      <c r="D75" s="65">
        <v>276</v>
      </c>
    </row>
    <row r="76" spans="1:4">
      <c r="A76" s="66" t="s">
        <v>926</v>
      </c>
      <c r="B76" s="65">
        <v>42859</v>
      </c>
      <c r="C76" s="65">
        <v>12458</v>
      </c>
      <c r="D76" s="65">
        <v>275</v>
      </c>
    </row>
    <row r="77" spans="1:4">
      <c r="A77" s="66" t="s">
        <v>811</v>
      </c>
      <c r="B77" s="65">
        <v>130177</v>
      </c>
      <c r="C77" s="65">
        <v>36700</v>
      </c>
      <c r="D77" s="65">
        <v>267</v>
      </c>
    </row>
    <row r="78" spans="1:4">
      <c r="A78" s="66" t="s">
        <v>2625</v>
      </c>
      <c r="B78" s="65">
        <v>25814</v>
      </c>
      <c r="C78" s="65">
        <v>53646</v>
      </c>
      <c r="D78" s="65">
        <v>263</v>
      </c>
    </row>
    <row r="79" spans="1:4">
      <c r="A79" s="66" t="s">
        <v>1969</v>
      </c>
      <c r="B79" s="65">
        <v>90149</v>
      </c>
      <c r="C79" s="65">
        <v>2912</v>
      </c>
      <c r="D79" s="65">
        <v>259</v>
      </c>
    </row>
    <row r="80" spans="1:4">
      <c r="A80" s="66" t="s">
        <v>1126</v>
      </c>
      <c r="B80" s="65">
        <v>114044</v>
      </c>
      <c r="C80" s="65">
        <v>31459</v>
      </c>
      <c r="D80" s="65">
        <v>257</v>
      </c>
    </row>
    <row r="81" spans="1:4">
      <c r="A81" s="66" t="s">
        <v>2118</v>
      </c>
      <c r="B81" s="65">
        <v>60318</v>
      </c>
      <c r="C81" s="65">
        <v>48600</v>
      </c>
      <c r="D81" s="65">
        <v>257</v>
      </c>
    </row>
    <row r="82" spans="1:4">
      <c r="A82" s="66" t="s">
        <v>189</v>
      </c>
      <c r="B82" s="65">
        <v>100379</v>
      </c>
      <c r="C82" s="65">
        <v>3633</v>
      </c>
      <c r="D82" s="65">
        <v>255</v>
      </c>
    </row>
    <row r="83" spans="1:4">
      <c r="A83" s="66" t="s">
        <v>2626</v>
      </c>
      <c r="B83" s="65">
        <v>118955</v>
      </c>
      <c r="C83" s="65">
        <v>70400</v>
      </c>
      <c r="D83" s="65">
        <v>254</v>
      </c>
    </row>
    <row r="84" spans="1:4">
      <c r="A84" s="66" t="s">
        <v>2597</v>
      </c>
      <c r="B84" s="65">
        <v>103226</v>
      </c>
      <c r="C84" s="65">
        <v>2786</v>
      </c>
      <c r="D84" s="65">
        <v>251</v>
      </c>
    </row>
    <row r="85" spans="1:4">
      <c r="A85" s="66" t="s">
        <v>2084</v>
      </c>
      <c r="B85" s="65">
        <v>130120</v>
      </c>
      <c r="C85" s="65">
        <v>3815</v>
      </c>
      <c r="D85" s="65">
        <v>251</v>
      </c>
    </row>
    <row r="86" spans="1:4">
      <c r="A86" s="66" t="s">
        <v>659</v>
      </c>
      <c r="B86" s="65">
        <v>31490</v>
      </c>
      <c r="C86" s="65">
        <v>31907</v>
      </c>
      <c r="D86" s="65">
        <v>245</v>
      </c>
    </row>
    <row r="87" spans="1:4">
      <c r="A87" s="66" t="s">
        <v>2101</v>
      </c>
      <c r="B87" s="65">
        <v>121302</v>
      </c>
      <c r="C87" s="65">
        <v>19500</v>
      </c>
      <c r="D87" s="65">
        <v>240</v>
      </c>
    </row>
    <row r="88" spans="1:4">
      <c r="A88" s="66" t="s">
        <v>700</v>
      </c>
      <c r="B88" s="65">
        <v>2921</v>
      </c>
      <c r="C88" s="65">
        <v>2016</v>
      </c>
      <c r="D88" s="65">
        <v>238</v>
      </c>
    </row>
    <row r="89" spans="1:4">
      <c r="A89" s="66" t="s">
        <v>2420</v>
      </c>
      <c r="B89" s="65">
        <v>46</v>
      </c>
      <c r="C89" s="65">
        <v>27215</v>
      </c>
      <c r="D89" s="65">
        <v>233</v>
      </c>
    </row>
    <row r="90" spans="1:4">
      <c r="A90" s="66" t="s">
        <v>231</v>
      </c>
      <c r="B90" s="65">
        <v>1398</v>
      </c>
      <c r="C90" s="65">
        <v>14544</v>
      </c>
      <c r="D90" s="65">
        <v>231</v>
      </c>
    </row>
    <row r="91" spans="1:4">
      <c r="A91" s="66" t="s">
        <v>877</v>
      </c>
      <c r="B91" s="65">
        <v>61393</v>
      </c>
      <c r="C91" s="65">
        <v>50500</v>
      </c>
      <c r="D91" s="65">
        <v>231</v>
      </c>
    </row>
    <row r="92" spans="1:4">
      <c r="A92" s="66" t="s">
        <v>2562</v>
      </c>
      <c r="B92" s="65">
        <v>100185</v>
      </c>
      <c r="C92" s="65">
        <v>2504</v>
      </c>
      <c r="D92" s="65">
        <v>231</v>
      </c>
    </row>
    <row r="93" spans="1:4">
      <c r="A93" s="66" t="s">
        <v>1545</v>
      </c>
      <c r="B93" s="65">
        <v>160072</v>
      </c>
      <c r="C93" s="65">
        <v>1924</v>
      </c>
      <c r="D93" s="65">
        <v>228</v>
      </c>
    </row>
    <row r="94" spans="1:4">
      <c r="A94" s="66" t="s">
        <v>358</v>
      </c>
      <c r="B94" s="65">
        <v>388</v>
      </c>
      <c r="C94" s="65">
        <v>1237</v>
      </c>
      <c r="D94" s="65">
        <v>225</v>
      </c>
    </row>
    <row r="95" spans="1:4">
      <c r="A95" s="66" t="s">
        <v>2573</v>
      </c>
      <c r="B95" s="65">
        <v>199</v>
      </c>
      <c r="C95" s="65">
        <v>1869</v>
      </c>
      <c r="D95" s="65">
        <v>219</v>
      </c>
    </row>
    <row r="96" spans="1:4">
      <c r="A96" s="66" t="s">
        <v>676</v>
      </c>
      <c r="B96" s="65">
        <v>157428</v>
      </c>
      <c r="C96" s="65">
        <v>4127</v>
      </c>
      <c r="D96" s="65">
        <v>217</v>
      </c>
    </row>
    <row r="97" spans="1:4">
      <c r="A97" s="66" t="s">
        <v>1271</v>
      </c>
      <c r="B97" s="65">
        <v>157698</v>
      </c>
      <c r="C97" s="65">
        <v>2140</v>
      </c>
      <c r="D97" s="65">
        <v>211</v>
      </c>
    </row>
    <row r="98" spans="1:4">
      <c r="A98" s="66" t="s">
        <v>1970</v>
      </c>
      <c r="B98" s="65">
        <v>142655</v>
      </c>
      <c r="C98" s="65">
        <v>1307</v>
      </c>
      <c r="D98" s="65">
        <v>208</v>
      </c>
    </row>
    <row r="99" spans="1:4">
      <c r="A99" s="66" t="s">
        <v>1428</v>
      </c>
      <c r="B99" s="65">
        <v>63778</v>
      </c>
      <c r="C99" s="65">
        <v>2651</v>
      </c>
      <c r="D99" s="65">
        <v>206</v>
      </c>
    </row>
    <row r="100" spans="1:4">
      <c r="A100" s="66" t="s">
        <v>2423</v>
      </c>
      <c r="B100" s="65">
        <v>126216</v>
      </c>
      <c r="C100" s="65">
        <v>4633</v>
      </c>
      <c r="D100" s="65">
        <v>203</v>
      </c>
    </row>
    <row r="101" spans="1:4">
      <c r="A101" s="66" t="s">
        <v>779</v>
      </c>
      <c r="B101" s="65">
        <v>125053</v>
      </c>
      <c r="C101" s="65">
        <v>3701</v>
      </c>
      <c r="D101" s="65">
        <v>200</v>
      </c>
    </row>
    <row r="102" spans="1:4">
      <c r="A102" s="66" t="s">
        <v>2343</v>
      </c>
      <c r="B102" s="65">
        <v>112564</v>
      </c>
      <c r="C102" s="65">
        <v>98000</v>
      </c>
      <c r="D102" s="65">
        <v>200</v>
      </c>
    </row>
    <row r="103" spans="1:4">
      <c r="A103" s="66" t="s">
        <v>2009</v>
      </c>
      <c r="B103" s="65">
        <v>60043</v>
      </c>
      <c r="C103" s="65">
        <v>2782</v>
      </c>
      <c r="D103" s="65">
        <v>199</v>
      </c>
    </row>
    <row r="104" spans="1:4">
      <c r="A104" s="66" t="s">
        <v>2181</v>
      </c>
      <c r="B104" s="65">
        <v>108747</v>
      </c>
      <c r="C104" s="65">
        <v>33200</v>
      </c>
      <c r="D104" s="65">
        <v>199</v>
      </c>
    </row>
    <row r="105" spans="1:4">
      <c r="A105" s="66" t="s">
        <v>1049</v>
      </c>
      <c r="B105" s="65">
        <v>101545</v>
      </c>
      <c r="C105" s="65">
        <v>1302</v>
      </c>
      <c r="D105" s="65">
        <v>197</v>
      </c>
    </row>
    <row r="106" spans="1:4">
      <c r="A106" s="66" t="s">
        <v>576</v>
      </c>
      <c r="B106" s="65">
        <v>116843</v>
      </c>
      <c r="C106" s="65">
        <v>4043</v>
      </c>
      <c r="D106" s="65">
        <v>194</v>
      </c>
    </row>
    <row r="107" spans="1:4">
      <c r="A107" s="66" t="s">
        <v>82</v>
      </c>
      <c r="B107" s="65">
        <v>223967</v>
      </c>
      <c r="C107" s="65">
        <v>2427</v>
      </c>
      <c r="D107" s="65">
        <v>192</v>
      </c>
    </row>
    <row r="108" spans="1:4">
      <c r="A108" s="66" t="s">
        <v>2526</v>
      </c>
      <c r="B108" s="65">
        <v>111865</v>
      </c>
      <c r="C108" s="65">
        <v>472</v>
      </c>
      <c r="D108" s="65">
        <v>191</v>
      </c>
    </row>
    <row r="109" spans="1:4">
      <c r="A109" s="66" t="s">
        <v>2357</v>
      </c>
      <c r="B109" s="65">
        <v>561</v>
      </c>
      <c r="C109" s="65">
        <v>32600</v>
      </c>
      <c r="D109" s="65">
        <v>190</v>
      </c>
    </row>
    <row r="110" spans="1:4">
      <c r="A110" s="66" t="s">
        <v>2375</v>
      </c>
      <c r="B110" s="65">
        <v>81252</v>
      </c>
      <c r="C110" s="65">
        <v>2005</v>
      </c>
      <c r="D110" s="65">
        <v>187</v>
      </c>
    </row>
    <row r="111" spans="1:4">
      <c r="A111" s="66" t="s">
        <v>917</v>
      </c>
      <c r="B111" s="65">
        <v>121</v>
      </c>
      <c r="C111" s="65">
        <v>2934</v>
      </c>
      <c r="D111" s="65">
        <v>185</v>
      </c>
    </row>
    <row r="112" spans="1:4">
      <c r="A112" s="66" t="s">
        <v>2530</v>
      </c>
      <c r="B112" s="65">
        <v>104554</v>
      </c>
      <c r="C112" s="65">
        <v>4728</v>
      </c>
      <c r="D112" s="65">
        <v>184</v>
      </c>
    </row>
    <row r="113" spans="1:4">
      <c r="A113" s="66" t="s">
        <v>2522</v>
      </c>
      <c r="B113" s="65">
        <v>126332</v>
      </c>
      <c r="C113" s="65">
        <v>4507</v>
      </c>
      <c r="D113" s="65">
        <v>183</v>
      </c>
    </row>
    <row r="114" spans="1:4">
      <c r="A114" s="66" t="s">
        <v>657</v>
      </c>
      <c r="B114" s="65">
        <v>9808</v>
      </c>
      <c r="C114" s="65">
        <v>833</v>
      </c>
      <c r="D114" s="65">
        <v>182</v>
      </c>
    </row>
    <row r="115" spans="1:4">
      <c r="A115" s="66" t="s">
        <v>1048</v>
      </c>
      <c r="B115" s="65">
        <v>156758</v>
      </c>
      <c r="C115" s="65">
        <v>1877</v>
      </c>
      <c r="D115" s="65">
        <v>179</v>
      </c>
    </row>
    <row r="116" spans="1:4">
      <c r="A116" s="66" t="s">
        <v>1037</v>
      </c>
      <c r="B116" s="65">
        <v>157621</v>
      </c>
      <c r="C116" s="65">
        <v>4020</v>
      </c>
      <c r="D116" s="65">
        <v>179</v>
      </c>
    </row>
    <row r="117" spans="1:4">
      <c r="A117" s="66" t="s">
        <v>2347</v>
      </c>
      <c r="B117" s="65">
        <v>111146</v>
      </c>
      <c r="C117" s="65">
        <v>1782</v>
      </c>
      <c r="D117" s="65">
        <v>179</v>
      </c>
    </row>
    <row r="118" spans="1:4">
      <c r="A118" s="66" t="s">
        <v>1125</v>
      </c>
      <c r="B118" s="65">
        <v>42040</v>
      </c>
      <c r="C118" s="65">
        <v>1633</v>
      </c>
      <c r="D118" s="65">
        <v>177</v>
      </c>
    </row>
    <row r="119" spans="1:4">
      <c r="A119" s="66" t="s">
        <v>1277</v>
      </c>
      <c r="B119" s="65">
        <v>110165</v>
      </c>
      <c r="C119" s="65">
        <v>61300</v>
      </c>
      <c r="D119" s="65">
        <v>175</v>
      </c>
    </row>
    <row r="120" spans="1:4">
      <c r="A120" s="66" t="s">
        <v>1336</v>
      </c>
      <c r="B120" s="65">
        <v>118782</v>
      </c>
      <c r="C120" s="65">
        <v>1144</v>
      </c>
      <c r="D120" s="65">
        <v>175</v>
      </c>
    </row>
    <row r="121" spans="1:4">
      <c r="A121" s="66" t="s">
        <v>1710</v>
      </c>
      <c r="B121" s="65">
        <v>124670</v>
      </c>
      <c r="C121" s="65">
        <v>3233</v>
      </c>
      <c r="D121" s="65">
        <v>175</v>
      </c>
    </row>
    <row r="122" spans="1:4">
      <c r="A122" s="66" t="s">
        <v>2474</v>
      </c>
      <c r="B122" s="65">
        <v>99854</v>
      </c>
      <c r="C122" s="65">
        <v>2002</v>
      </c>
      <c r="D122" s="65">
        <v>175</v>
      </c>
    </row>
    <row r="123" spans="1:4">
      <c r="A123" s="66" t="s">
        <v>1963</v>
      </c>
      <c r="B123" s="65">
        <v>124994</v>
      </c>
      <c r="C123" s="65">
        <v>414</v>
      </c>
      <c r="D123" s="65">
        <v>173</v>
      </c>
    </row>
    <row r="124" spans="1:4">
      <c r="A124" s="66" t="s">
        <v>893</v>
      </c>
      <c r="B124" s="65">
        <v>100861</v>
      </c>
      <c r="C124" s="65">
        <v>1726</v>
      </c>
      <c r="D124" s="65">
        <v>171</v>
      </c>
    </row>
    <row r="125" spans="1:4">
      <c r="A125" s="66" t="s">
        <v>2083</v>
      </c>
      <c r="B125" s="65">
        <v>130173</v>
      </c>
      <c r="C125" s="65">
        <v>14700</v>
      </c>
      <c r="D125" s="65">
        <v>171</v>
      </c>
    </row>
    <row r="126" spans="1:4">
      <c r="A126" s="66" t="s">
        <v>1429</v>
      </c>
      <c r="B126" s="65">
        <v>106</v>
      </c>
      <c r="C126" s="65">
        <v>1263</v>
      </c>
      <c r="D126" s="65">
        <v>170</v>
      </c>
    </row>
    <row r="127" spans="1:4">
      <c r="A127" s="66" t="s">
        <v>1047</v>
      </c>
      <c r="B127" s="65">
        <v>112479</v>
      </c>
      <c r="C127" s="65">
        <v>1460</v>
      </c>
      <c r="D127" s="65">
        <v>163</v>
      </c>
    </row>
    <row r="128" spans="1:4">
      <c r="A128" s="66" t="s">
        <v>818</v>
      </c>
      <c r="B128" s="65">
        <v>101245</v>
      </c>
      <c r="C128" s="65">
        <v>1110</v>
      </c>
      <c r="D128" s="65">
        <v>161</v>
      </c>
    </row>
    <row r="129" spans="1:4">
      <c r="A129" s="66" t="s">
        <v>1250</v>
      </c>
      <c r="B129" s="65">
        <v>127468</v>
      </c>
      <c r="C129" s="65">
        <v>14620</v>
      </c>
      <c r="D129" s="65">
        <v>161</v>
      </c>
    </row>
    <row r="130" spans="1:4">
      <c r="A130" s="66" t="s">
        <v>1444</v>
      </c>
      <c r="B130" s="65">
        <v>89151</v>
      </c>
      <c r="C130" s="65">
        <v>4121</v>
      </c>
      <c r="D130" s="65">
        <v>160</v>
      </c>
    </row>
    <row r="131" spans="1:4">
      <c r="A131" s="66" t="s">
        <v>2571</v>
      </c>
      <c r="B131" s="65">
        <v>39717</v>
      </c>
      <c r="C131" s="65">
        <v>6925</v>
      </c>
      <c r="D131" s="65">
        <v>160</v>
      </c>
    </row>
    <row r="132" spans="1:4">
      <c r="A132" s="66" t="s">
        <v>310</v>
      </c>
      <c r="B132" s="65">
        <v>1811</v>
      </c>
      <c r="C132" s="65">
        <v>2667</v>
      </c>
      <c r="D132" s="65">
        <v>159</v>
      </c>
    </row>
    <row r="133" spans="1:4">
      <c r="A133" s="66" t="s">
        <v>2304</v>
      </c>
      <c r="B133" s="65">
        <v>71771</v>
      </c>
      <c r="C133" s="65">
        <v>3204</v>
      </c>
      <c r="D133" s="65">
        <v>159</v>
      </c>
    </row>
    <row r="134" spans="1:4">
      <c r="A134" s="66" t="s">
        <v>181</v>
      </c>
      <c r="B134" s="65">
        <v>225877</v>
      </c>
      <c r="C134" s="65">
        <v>1048</v>
      </c>
      <c r="D134" s="65">
        <v>153</v>
      </c>
    </row>
    <row r="135" spans="1:4">
      <c r="A135" s="66" t="s">
        <v>2460</v>
      </c>
      <c r="B135" s="65">
        <v>125900</v>
      </c>
      <c r="C135" s="65">
        <v>17285</v>
      </c>
      <c r="D135" s="65">
        <v>153</v>
      </c>
    </row>
    <row r="136" spans="1:4">
      <c r="A136" s="66" t="s">
        <v>656</v>
      </c>
      <c r="B136" s="65">
        <v>1394</v>
      </c>
      <c r="C136" s="65">
        <v>1142</v>
      </c>
      <c r="D136" s="65">
        <v>151</v>
      </c>
    </row>
    <row r="137" spans="1:4">
      <c r="A137" s="66" t="s">
        <v>2528</v>
      </c>
      <c r="B137" s="65">
        <v>73228</v>
      </c>
      <c r="C137" s="65">
        <v>29500</v>
      </c>
      <c r="D137" s="65">
        <v>149</v>
      </c>
    </row>
    <row r="138" spans="1:4">
      <c r="A138" s="66" t="s">
        <v>664</v>
      </c>
      <c r="B138" s="65">
        <v>110817</v>
      </c>
      <c r="C138" s="65">
        <v>448</v>
      </c>
      <c r="D138" s="65">
        <v>148</v>
      </c>
    </row>
    <row r="139" spans="1:4">
      <c r="A139" s="66" t="s">
        <v>662</v>
      </c>
      <c r="B139" s="65">
        <v>20417</v>
      </c>
      <c r="C139" s="65">
        <v>31930</v>
      </c>
      <c r="D139" s="65">
        <v>145</v>
      </c>
    </row>
    <row r="140" spans="1:4">
      <c r="A140" s="66" t="s">
        <v>2341</v>
      </c>
      <c r="B140" s="65">
        <v>120002</v>
      </c>
      <c r="C140" s="65">
        <v>6635</v>
      </c>
      <c r="D140" s="65">
        <v>144</v>
      </c>
    </row>
    <row r="141" spans="1:4">
      <c r="A141" s="66" t="s">
        <v>2122</v>
      </c>
      <c r="B141" s="65">
        <v>157623</v>
      </c>
      <c r="C141" s="65">
        <v>1216</v>
      </c>
      <c r="D141" s="65">
        <v>144</v>
      </c>
    </row>
    <row r="142" spans="1:4">
      <c r="A142" s="66" t="s">
        <v>2525</v>
      </c>
      <c r="B142" s="65">
        <v>1413</v>
      </c>
      <c r="C142" s="65">
        <v>951</v>
      </c>
      <c r="D142" s="65">
        <v>144</v>
      </c>
    </row>
    <row r="143" spans="1:4">
      <c r="A143" s="66" t="s">
        <v>663</v>
      </c>
      <c r="B143" s="65">
        <v>97197</v>
      </c>
      <c r="C143" s="65">
        <v>4230</v>
      </c>
      <c r="D143" s="65">
        <v>140</v>
      </c>
    </row>
    <row r="144" spans="1:4">
      <c r="A144" s="66" t="s">
        <v>2505</v>
      </c>
      <c r="B144" s="65">
        <v>101187</v>
      </c>
      <c r="C144" s="65">
        <v>7470</v>
      </c>
      <c r="D144" s="65">
        <v>140</v>
      </c>
    </row>
    <row r="145" spans="1:4">
      <c r="A145" s="66" t="s">
        <v>2088</v>
      </c>
      <c r="B145" s="65">
        <v>108449</v>
      </c>
      <c r="C145" s="65">
        <v>43600</v>
      </c>
      <c r="D145" s="65">
        <v>139</v>
      </c>
    </row>
    <row r="146" spans="1:4">
      <c r="A146" s="66" t="s">
        <v>2433</v>
      </c>
      <c r="B146" s="65">
        <v>105374</v>
      </c>
      <c r="C146" s="65">
        <v>660</v>
      </c>
      <c r="D146" s="65">
        <v>138</v>
      </c>
    </row>
    <row r="147" spans="1:4">
      <c r="A147" s="66" t="s">
        <v>1046</v>
      </c>
      <c r="B147" s="65">
        <v>110163</v>
      </c>
      <c r="C147" s="65">
        <v>43100</v>
      </c>
      <c r="D147" s="65">
        <v>137</v>
      </c>
    </row>
    <row r="148" spans="1:4">
      <c r="A148" s="66" t="s">
        <v>2568</v>
      </c>
      <c r="B148" s="65">
        <v>14111</v>
      </c>
      <c r="C148" s="65">
        <v>1354</v>
      </c>
      <c r="D148" s="65">
        <v>137</v>
      </c>
    </row>
    <row r="149" spans="1:4">
      <c r="A149" s="66" t="s">
        <v>2074</v>
      </c>
      <c r="B149" s="65">
        <v>160317</v>
      </c>
      <c r="C149" s="65">
        <v>229</v>
      </c>
      <c r="D149" s="65">
        <v>137</v>
      </c>
    </row>
    <row r="150" spans="1:4">
      <c r="A150" s="66" t="s">
        <v>356</v>
      </c>
      <c r="B150" s="65">
        <v>174179</v>
      </c>
      <c r="C150" s="65">
        <v>331</v>
      </c>
      <c r="D150" s="65">
        <v>134</v>
      </c>
    </row>
    <row r="151" spans="1:4">
      <c r="A151" s="66" t="s">
        <v>2012</v>
      </c>
      <c r="B151" s="65">
        <v>159191</v>
      </c>
      <c r="C151" s="65">
        <v>4540</v>
      </c>
      <c r="D151" s="65">
        <v>130</v>
      </c>
    </row>
    <row r="152" spans="1:4">
      <c r="A152" s="66" t="s">
        <v>1976</v>
      </c>
      <c r="B152" s="65">
        <v>127255</v>
      </c>
      <c r="C152" s="65">
        <v>700</v>
      </c>
      <c r="D152" s="65">
        <v>129</v>
      </c>
    </row>
    <row r="153" spans="1:4">
      <c r="A153" s="66" t="s">
        <v>1445</v>
      </c>
      <c r="B153" s="65">
        <v>124935</v>
      </c>
      <c r="C153" s="65">
        <v>1058</v>
      </c>
      <c r="D153" s="65">
        <v>128</v>
      </c>
    </row>
    <row r="154" spans="1:4">
      <c r="A154" s="66" t="s">
        <v>1343</v>
      </c>
      <c r="B154" s="65">
        <v>108503</v>
      </c>
      <c r="C154" s="65">
        <v>49800</v>
      </c>
      <c r="D154" s="65">
        <v>124</v>
      </c>
    </row>
    <row r="155" spans="1:4">
      <c r="A155" s="66" t="s">
        <v>1688</v>
      </c>
      <c r="B155" s="65">
        <v>116949</v>
      </c>
      <c r="C155" s="65">
        <v>3425</v>
      </c>
      <c r="D155" s="65">
        <v>123</v>
      </c>
    </row>
    <row r="156" spans="1:4">
      <c r="A156" s="66" t="s">
        <v>2238</v>
      </c>
      <c r="B156" s="65">
        <v>100965</v>
      </c>
      <c r="C156" s="65">
        <v>1070</v>
      </c>
      <c r="D156" s="65">
        <v>123</v>
      </c>
    </row>
    <row r="157" spans="1:4">
      <c r="A157" s="66" t="s">
        <v>76</v>
      </c>
      <c r="B157" s="65">
        <v>129753</v>
      </c>
      <c r="C157" s="65">
        <v>1285</v>
      </c>
      <c r="D157" s="65">
        <v>122</v>
      </c>
    </row>
    <row r="158" spans="1:4">
      <c r="A158" s="66" t="s">
        <v>918</v>
      </c>
      <c r="B158" s="65">
        <v>108763</v>
      </c>
      <c r="C158" s="65">
        <v>97000</v>
      </c>
      <c r="D158" s="65">
        <v>122</v>
      </c>
    </row>
    <row r="159" spans="1:4">
      <c r="A159" s="66" t="s">
        <v>932</v>
      </c>
      <c r="B159" s="65">
        <v>1111</v>
      </c>
      <c r="C159" s="65">
        <v>1964</v>
      </c>
      <c r="D159" s="65">
        <v>121</v>
      </c>
    </row>
    <row r="160" spans="1:4">
      <c r="A160" s="66" t="s">
        <v>1450</v>
      </c>
      <c r="B160" s="65">
        <v>1850</v>
      </c>
      <c r="C160" s="65">
        <v>1549</v>
      </c>
      <c r="D160" s="65">
        <v>121</v>
      </c>
    </row>
    <row r="161" spans="1:4">
      <c r="A161" s="66" t="s">
        <v>1540</v>
      </c>
      <c r="B161" s="65">
        <v>21218</v>
      </c>
      <c r="C161" s="65">
        <v>6145</v>
      </c>
      <c r="D161" s="65">
        <v>121</v>
      </c>
    </row>
    <row r="162" spans="1:4">
      <c r="A162" s="66" t="s">
        <v>1538</v>
      </c>
      <c r="B162" s="65">
        <v>115041</v>
      </c>
      <c r="C162" s="65">
        <v>1216</v>
      </c>
      <c r="D162" s="65">
        <v>121</v>
      </c>
    </row>
    <row r="163" spans="1:4">
      <c r="A163" s="66" t="s">
        <v>1249</v>
      </c>
      <c r="B163" s="65">
        <v>103236</v>
      </c>
      <c r="C163" s="65">
        <v>2252</v>
      </c>
      <c r="D163" s="65">
        <v>120</v>
      </c>
    </row>
    <row r="164" spans="1:4">
      <c r="A164" s="66" t="s">
        <v>919</v>
      </c>
      <c r="B164" s="65">
        <v>113610</v>
      </c>
      <c r="C164" s="65">
        <v>506</v>
      </c>
      <c r="D164" s="65">
        <v>119</v>
      </c>
    </row>
    <row r="165" spans="1:4">
      <c r="A165" s="66" t="s">
        <v>879</v>
      </c>
      <c r="B165" s="65">
        <v>122</v>
      </c>
      <c r="C165" s="65">
        <v>1195</v>
      </c>
      <c r="D165" s="65">
        <v>119</v>
      </c>
    </row>
    <row r="166" spans="1:4">
      <c r="A166" s="66" t="s">
        <v>2349</v>
      </c>
      <c r="B166" s="65">
        <v>155718</v>
      </c>
      <c r="C166" s="65">
        <v>19650</v>
      </c>
      <c r="D166" s="65">
        <v>119</v>
      </c>
    </row>
    <row r="167" spans="1:4">
      <c r="A167" s="66" t="s">
        <v>891</v>
      </c>
      <c r="B167" s="65">
        <v>110185</v>
      </c>
      <c r="C167" s="65">
        <v>1036</v>
      </c>
      <c r="D167" s="65">
        <v>116</v>
      </c>
    </row>
    <row r="168" spans="1:4">
      <c r="A168" s="66" t="s">
        <v>2310</v>
      </c>
      <c r="B168" s="65">
        <v>157880</v>
      </c>
      <c r="C168" s="65">
        <v>12560</v>
      </c>
      <c r="D168" s="65">
        <v>116</v>
      </c>
    </row>
    <row r="169" spans="1:4">
      <c r="A169" s="66" t="s">
        <v>2366</v>
      </c>
      <c r="B169" s="65">
        <v>156911</v>
      </c>
      <c r="C169" s="65">
        <v>7920</v>
      </c>
      <c r="D169" s="65">
        <v>115</v>
      </c>
    </row>
    <row r="170" spans="1:4">
      <c r="A170" s="66" t="s">
        <v>1006</v>
      </c>
      <c r="B170" s="65">
        <v>109249</v>
      </c>
      <c r="C170" s="65">
        <v>113100</v>
      </c>
      <c r="D170" s="65">
        <v>114</v>
      </c>
    </row>
    <row r="171" spans="1:4">
      <c r="A171" s="66" t="s">
        <v>2565</v>
      </c>
      <c r="B171" s="65">
        <v>14103</v>
      </c>
      <c r="C171" s="65">
        <v>279</v>
      </c>
      <c r="D171" s="65">
        <v>114</v>
      </c>
    </row>
    <row r="172" spans="1:4">
      <c r="A172" s="66" t="s">
        <v>2085</v>
      </c>
      <c r="B172" s="65">
        <v>35137</v>
      </c>
      <c r="C172" s="65">
        <v>458</v>
      </c>
      <c r="D172" s="65">
        <v>114</v>
      </c>
    </row>
    <row r="173" spans="1:4">
      <c r="A173" s="66" t="s">
        <v>1232</v>
      </c>
      <c r="B173" s="65">
        <v>110671</v>
      </c>
      <c r="C173" s="65">
        <v>252</v>
      </c>
      <c r="D173" s="65">
        <v>113</v>
      </c>
    </row>
    <row r="174" spans="1:4">
      <c r="A174" s="66" t="s">
        <v>1548</v>
      </c>
      <c r="B174" s="65">
        <v>176122</v>
      </c>
      <c r="C174" s="65">
        <v>528</v>
      </c>
      <c r="D174" s="65">
        <v>113</v>
      </c>
    </row>
    <row r="175" spans="1:4">
      <c r="A175" s="66" t="s">
        <v>1965</v>
      </c>
      <c r="B175" s="65">
        <v>105219</v>
      </c>
      <c r="C175" s="65">
        <v>1110</v>
      </c>
      <c r="D175" s="65">
        <v>112</v>
      </c>
    </row>
    <row r="176" spans="1:4">
      <c r="A176" s="66" t="s">
        <v>922</v>
      </c>
      <c r="B176" s="65">
        <v>30248</v>
      </c>
      <c r="C176" s="65">
        <v>25700</v>
      </c>
      <c r="D176" s="65">
        <v>110</v>
      </c>
    </row>
    <row r="177" spans="1:4">
      <c r="A177" s="66" t="s">
        <v>2225</v>
      </c>
      <c r="B177" s="65">
        <v>120</v>
      </c>
      <c r="C177" s="65">
        <v>1742</v>
      </c>
      <c r="D177" s="65">
        <v>108</v>
      </c>
    </row>
    <row r="178" spans="1:4">
      <c r="A178" s="66" t="s">
        <v>697</v>
      </c>
      <c r="B178" s="65">
        <v>132592</v>
      </c>
      <c r="C178" s="65">
        <v>680</v>
      </c>
      <c r="D178" s="65">
        <v>107</v>
      </c>
    </row>
    <row r="179" spans="1:4">
      <c r="A179" s="66" t="s">
        <v>915</v>
      </c>
      <c r="B179" s="65">
        <v>155746</v>
      </c>
      <c r="C179" s="65">
        <v>524</v>
      </c>
      <c r="D179" s="65">
        <v>106</v>
      </c>
    </row>
    <row r="180" spans="1:4">
      <c r="A180" s="66" t="s">
        <v>2467</v>
      </c>
      <c r="B180" s="65">
        <v>2647</v>
      </c>
      <c r="C180" s="65">
        <v>1320</v>
      </c>
      <c r="D180" s="65">
        <v>106</v>
      </c>
    </row>
    <row r="181" spans="1:4">
      <c r="A181" s="66" t="s">
        <v>1043</v>
      </c>
      <c r="B181" s="65">
        <v>65345</v>
      </c>
      <c r="C181" s="65">
        <v>1620</v>
      </c>
      <c r="D181" s="65">
        <v>105</v>
      </c>
    </row>
    <row r="182" spans="1:4">
      <c r="A182" s="66" t="s">
        <v>923</v>
      </c>
      <c r="B182" s="65">
        <v>120024</v>
      </c>
      <c r="C182" s="65">
        <v>2486</v>
      </c>
      <c r="D182" s="65">
        <v>105</v>
      </c>
    </row>
    <row r="183" spans="1:4">
      <c r="A183" s="66" t="s">
        <v>2305</v>
      </c>
      <c r="B183" s="65">
        <v>42861</v>
      </c>
      <c r="C183" s="65">
        <v>4130</v>
      </c>
      <c r="D183" s="65">
        <v>105</v>
      </c>
    </row>
    <row r="184" spans="1:4">
      <c r="A184" s="66" t="s">
        <v>2527</v>
      </c>
      <c r="B184" s="65">
        <v>2160</v>
      </c>
      <c r="C184" s="65">
        <v>1672</v>
      </c>
      <c r="D184" s="65">
        <v>104</v>
      </c>
    </row>
    <row r="185" spans="1:4">
      <c r="A185" s="66" t="s">
        <v>1438</v>
      </c>
      <c r="B185" s="65">
        <v>35111</v>
      </c>
      <c r="C185" s="65">
        <v>2324</v>
      </c>
      <c r="D185" s="65">
        <v>103</v>
      </c>
    </row>
    <row r="186" spans="1:4">
      <c r="A186" s="66" t="s">
        <v>1703</v>
      </c>
      <c r="B186" s="65">
        <v>138922</v>
      </c>
      <c r="C186" s="65">
        <v>2630</v>
      </c>
      <c r="D186" s="65">
        <v>102</v>
      </c>
    </row>
    <row r="187" spans="1:4">
      <c r="A187" s="66" t="s">
        <v>2340</v>
      </c>
      <c r="B187" s="65">
        <v>50165</v>
      </c>
      <c r="C187" s="65">
        <v>1925</v>
      </c>
      <c r="D187" s="65">
        <v>102</v>
      </c>
    </row>
    <row r="188" spans="1:4">
      <c r="A188" s="66" t="s">
        <v>1157</v>
      </c>
      <c r="B188" s="65">
        <v>35286</v>
      </c>
      <c r="C188" s="65">
        <v>391</v>
      </c>
      <c r="D188" s="65">
        <v>100</v>
      </c>
    </row>
    <row r="189" spans="1:4">
      <c r="A189" s="66" t="s">
        <v>1058</v>
      </c>
      <c r="B189" s="65">
        <v>135941</v>
      </c>
      <c r="C189" s="65">
        <v>1772</v>
      </c>
      <c r="D189" s="65">
        <v>100</v>
      </c>
    </row>
    <row r="190" spans="1:4">
      <c r="A190" s="66" t="s">
        <v>2306</v>
      </c>
      <c r="B190" s="65">
        <v>31457</v>
      </c>
      <c r="C190" s="65">
        <v>6300</v>
      </c>
      <c r="D190" s="65">
        <v>100</v>
      </c>
    </row>
    <row r="191" spans="1:4">
      <c r="A191" s="66" t="s">
        <v>2533</v>
      </c>
      <c r="B191" s="65">
        <v>137719</v>
      </c>
      <c r="C191" s="65">
        <v>1246</v>
      </c>
      <c r="D191" s="65">
        <v>99</v>
      </c>
    </row>
    <row r="192" spans="1:4">
      <c r="A192" s="66" t="s">
        <v>703</v>
      </c>
      <c r="B192" s="65">
        <v>129090</v>
      </c>
      <c r="C192" s="65">
        <v>12300</v>
      </c>
      <c r="D192" s="65">
        <v>98</v>
      </c>
    </row>
    <row r="193" spans="1:4">
      <c r="A193" s="66" t="s">
        <v>781</v>
      </c>
      <c r="B193" s="65">
        <v>86658</v>
      </c>
      <c r="C193" s="65">
        <v>6596</v>
      </c>
      <c r="D193" s="65">
        <v>98</v>
      </c>
    </row>
    <row r="194" spans="1:4">
      <c r="A194" s="66" t="s">
        <v>1441</v>
      </c>
      <c r="B194" s="65">
        <v>79061</v>
      </c>
      <c r="C194" s="65">
        <v>1184</v>
      </c>
      <c r="D194" s="65">
        <v>98</v>
      </c>
    </row>
    <row r="195" spans="1:4">
      <c r="A195" s="66" t="s">
        <v>113</v>
      </c>
      <c r="B195" s="65">
        <v>661</v>
      </c>
      <c r="C195" s="65">
        <v>1215</v>
      </c>
      <c r="D195" s="65">
        <v>97</v>
      </c>
    </row>
    <row r="196" spans="1:4">
      <c r="A196" s="66" t="s">
        <v>998</v>
      </c>
      <c r="B196" s="65">
        <v>73225</v>
      </c>
      <c r="C196" s="65">
        <v>19600</v>
      </c>
      <c r="D196" s="65">
        <v>97</v>
      </c>
    </row>
    <row r="197" spans="1:4">
      <c r="A197" s="66" t="s">
        <v>1337</v>
      </c>
      <c r="B197" s="65">
        <v>1969</v>
      </c>
      <c r="C197" s="65">
        <v>3076</v>
      </c>
      <c r="D197" s="65">
        <v>97</v>
      </c>
    </row>
    <row r="198" spans="1:4">
      <c r="A198" s="66" t="s">
        <v>1275</v>
      </c>
      <c r="B198" s="65">
        <v>124946</v>
      </c>
      <c r="C198" s="65">
        <v>1707</v>
      </c>
      <c r="D198" s="65">
        <v>96</v>
      </c>
    </row>
    <row r="199" spans="1:4">
      <c r="A199" s="66" t="s">
        <v>1279</v>
      </c>
      <c r="B199" s="65">
        <v>7487</v>
      </c>
      <c r="C199" s="65">
        <v>814</v>
      </c>
      <c r="D199" s="65">
        <v>96</v>
      </c>
    </row>
    <row r="200" spans="1:4">
      <c r="A200" s="66" t="s">
        <v>1013</v>
      </c>
      <c r="B200" s="65">
        <v>1359</v>
      </c>
      <c r="C200" s="65">
        <v>684</v>
      </c>
      <c r="D200" s="65">
        <v>96</v>
      </c>
    </row>
    <row r="201" spans="1:4">
      <c r="A201" s="66" t="s">
        <v>1325</v>
      </c>
      <c r="B201" s="65">
        <v>9314</v>
      </c>
      <c r="C201" s="65">
        <v>29631</v>
      </c>
      <c r="D201" s="65">
        <v>96</v>
      </c>
    </row>
    <row r="202" spans="1:4">
      <c r="A202" s="66" t="s">
        <v>924</v>
      </c>
      <c r="B202" s="65">
        <v>155888</v>
      </c>
      <c r="C202" s="65">
        <v>554</v>
      </c>
      <c r="D202" s="65">
        <v>95</v>
      </c>
    </row>
    <row r="203" spans="1:4">
      <c r="A203" s="66" t="s">
        <v>1975</v>
      </c>
      <c r="B203" s="65">
        <v>278</v>
      </c>
      <c r="C203" s="65">
        <v>329</v>
      </c>
      <c r="D203" s="65">
        <v>95</v>
      </c>
    </row>
    <row r="204" spans="1:4">
      <c r="A204" s="66" t="s">
        <v>569</v>
      </c>
      <c r="B204" s="65">
        <v>99855</v>
      </c>
      <c r="C204" s="65">
        <v>597</v>
      </c>
      <c r="D204" s="65">
        <v>94</v>
      </c>
    </row>
    <row r="205" spans="1:4">
      <c r="A205" s="66" t="s">
        <v>456</v>
      </c>
      <c r="B205" s="65">
        <v>177009</v>
      </c>
      <c r="C205" s="65">
        <v>986</v>
      </c>
      <c r="D205" s="65">
        <v>94</v>
      </c>
    </row>
    <row r="206" spans="1:4">
      <c r="A206" s="66" t="s">
        <v>2630</v>
      </c>
      <c r="B206" s="65">
        <v>65580</v>
      </c>
      <c r="C206" s="65">
        <v>15000</v>
      </c>
      <c r="D206" s="65">
        <v>94</v>
      </c>
    </row>
    <row r="207" spans="1:4">
      <c r="A207" s="66" t="s">
        <v>2113</v>
      </c>
      <c r="B207" s="65">
        <v>82521</v>
      </c>
      <c r="C207" s="65">
        <v>261</v>
      </c>
      <c r="D207" s="65">
        <v>94</v>
      </c>
    </row>
    <row r="208" spans="1:4">
      <c r="A208" s="66" t="s">
        <v>2303</v>
      </c>
      <c r="B208" s="65">
        <v>439</v>
      </c>
      <c r="C208" s="65">
        <v>1061</v>
      </c>
      <c r="D208" s="65">
        <v>94</v>
      </c>
    </row>
    <row r="209" spans="1:4">
      <c r="A209" s="66" t="s">
        <v>824</v>
      </c>
      <c r="B209" s="65">
        <v>48962</v>
      </c>
      <c r="C209" s="65">
        <v>468</v>
      </c>
      <c r="D209" s="65">
        <v>93</v>
      </c>
    </row>
    <row r="210" spans="1:4">
      <c r="A210" s="66" t="s">
        <v>892</v>
      </c>
      <c r="B210" s="65">
        <v>17</v>
      </c>
      <c r="C210" s="65">
        <v>23900</v>
      </c>
      <c r="D210" s="65">
        <v>93</v>
      </c>
    </row>
    <row r="211" spans="1:4">
      <c r="A211" s="66" t="s">
        <v>2005</v>
      </c>
      <c r="B211" s="65">
        <v>129853</v>
      </c>
      <c r="C211" s="65">
        <v>483</v>
      </c>
      <c r="D211" s="65">
        <v>93</v>
      </c>
    </row>
    <row r="212" spans="1:4">
      <c r="A212" s="66" t="s">
        <v>2583</v>
      </c>
      <c r="B212" s="65">
        <v>77267</v>
      </c>
      <c r="C212" s="65">
        <v>1066</v>
      </c>
      <c r="D212" s="65">
        <v>92</v>
      </c>
    </row>
    <row r="213" spans="1:4">
      <c r="A213" s="66" t="s">
        <v>1987</v>
      </c>
      <c r="B213" s="65">
        <v>178450</v>
      </c>
      <c r="C213" s="65">
        <v>634</v>
      </c>
      <c r="D213" s="65">
        <v>92</v>
      </c>
    </row>
    <row r="214" spans="1:4">
      <c r="A214" s="66" t="s">
        <v>1171</v>
      </c>
      <c r="B214" s="65">
        <v>5284</v>
      </c>
      <c r="C214" s="65">
        <v>18400</v>
      </c>
      <c r="D214" s="65">
        <v>91</v>
      </c>
    </row>
    <row r="215" spans="1:4">
      <c r="A215" s="66" t="s">
        <v>1234</v>
      </c>
      <c r="B215" s="65">
        <v>209362</v>
      </c>
      <c r="C215" s="65">
        <v>5372</v>
      </c>
      <c r="D215" s="65">
        <v>91</v>
      </c>
    </row>
    <row r="216" spans="1:4">
      <c r="A216" s="66" t="s">
        <v>1134</v>
      </c>
      <c r="B216" s="65">
        <v>130171</v>
      </c>
      <c r="C216" s="65">
        <v>5710</v>
      </c>
      <c r="D216" s="65">
        <v>91</v>
      </c>
    </row>
    <row r="217" spans="1:4">
      <c r="A217" s="66" t="s">
        <v>1344</v>
      </c>
      <c r="B217" s="65">
        <v>67911</v>
      </c>
      <c r="C217" s="65">
        <v>1087</v>
      </c>
      <c r="D217" s="65">
        <v>91</v>
      </c>
    </row>
    <row r="218" spans="1:4">
      <c r="A218" s="66" t="s">
        <v>1446</v>
      </c>
      <c r="B218" s="65">
        <v>3042</v>
      </c>
      <c r="C218" s="65">
        <v>3680</v>
      </c>
      <c r="D218" s="65">
        <v>91</v>
      </c>
    </row>
    <row r="219" spans="1:4">
      <c r="A219" s="66" t="s">
        <v>1008</v>
      </c>
      <c r="B219" s="65">
        <v>142820</v>
      </c>
      <c r="C219" s="65">
        <v>478</v>
      </c>
      <c r="D219" s="65">
        <v>90</v>
      </c>
    </row>
    <row r="220" spans="1:4">
      <c r="A220" s="66" t="s">
        <v>1224</v>
      </c>
      <c r="B220" s="65">
        <v>436</v>
      </c>
      <c r="C220" s="65">
        <v>1491</v>
      </c>
      <c r="D220" s="65">
        <v>89</v>
      </c>
    </row>
    <row r="221" spans="1:4">
      <c r="A221" s="66" t="s">
        <v>774</v>
      </c>
      <c r="B221" s="65">
        <v>3043</v>
      </c>
      <c r="C221" s="65">
        <v>824</v>
      </c>
      <c r="D221" s="65">
        <v>89</v>
      </c>
    </row>
    <row r="222" spans="1:4">
      <c r="A222" s="66" t="s">
        <v>1341</v>
      </c>
      <c r="B222" s="65">
        <v>100966</v>
      </c>
      <c r="C222" s="65">
        <v>1251</v>
      </c>
      <c r="D222" s="65">
        <v>89</v>
      </c>
    </row>
    <row r="223" spans="1:4">
      <c r="A223" s="66" t="s">
        <v>1433</v>
      </c>
      <c r="B223" s="65">
        <v>32</v>
      </c>
      <c r="C223" s="65">
        <v>3312</v>
      </c>
      <c r="D223" s="65">
        <v>87</v>
      </c>
    </row>
    <row r="224" spans="1:4">
      <c r="A224" s="66" t="s">
        <v>2311</v>
      </c>
      <c r="B224" s="65">
        <v>124942</v>
      </c>
      <c r="C224" s="65">
        <v>2602</v>
      </c>
      <c r="D224" s="65">
        <v>87</v>
      </c>
    </row>
    <row r="225" spans="1:4">
      <c r="A225" s="66" t="s">
        <v>2185</v>
      </c>
      <c r="B225" s="65">
        <v>118894</v>
      </c>
      <c r="C225" s="65">
        <v>613</v>
      </c>
      <c r="D225" s="65">
        <v>87</v>
      </c>
    </row>
    <row r="226" spans="1:4">
      <c r="A226" s="66" t="s">
        <v>1024</v>
      </c>
      <c r="B226" s="65">
        <v>137003</v>
      </c>
      <c r="C226" s="65">
        <v>1824</v>
      </c>
      <c r="D226" s="65">
        <v>86</v>
      </c>
    </row>
    <row r="227" spans="1:4">
      <c r="A227" s="66" t="s">
        <v>1045</v>
      </c>
      <c r="B227" s="65">
        <v>110813</v>
      </c>
      <c r="C227" s="65">
        <v>213</v>
      </c>
      <c r="D227" s="65">
        <v>85</v>
      </c>
    </row>
    <row r="228" spans="1:4">
      <c r="A228" s="66" t="s">
        <v>660</v>
      </c>
      <c r="B228" s="65">
        <v>35070</v>
      </c>
      <c r="C228" s="65">
        <v>1227</v>
      </c>
      <c r="D228" s="65">
        <v>85</v>
      </c>
    </row>
    <row r="229" spans="1:4">
      <c r="A229" s="66" t="s">
        <v>1240</v>
      </c>
      <c r="B229" s="65">
        <v>118945</v>
      </c>
      <c r="C229" s="65">
        <v>785</v>
      </c>
      <c r="D229" s="65">
        <v>84</v>
      </c>
    </row>
    <row r="230" spans="1:4">
      <c r="A230" s="66" t="s">
        <v>472</v>
      </c>
      <c r="B230" s="65">
        <v>48964</v>
      </c>
      <c r="C230" s="65">
        <v>1309</v>
      </c>
      <c r="D230" s="65">
        <v>83</v>
      </c>
    </row>
    <row r="231" spans="1:4">
      <c r="A231" s="66" t="s">
        <v>316</v>
      </c>
      <c r="B231" s="65">
        <v>108911</v>
      </c>
      <c r="C231" s="65">
        <v>32700</v>
      </c>
      <c r="D231" s="65">
        <v>83</v>
      </c>
    </row>
    <row r="232" spans="1:4">
      <c r="A232" s="66" t="s">
        <v>179</v>
      </c>
      <c r="B232" s="65">
        <v>144249</v>
      </c>
      <c r="C232" s="65">
        <v>18900</v>
      </c>
      <c r="D232" s="65">
        <v>83</v>
      </c>
    </row>
    <row r="233" spans="1:4">
      <c r="A233" s="66" t="s">
        <v>2142</v>
      </c>
      <c r="B233" s="65">
        <v>137006</v>
      </c>
      <c r="C233" s="65">
        <v>1408</v>
      </c>
      <c r="D233" s="65">
        <v>83</v>
      </c>
    </row>
    <row r="234" spans="1:4">
      <c r="A234" s="66" t="s">
        <v>2537</v>
      </c>
      <c r="B234" s="65">
        <v>103115</v>
      </c>
      <c r="C234" s="65">
        <v>2201</v>
      </c>
      <c r="D234" s="65">
        <v>83</v>
      </c>
    </row>
    <row r="235" spans="1:4">
      <c r="A235" s="66" t="s">
        <v>1426</v>
      </c>
      <c r="B235" s="65">
        <v>124938</v>
      </c>
      <c r="C235" s="65">
        <v>1652</v>
      </c>
      <c r="D235" s="65">
        <v>82</v>
      </c>
    </row>
    <row r="236" spans="1:4">
      <c r="A236" s="66" t="s">
        <v>2535</v>
      </c>
      <c r="B236" s="65">
        <v>47</v>
      </c>
      <c r="C236" s="65">
        <v>2725</v>
      </c>
      <c r="D236" s="65">
        <v>82</v>
      </c>
    </row>
    <row r="237" spans="1:4">
      <c r="A237" s="66" t="s">
        <v>936</v>
      </c>
      <c r="B237" s="65">
        <v>114040</v>
      </c>
      <c r="C237" s="65">
        <v>2164</v>
      </c>
      <c r="D237" s="65">
        <v>81</v>
      </c>
    </row>
    <row r="238" spans="1:4">
      <c r="A238" s="66" t="s">
        <v>1553</v>
      </c>
      <c r="B238" s="65">
        <v>117891</v>
      </c>
      <c r="C238" s="65">
        <v>2421</v>
      </c>
      <c r="D238" s="65">
        <v>81</v>
      </c>
    </row>
    <row r="239" spans="1:4">
      <c r="A239" s="66" t="s">
        <v>5</v>
      </c>
      <c r="B239" s="65">
        <v>176124</v>
      </c>
      <c r="C239" s="65">
        <v>492</v>
      </c>
      <c r="D239" s="65">
        <v>80</v>
      </c>
    </row>
    <row r="240" spans="1:4">
      <c r="A240" s="66" t="s">
        <v>1012</v>
      </c>
      <c r="B240" s="65">
        <v>237</v>
      </c>
      <c r="C240" s="65">
        <v>272</v>
      </c>
      <c r="D240" s="65">
        <v>80</v>
      </c>
    </row>
    <row r="241" spans="1:4">
      <c r="A241" s="66" t="s">
        <v>1241</v>
      </c>
      <c r="B241" s="65">
        <v>113619</v>
      </c>
      <c r="C241" s="65">
        <v>849</v>
      </c>
      <c r="D241" s="65">
        <v>80</v>
      </c>
    </row>
    <row r="242" spans="1:4">
      <c r="A242" s="66" t="s">
        <v>2534</v>
      </c>
      <c r="B242" s="65">
        <v>130583</v>
      </c>
      <c r="C242" s="65">
        <v>505</v>
      </c>
      <c r="D242" s="65">
        <v>80</v>
      </c>
    </row>
    <row r="243" spans="1:4">
      <c r="A243" s="66" t="s">
        <v>2227</v>
      </c>
      <c r="B243" s="65">
        <v>101246</v>
      </c>
      <c r="C243" s="65">
        <v>1003</v>
      </c>
      <c r="D243" s="65">
        <v>79</v>
      </c>
    </row>
    <row r="244" spans="1:4">
      <c r="A244" s="66" t="s">
        <v>665</v>
      </c>
      <c r="B244" s="65">
        <v>9225</v>
      </c>
      <c r="C244" s="65">
        <v>1500</v>
      </c>
      <c r="D244" s="65">
        <v>78</v>
      </c>
    </row>
    <row r="245" spans="1:4">
      <c r="A245" s="66" t="s">
        <v>476</v>
      </c>
      <c r="B245" s="65">
        <v>114252</v>
      </c>
      <c r="C245" s="65">
        <v>534</v>
      </c>
      <c r="D245" s="65">
        <v>77</v>
      </c>
    </row>
    <row r="246" spans="1:4">
      <c r="A246" s="66" t="s">
        <v>459</v>
      </c>
      <c r="B246" s="65">
        <v>68</v>
      </c>
      <c r="C246" s="65">
        <v>885</v>
      </c>
      <c r="D246" s="65">
        <v>77</v>
      </c>
    </row>
    <row r="247" spans="1:4">
      <c r="A247" s="66" t="s">
        <v>1299</v>
      </c>
      <c r="B247" s="65">
        <v>87672</v>
      </c>
      <c r="C247" s="65">
        <v>960</v>
      </c>
      <c r="D247" s="65">
        <v>77</v>
      </c>
    </row>
    <row r="248" spans="1:4">
      <c r="A248" s="66" t="s">
        <v>1002</v>
      </c>
      <c r="B248" s="65">
        <v>110419</v>
      </c>
      <c r="C248" s="65">
        <v>1175</v>
      </c>
      <c r="D248" s="65">
        <v>77</v>
      </c>
    </row>
    <row r="249" spans="1:4">
      <c r="A249" s="66" t="s">
        <v>1239</v>
      </c>
      <c r="B249" s="65">
        <v>112429</v>
      </c>
      <c r="C249" s="65">
        <v>1962</v>
      </c>
      <c r="D249" s="65">
        <v>77</v>
      </c>
    </row>
    <row r="250" spans="1:4">
      <c r="A250" s="66" t="s">
        <v>678</v>
      </c>
      <c r="B250" s="65">
        <v>129771</v>
      </c>
      <c r="C250" s="65">
        <v>481</v>
      </c>
      <c r="D250" s="65">
        <v>77</v>
      </c>
    </row>
    <row r="251" spans="1:4">
      <c r="A251" s="66" t="s">
        <v>2233</v>
      </c>
      <c r="B251" s="65">
        <v>1999</v>
      </c>
      <c r="C251" s="65">
        <v>4738</v>
      </c>
      <c r="D251" s="65">
        <v>77</v>
      </c>
    </row>
    <row r="252" spans="1:4">
      <c r="A252" s="66" t="s">
        <v>2194</v>
      </c>
      <c r="B252" s="65">
        <v>130172</v>
      </c>
      <c r="C252" s="65">
        <v>3875</v>
      </c>
      <c r="D252" s="65">
        <v>77</v>
      </c>
    </row>
    <row r="253" spans="1:4">
      <c r="A253" s="66" t="s">
        <v>2490</v>
      </c>
      <c r="B253" s="65">
        <v>118837</v>
      </c>
      <c r="C253" s="65">
        <v>6492</v>
      </c>
      <c r="D253" s="65">
        <v>75</v>
      </c>
    </row>
    <row r="254" spans="1:4">
      <c r="A254" s="66" t="s">
        <v>1967</v>
      </c>
      <c r="B254" s="65">
        <v>156825</v>
      </c>
      <c r="C254" s="65">
        <v>364</v>
      </c>
      <c r="D254" s="65">
        <v>75</v>
      </c>
    </row>
    <row r="255" spans="1:4">
      <c r="A255" s="66" t="s">
        <v>416</v>
      </c>
      <c r="B255" s="65">
        <v>178124</v>
      </c>
      <c r="C255" s="65">
        <v>18100</v>
      </c>
      <c r="D255" s="65">
        <v>74</v>
      </c>
    </row>
    <row r="256" spans="1:4">
      <c r="A256" s="66" t="s">
        <v>1007</v>
      </c>
      <c r="B256" s="65">
        <v>137585</v>
      </c>
      <c r="C256" s="65">
        <v>548</v>
      </c>
      <c r="D256" s="65">
        <v>74</v>
      </c>
    </row>
    <row r="257" spans="1:4">
      <c r="A257" s="66" t="s">
        <v>1342</v>
      </c>
      <c r="B257" s="65">
        <v>83148</v>
      </c>
      <c r="C257" s="65">
        <v>264</v>
      </c>
      <c r="D257" s="65">
        <v>73</v>
      </c>
    </row>
    <row r="258" spans="1:4">
      <c r="A258" s="66" t="s">
        <v>2342</v>
      </c>
      <c r="B258" s="65">
        <v>63745</v>
      </c>
      <c r="C258" s="65">
        <v>1980</v>
      </c>
      <c r="D258" s="65">
        <v>73</v>
      </c>
    </row>
    <row r="259" spans="1:4">
      <c r="A259" s="66" t="s">
        <v>2393</v>
      </c>
      <c r="B259" s="65">
        <v>110480</v>
      </c>
      <c r="C259" s="65">
        <v>1910</v>
      </c>
      <c r="D259" s="65">
        <v>73</v>
      </c>
    </row>
    <row r="260" spans="1:4">
      <c r="A260" s="66" t="s">
        <v>2531</v>
      </c>
      <c r="B260" s="65">
        <v>110678</v>
      </c>
      <c r="C260" s="65">
        <v>1174</v>
      </c>
      <c r="D260" s="65">
        <v>73</v>
      </c>
    </row>
    <row r="261" spans="1:4">
      <c r="A261" s="66" t="s">
        <v>290</v>
      </c>
      <c r="B261" s="65">
        <v>224096</v>
      </c>
      <c r="C261" s="65">
        <v>1162</v>
      </c>
      <c r="D261" s="65">
        <v>72</v>
      </c>
    </row>
    <row r="262" spans="1:4">
      <c r="A262" s="66" t="s">
        <v>1044</v>
      </c>
      <c r="B262" s="65">
        <v>223462</v>
      </c>
      <c r="C262" s="65">
        <v>13487</v>
      </c>
      <c r="D262" s="65">
        <v>72</v>
      </c>
    </row>
    <row r="263" spans="1:4">
      <c r="A263" s="66" t="s">
        <v>2345</v>
      </c>
      <c r="B263" s="65">
        <v>107027</v>
      </c>
      <c r="C263" s="65">
        <v>4710</v>
      </c>
      <c r="D263" s="65">
        <v>72</v>
      </c>
    </row>
    <row r="264" spans="1:4">
      <c r="A264" s="66" t="s">
        <v>716</v>
      </c>
      <c r="B264" s="65">
        <v>10464</v>
      </c>
      <c r="C264" s="65">
        <v>665</v>
      </c>
      <c r="D264" s="65">
        <v>71</v>
      </c>
    </row>
    <row r="265" spans="1:4">
      <c r="A265" s="66" t="s">
        <v>1011</v>
      </c>
      <c r="B265" s="65">
        <v>20169</v>
      </c>
      <c r="C265" s="65">
        <v>158</v>
      </c>
      <c r="D265" s="65">
        <v>71</v>
      </c>
    </row>
    <row r="266" spans="1:4">
      <c r="A266" s="66" t="s">
        <v>880</v>
      </c>
      <c r="B266" s="65">
        <v>91304</v>
      </c>
      <c r="C266" s="65">
        <v>2487</v>
      </c>
      <c r="D266" s="65">
        <v>71</v>
      </c>
    </row>
    <row r="267" spans="1:4">
      <c r="A267" s="66" t="s">
        <v>894</v>
      </c>
      <c r="B267" s="65">
        <v>157702</v>
      </c>
      <c r="C267" s="65">
        <v>14450</v>
      </c>
      <c r="D267" s="65">
        <v>71</v>
      </c>
    </row>
    <row r="268" spans="1:4">
      <c r="A268" s="66" t="s">
        <v>296</v>
      </c>
      <c r="B268" s="65">
        <v>177644</v>
      </c>
      <c r="C268" s="65">
        <v>2425</v>
      </c>
      <c r="D268" s="65">
        <v>69</v>
      </c>
    </row>
    <row r="269" spans="1:4">
      <c r="A269" s="66" t="s">
        <v>755</v>
      </c>
      <c r="B269" s="65">
        <v>116639</v>
      </c>
      <c r="C269" s="65">
        <v>587</v>
      </c>
      <c r="D269" s="65">
        <v>68</v>
      </c>
    </row>
    <row r="270" spans="1:4">
      <c r="A270" s="66" t="s">
        <v>1324</v>
      </c>
      <c r="B270" s="65">
        <v>133989</v>
      </c>
      <c r="C270" s="65">
        <v>2660</v>
      </c>
      <c r="D270" s="65">
        <v>68</v>
      </c>
    </row>
    <row r="271" spans="1:4">
      <c r="A271" s="66" t="s">
        <v>2236</v>
      </c>
      <c r="B271" s="65">
        <v>138554</v>
      </c>
      <c r="C271" s="65">
        <v>18500</v>
      </c>
      <c r="D271" s="65">
        <v>68</v>
      </c>
    </row>
    <row r="272" spans="1:4">
      <c r="A272" s="66" t="s">
        <v>1335</v>
      </c>
      <c r="B272" s="65">
        <v>129748</v>
      </c>
      <c r="C272" s="65">
        <v>2235</v>
      </c>
      <c r="D272" s="65">
        <v>67</v>
      </c>
    </row>
    <row r="273" spans="1:4">
      <c r="A273" s="66" t="s">
        <v>2315</v>
      </c>
      <c r="B273" s="65">
        <v>100769</v>
      </c>
      <c r="C273" s="65">
        <v>10800</v>
      </c>
      <c r="D273" s="65">
        <v>67</v>
      </c>
    </row>
    <row r="274" spans="1:4">
      <c r="A274" s="66" t="s">
        <v>2201</v>
      </c>
      <c r="B274" s="65">
        <v>114101</v>
      </c>
      <c r="C274" s="65">
        <v>268</v>
      </c>
      <c r="D274" s="65">
        <v>65</v>
      </c>
    </row>
    <row r="275" spans="1:4">
      <c r="A275" s="66" t="s">
        <v>2205</v>
      </c>
      <c r="B275" s="65">
        <v>58621</v>
      </c>
      <c r="C275" s="65">
        <v>2015</v>
      </c>
      <c r="D275" s="65">
        <v>65</v>
      </c>
    </row>
    <row r="276" spans="1:4">
      <c r="A276" s="66" t="s">
        <v>469</v>
      </c>
      <c r="B276" s="65">
        <v>140837</v>
      </c>
      <c r="C276" s="65">
        <v>41700</v>
      </c>
      <c r="D276" s="65">
        <v>64</v>
      </c>
    </row>
    <row r="277" spans="1:4">
      <c r="A277" s="66" t="s">
        <v>1060</v>
      </c>
      <c r="B277" s="65">
        <v>1011</v>
      </c>
      <c r="C277" s="65">
        <v>979</v>
      </c>
      <c r="D277" s="65">
        <v>64</v>
      </c>
    </row>
    <row r="278" spans="1:4">
      <c r="A278" s="66" t="s">
        <v>828</v>
      </c>
      <c r="B278" s="65">
        <v>138555</v>
      </c>
      <c r="C278" s="65">
        <v>17600</v>
      </c>
      <c r="D278" s="65">
        <v>64</v>
      </c>
    </row>
    <row r="279" spans="1:4">
      <c r="A279" s="66" t="s">
        <v>1345</v>
      </c>
      <c r="B279" s="65">
        <v>39564</v>
      </c>
      <c r="C279" s="65">
        <v>449</v>
      </c>
      <c r="D279" s="65">
        <v>64</v>
      </c>
    </row>
    <row r="280" spans="1:4">
      <c r="A280" s="66" t="s">
        <v>1178</v>
      </c>
      <c r="B280" s="65">
        <v>157090</v>
      </c>
      <c r="C280" s="65">
        <v>806</v>
      </c>
      <c r="D280" s="65">
        <v>63</v>
      </c>
    </row>
    <row r="281" spans="1:4">
      <c r="A281" s="66" t="s">
        <v>949</v>
      </c>
      <c r="B281" s="65">
        <v>156208</v>
      </c>
      <c r="C281" s="65">
        <v>16800</v>
      </c>
      <c r="D281" s="65">
        <v>63</v>
      </c>
    </row>
    <row r="282" spans="1:4">
      <c r="A282" s="66" t="s">
        <v>784</v>
      </c>
      <c r="B282" s="65">
        <v>82833</v>
      </c>
      <c r="C282" s="65">
        <v>3940</v>
      </c>
      <c r="D282" s="65">
        <v>63</v>
      </c>
    </row>
    <row r="283" spans="1:4">
      <c r="A283" s="66" t="s">
        <v>940</v>
      </c>
      <c r="B283" s="65">
        <v>31435</v>
      </c>
      <c r="C283" s="65">
        <v>901</v>
      </c>
      <c r="D283" s="65">
        <v>62</v>
      </c>
    </row>
    <row r="284" spans="1:4">
      <c r="A284" s="66" t="s">
        <v>720</v>
      </c>
      <c r="B284" s="65">
        <v>14492</v>
      </c>
      <c r="C284" s="65">
        <v>3870</v>
      </c>
      <c r="D284" s="65">
        <v>62</v>
      </c>
    </row>
    <row r="285" spans="1:4">
      <c r="A285" s="66" t="s">
        <v>785</v>
      </c>
      <c r="B285" s="65">
        <v>137303</v>
      </c>
      <c r="C285" s="65">
        <v>146</v>
      </c>
      <c r="D285" s="65">
        <v>62</v>
      </c>
    </row>
    <row r="286" spans="1:4">
      <c r="A286" s="66" t="s">
        <v>1454</v>
      </c>
      <c r="B286" s="65">
        <v>127245</v>
      </c>
      <c r="C286" s="65">
        <v>910</v>
      </c>
      <c r="D286" s="65">
        <v>62</v>
      </c>
    </row>
    <row r="287" spans="1:4">
      <c r="A287" s="66" t="s">
        <v>2344</v>
      </c>
      <c r="B287" s="65">
        <v>110566</v>
      </c>
      <c r="C287" s="65">
        <v>1050</v>
      </c>
      <c r="D287" s="65">
        <v>62</v>
      </c>
    </row>
    <row r="288" spans="1:4">
      <c r="A288" s="66" t="s">
        <v>2376</v>
      </c>
      <c r="B288" s="65">
        <v>133696</v>
      </c>
      <c r="C288" s="65">
        <v>170</v>
      </c>
      <c r="D288" s="65">
        <v>62</v>
      </c>
    </row>
    <row r="289" spans="1:4">
      <c r="A289" s="66" t="s">
        <v>2532</v>
      </c>
      <c r="B289" s="65">
        <v>8780</v>
      </c>
      <c r="C289" s="65">
        <v>3234</v>
      </c>
      <c r="D289" s="65">
        <v>62</v>
      </c>
    </row>
    <row r="290" spans="1:4">
      <c r="A290" s="66" t="s">
        <v>1065</v>
      </c>
      <c r="B290" s="65">
        <v>114047</v>
      </c>
      <c r="C290" s="65">
        <v>1846</v>
      </c>
      <c r="D290" s="65">
        <v>61</v>
      </c>
    </row>
    <row r="291" spans="1:4">
      <c r="A291" s="66" t="s">
        <v>1179</v>
      </c>
      <c r="B291" s="65">
        <v>129754</v>
      </c>
      <c r="C291" s="65">
        <v>835</v>
      </c>
      <c r="D291" s="65">
        <v>61</v>
      </c>
    </row>
    <row r="292" spans="1:4">
      <c r="A292" s="66" t="s">
        <v>1536</v>
      </c>
      <c r="B292" s="65">
        <v>178118</v>
      </c>
      <c r="C292" s="65">
        <v>2350</v>
      </c>
      <c r="D292" s="65">
        <v>61</v>
      </c>
    </row>
    <row r="293" spans="1:4">
      <c r="A293" s="66" t="s">
        <v>2348</v>
      </c>
      <c r="B293" s="65">
        <v>13919</v>
      </c>
      <c r="C293" s="65">
        <v>380</v>
      </c>
      <c r="D293" s="65">
        <v>61</v>
      </c>
    </row>
    <row r="294" spans="1:4">
      <c r="A294" s="66" t="s">
        <v>2017</v>
      </c>
      <c r="B294" s="65">
        <v>110199</v>
      </c>
      <c r="C294" s="65">
        <v>1351</v>
      </c>
      <c r="D294" s="65">
        <v>61</v>
      </c>
    </row>
    <row r="295" spans="1:4">
      <c r="A295" s="66" t="s">
        <v>2206</v>
      </c>
      <c r="B295" s="65">
        <v>116844</v>
      </c>
      <c r="C295" s="65">
        <v>5760</v>
      </c>
      <c r="D295" s="65">
        <v>61</v>
      </c>
    </row>
    <row r="296" spans="1:4">
      <c r="A296" s="66" t="s">
        <v>482</v>
      </c>
      <c r="B296" s="65">
        <v>223729</v>
      </c>
      <c r="C296" s="65">
        <v>4800</v>
      </c>
      <c r="D296" s="65">
        <v>60</v>
      </c>
    </row>
    <row r="297" spans="1:4">
      <c r="A297" s="66" t="s">
        <v>81</v>
      </c>
      <c r="B297" s="65">
        <v>111877</v>
      </c>
      <c r="C297" s="65">
        <v>2735</v>
      </c>
      <c r="D297" s="65">
        <v>60</v>
      </c>
    </row>
    <row r="298" spans="1:4">
      <c r="A298" s="66" t="s">
        <v>939</v>
      </c>
      <c r="B298" s="65">
        <v>69380</v>
      </c>
      <c r="C298" s="65">
        <v>13600</v>
      </c>
      <c r="D298" s="65">
        <v>60</v>
      </c>
    </row>
    <row r="299" spans="1:4">
      <c r="A299" s="66" t="s">
        <v>1339</v>
      </c>
      <c r="B299" s="65">
        <v>50054</v>
      </c>
      <c r="C299" s="65">
        <v>289</v>
      </c>
      <c r="D299" s="65">
        <v>60</v>
      </c>
    </row>
    <row r="300" spans="1:4">
      <c r="A300" s="66" t="s">
        <v>1430</v>
      </c>
      <c r="B300" s="65">
        <v>473</v>
      </c>
      <c r="C300" s="65">
        <v>355</v>
      </c>
      <c r="D300" s="65">
        <v>60</v>
      </c>
    </row>
    <row r="301" spans="1:4">
      <c r="A301" s="66" t="s">
        <v>478</v>
      </c>
      <c r="B301" s="65">
        <v>107</v>
      </c>
      <c r="C301" s="65">
        <v>676</v>
      </c>
      <c r="D301" s="65">
        <v>59</v>
      </c>
    </row>
    <row r="302" spans="1:4">
      <c r="A302" s="66" t="s">
        <v>715</v>
      </c>
      <c r="B302" s="65">
        <v>93413</v>
      </c>
      <c r="C302" s="65">
        <v>158</v>
      </c>
      <c r="D302" s="65">
        <v>59</v>
      </c>
    </row>
    <row r="303" spans="1:4">
      <c r="A303" s="66" t="s">
        <v>938</v>
      </c>
      <c r="B303" s="65">
        <v>119995</v>
      </c>
      <c r="C303" s="65">
        <v>1946</v>
      </c>
      <c r="D303" s="65">
        <v>59</v>
      </c>
    </row>
    <row r="304" spans="1:4">
      <c r="A304" s="66" t="s">
        <v>581</v>
      </c>
      <c r="B304" s="65">
        <v>114182</v>
      </c>
      <c r="C304" s="65">
        <v>828</v>
      </c>
      <c r="D304" s="65">
        <v>58</v>
      </c>
    </row>
    <row r="305" spans="1:4">
      <c r="A305" s="66" t="s">
        <v>884</v>
      </c>
      <c r="B305" s="65">
        <v>143762</v>
      </c>
      <c r="C305" s="65">
        <v>172</v>
      </c>
      <c r="D305" s="65">
        <v>58</v>
      </c>
    </row>
    <row r="306" spans="1:4">
      <c r="A306" s="66" t="s">
        <v>1440</v>
      </c>
      <c r="B306" s="65">
        <v>82390</v>
      </c>
      <c r="C306" s="65">
        <v>729</v>
      </c>
      <c r="D306" s="65">
        <v>58</v>
      </c>
    </row>
    <row r="307" spans="1:4">
      <c r="A307" s="66" t="s">
        <v>1434</v>
      </c>
      <c r="B307" s="65">
        <v>285</v>
      </c>
      <c r="C307" s="65">
        <v>1379</v>
      </c>
      <c r="D307" s="65">
        <v>58</v>
      </c>
    </row>
    <row r="308" spans="1:4">
      <c r="A308" s="66" t="s">
        <v>2186</v>
      </c>
      <c r="B308" s="65">
        <v>159055</v>
      </c>
      <c r="C308" s="65">
        <v>3685</v>
      </c>
      <c r="D308" s="65">
        <v>58</v>
      </c>
    </row>
    <row r="309" spans="1:4">
      <c r="A309" s="66" t="s">
        <v>1199</v>
      </c>
      <c r="B309" s="65">
        <v>121257</v>
      </c>
      <c r="C309" s="65">
        <v>16720</v>
      </c>
      <c r="D309" s="65">
        <v>57</v>
      </c>
    </row>
    <row r="310" spans="1:4">
      <c r="A310" s="66" t="s">
        <v>717</v>
      </c>
      <c r="B310" s="65">
        <v>310</v>
      </c>
      <c r="C310" s="65">
        <v>203</v>
      </c>
      <c r="D310" s="65">
        <v>57</v>
      </c>
    </row>
    <row r="311" spans="1:4">
      <c r="A311" s="66" t="s">
        <v>1724</v>
      </c>
      <c r="B311" s="65">
        <v>124574</v>
      </c>
      <c r="C311" s="65">
        <v>7200</v>
      </c>
      <c r="D311" s="65">
        <v>57</v>
      </c>
    </row>
    <row r="312" spans="1:4">
      <c r="A312" s="66" t="s">
        <v>2086</v>
      </c>
      <c r="B312" s="65">
        <v>110086</v>
      </c>
      <c r="C312" s="65">
        <v>150</v>
      </c>
      <c r="D312" s="65">
        <v>57</v>
      </c>
    </row>
    <row r="313" spans="1:4">
      <c r="A313" s="66" t="s">
        <v>226</v>
      </c>
      <c r="B313" s="65">
        <v>138946</v>
      </c>
      <c r="C313" s="65">
        <v>303</v>
      </c>
      <c r="D313" s="65">
        <v>56</v>
      </c>
    </row>
    <row r="314" spans="1:4">
      <c r="A314" s="66" t="s">
        <v>2049</v>
      </c>
      <c r="B314" s="65">
        <v>156867</v>
      </c>
      <c r="C314" s="65">
        <v>378</v>
      </c>
      <c r="D314" s="65">
        <v>56</v>
      </c>
    </row>
    <row r="315" spans="1:4">
      <c r="A315" s="66" t="s">
        <v>1971</v>
      </c>
      <c r="B315" s="65">
        <v>110816</v>
      </c>
      <c r="C315" s="65">
        <v>123</v>
      </c>
      <c r="D315" s="65">
        <v>56</v>
      </c>
    </row>
    <row r="316" spans="1:4">
      <c r="A316" s="66" t="s">
        <v>1052</v>
      </c>
      <c r="B316" s="65">
        <v>160446</v>
      </c>
      <c r="C316" s="65">
        <v>818</v>
      </c>
      <c r="D316" s="65">
        <v>55</v>
      </c>
    </row>
    <row r="317" spans="1:4">
      <c r="A317" s="66" t="s">
        <v>817</v>
      </c>
      <c r="B317" s="65">
        <v>63746</v>
      </c>
      <c r="C317" s="65">
        <v>1520</v>
      </c>
      <c r="D317" s="65">
        <v>55</v>
      </c>
    </row>
    <row r="318" spans="1:4">
      <c r="A318" s="66" t="s">
        <v>2633</v>
      </c>
      <c r="B318" s="65">
        <v>139613</v>
      </c>
      <c r="C318" s="65">
        <v>634</v>
      </c>
      <c r="D318" s="65">
        <v>55</v>
      </c>
    </row>
    <row r="319" spans="1:4">
      <c r="A319" s="66" t="s">
        <v>1225</v>
      </c>
      <c r="B319" s="65">
        <v>1397</v>
      </c>
      <c r="C319" s="65">
        <v>254</v>
      </c>
      <c r="D319" s="65">
        <v>55</v>
      </c>
    </row>
    <row r="320" spans="1:4">
      <c r="A320" s="66" t="s">
        <v>795</v>
      </c>
      <c r="B320" s="65">
        <v>1034</v>
      </c>
      <c r="C320" s="65">
        <v>311</v>
      </c>
      <c r="D320" s="65">
        <v>55</v>
      </c>
    </row>
    <row r="321" spans="1:4">
      <c r="A321" s="66" t="s">
        <v>1542</v>
      </c>
      <c r="B321" s="65">
        <v>13916</v>
      </c>
      <c r="C321" s="65">
        <v>689</v>
      </c>
      <c r="D321" s="65">
        <v>55</v>
      </c>
    </row>
    <row r="322" spans="1:4">
      <c r="A322" s="66" t="s">
        <v>1687</v>
      </c>
      <c r="B322" s="65">
        <v>2634</v>
      </c>
      <c r="C322" s="65">
        <v>117</v>
      </c>
      <c r="D322" s="65">
        <v>55</v>
      </c>
    </row>
    <row r="323" spans="1:4">
      <c r="A323" s="66" t="s">
        <v>2582</v>
      </c>
      <c r="B323" s="65">
        <v>118318</v>
      </c>
      <c r="C323" s="65">
        <v>6520</v>
      </c>
      <c r="D323" s="65">
        <v>55</v>
      </c>
    </row>
    <row r="324" spans="1:4">
      <c r="A324" s="66" t="s">
        <v>362</v>
      </c>
      <c r="B324" s="65">
        <v>114251</v>
      </c>
      <c r="C324" s="65">
        <v>1043</v>
      </c>
      <c r="D324" s="65">
        <v>54</v>
      </c>
    </row>
    <row r="325" spans="1:4">
      <c r="A325" s="66" t="s">
        <v>163</v>
      </c>
      <c r="B325" s="65">
        <v>133699</v>
      </c>
      <c r="C325" s="65">
        <v>283</v>
      </c>
      <c r="D325" s="65">
        <v>54</v>
      </c>
    </row>
    <row r="326" spans="1:4">
      <c r="A326" s="66" t="s">
        <v>704</v>
      </c>
      <c r="B326" s="65">
        <v>125063</v>
      </c>
      <c r="C326" s="65">
        <v>403</v>
      </c>
      <c r="D326" s="65">
        <v>54</v>
      </c>
    </row>
    <row r="327" spans="1:4">
      <c r="A327" s="66" t="s">
        <v>1003</v>
      </c>
      <c r="B327" s="65">
        <v>126102</v>
      </c>
      <c r="C327" s="65">
        <v>271</v>
      </c>
      <c r="D327" s="65">
        <v>54</v>
      </c>
    </row>
    <row r="328" spans="1:4">
      <c r="A328" s="66" t="s">
        <v>2589</v>
      </c>
      <c r="B328" s="65">
        <v>264</v>
      </c>
      <c r="C328" s="65">
        <v>794</v>
      </c>
      <c r="D328" s="65">
        <v>54</v>
      </c>
    </row>
    <row r="329" spans="1:4">
      <c r="A329" s="66" t="s">
        <v>2536</v>
      </c>
      <c r="B329" s="65">
        <v>49659</v>
      </c>
      <c r="C329" s="65">
        <v>1584</v>
      </c>
      <c r="D329" s="65">
        <v>54</v>
      </c>
    </row>
    <row r="330" spans="1:4">
      <c r="A330" s="66" t="s">
        <v>2203</v>
      </c>
      <c r="B330" s="65">
        <v>89551</v>
      </c>
      <c r="C330" s="65">
        <v>791</v>
      </c>
      <c r="D330" s="65">
        <v>54</v>
      </c>
    </row>
    <row r="331" spans="1:4">
      <c r="A331" s="66" t="s">
        <v>2214</v>
      </c>
      <c r="B331" s="65">
        <v>116908</v>
      </c>
      <c r="C331" s="65">
        <v>451</v>
      </c>
      <c r="D331" s="65">
        <v>54</v>
      </c>
    </row>
    <row r="332" spans="1:4">
      <c r="A332" s="66" t="s">
        <v>566</v>
      </c>
      <c r="B332" s="65">
        <v>130169</v>
      </c>
      <c r="C332" s="65">
        <v>8700</v>
      </c>
      <c r="D332" s="65">
        <v>53</v>
      </c>
    </row>
    <row r="333" spans="1:4">
      <c r="A333" s="66" t="s">
        <v>1292</v>
      </c>
      <c r="B333" s="65">
        <v>135385</v>
      </c>
      <c r="C333" s="65">
        <v>194</v>
      </c>
      <c r="D333" s="65">
        <v>53</v>
      </c>
    </row>
    <row r="334" spans="1:4">
      <c r="A334" s="66" t="s">
        <v>1443</v>
      </c>
      <c r="B334" s="65">
        <v>65037</v>
      </c>
      <c r="C334" s="65">
        <v>913</v>
      </c>
      <c r="D334" s="65">
        <v>53</v>
      </c>
    </row>
    <row r="335" spans="1:4">
      <c r="A335" s="66" t="s">
        <v>2324</v>
      </c>
      <c r="B335" s="65">
        <v>1454</v>
      </c>
      <c r="C335" s="65">
        <v>6550</v>
      </c>
      <c r="D335" s="65">
        <v>53</v>
      </c>
    </row>
    <row r="336" spans="1:4">
      <c r="A336" s="66" t="s">
        <v>16</v>
      </c>
      <c r="B336" s="65">
        <v>93333</v>
      </c>
      <c r="C336" s="65">
        <v>430</v>
      </c>
      <c r="D336" s="65">
        <v>52</v>
      </c>
    </row>
    <row r="337" spans="1:4">
      <c r="A337" s="66" t="s">
        <v>301</v>
      </c>
      <c r="B337" s="65">
        <v>127265</v>
      </c>
      <c r="C337" s="65">
        <v>1138</v>
      </c>
      <c r="D337" s="65">
        <v>52</v>
      </c>
    </row>
    <row r="338" spans="1:4">
      <c r="A338" s="66" t="s">
        <v>276</v>
      </c>
      <c r="B338" s="65">
        <v>102830</v>
      </c>
      <c r="C338" s="65">
        <v>2774</v>
      </c>
      <c r="D338" s="65">
        <v>52</v>
      </c>
    </row>
    <row r="339" spans="1:4">
      <c r="A339" s="66" t="s">
        <v>256</v>
      </c>
      <c r="B339" s="65">
        <v>111856</v>
      </c>
      <c r="C339" s="65">
        <v>401</v>
      </c>
      <c r="D339" s="65">
        <v>52</v>
      </c>
    </row>
    <row r="340" spans="1:4">
      <c r="A340" s="66" t="s">
        <v>1051</v>
      </c>
      <c r="B340" s="65">
        <v>72112</v>
      </c>
      <c r="C340" s="65">
        <v>511</v>
      </c>
      <c r="D340" s="65">
        <v>52</v>
      </c>
    </row>
    <row r="341" spans="1:4">
      <c r="A341" s="66" t="s">
        <v>673</v>
      </c>
      <c r="B341" s="65">
        <v>116471</v>
      </c>
      <c r="C341" s="65">
        <v>801</v>
      </c>
      <c r="D341" s="65">
        <v>52</v>
      </c>
    </row>
    <row r="342" spans="1:4">
      <c r="A342" s="66" t="s">
        <v>2421</v>
      </c>
      <c r="B342" s="65">
        <v>125002</v>
      </c>
      <c r="C342" s="65">
        <v>328</v>
      </c>
      <c r="D342" s="65">
        <v>52</v>
      </c>
    </row>
    <row r="343" spans="1:4">
      <c r="A343" s="66" t="s">
        <v>2183</v>
      </c>
      <c r="B343" s="65">
        <v>108226</v>
      </c>
      <c r="C343" s="65">
        <v>83</v>
      </c>
      <c r="D343" s="65">
        <v>52</v>
      </c>
    </row>
    <row r="344" spans="1:4">
      <c r="A344" s="66" t="s">
        <v>375</v>
      </c>
      <c r="B344" s="65">
        <v>156232</v>
      </c>
      <c r="C344" s="65">
        <v>7263</v>
      </c>
      <c r="D344" s="65">
        <v>51</v>
      </c>
    </row>
    <row r="345" spans="1:4">
      <c r="A345" s="66" t="s">
        <v>1064</v>
      </c>
      <c r="B345" s="65">
        <v>99746</v>
      </c>
      <c r="C345" s="65">
        <v>411</v>
      </c>
      <c r="D345" s="65">
        <v>51</v>
      </c>
    </row>
    <row r="346" spans="1:4">
      <c r="A346" s="66" t="s">
        <v>935</v>
      </c>
      <c r="B346" s="65">
        <v>138556</v>
      </c>
      <c r="C346" s="65">
        <v>18100</v>
      </c>
      <c r="D346" s="65">
        <v>51</v>
      </c>
    </row>
    <row r="347" spans="1:4">
      <c r="A347" s="66" t="s">
        <v>787</v>
      </c>
      <c r="B347" s="65">
        <v>4887</v>
      </c>
      <c r="C347" s="65">
        <v>87</v>
      </c>
      <c r="D347" s="65">
        <v>51</v>
      </c>
    </row>
    <row r="348" spans="1:4">
      <c r="A348" s="66" t="s">
        <v>1340</v>
      </c>
      <c r="B348" s="65">
        <v>48265</v>
      </c>
      <c r="C348" s="65">
        <v>5970</v>
      </c>
      <c r="D348" s="65">
        <v>51</v>
      </c>
    </row>
    <row r="349" spans="1:4">
      <c r="A349" s="66" t="s">
        <v>2369</v>
      </c>
      <c r="B349" s="65">
        <v>700</v>
      </c>
      <c r="C349" s="65">
        <v>551</v>
      </c>
      <c r="D349" s="65">
        <v>51</v>
      </c>
    </row>
    <row r="350" spans="1:4">
      <c r="A350" s="66" t="s">
        <v>133</v>
      </c>
      <c r="B350" s="65">
        <v>176167</v>
      </c>
      <c r="C350" s="65">
        <v>3225</v>
      </c>
      <c r="D350" s="65">
        <v>49</v>
      </c>
    </row>
    <row r="351" spans="1:4">
      <c r="A351" s="66" t="s">
        <v>304</v>
      </c>
      <c r="B351" s="65">
        <v>173039</v>
      </c>
      <c r="C351" s="65">
        <v>906</v>
      </c>
      <c r="D351" s="65">
        <v>49</v>
      </c>
    </row>
    <row r="352" spans="1:4">
      <c r="A352" s="66" t="s">
        <v>1068</v>
      </c>
      <c r="B352" s="65">
        <v>33796</v>
      </c>
      <c r="C352" s="65">
        <v>135</v>
      </c>
      <c r="D352" s="65">
        <v>49</v>
      </c>
    </row>
    <row r="353" spans="1:4">
      <c r="A353" s="66" t="s">
        <v>1298</v>
      </c>
      <c r="B353" s="65">
        <v>138407</v>
      </c>
      <c r="C353" s="65">
        <v>543</v>
      </c>
      <c r="D353" s="65">
        <v>49</v>
      </c>
    </row>
    <row r="354" spans="1:4">
      <c r="A354" s="66" t="s">
        <v>1076</v>
      </c>
      <c r="B354" s="65">
        <v>209353</v>
      </c>
      <c r="C354" s="65">
        <v>328</v>
      </c>
      <c r="D354" s="65">
        <v>49</v>
      </c>
    </row>
    <row r="355" spans="1:4">
      <c r="A355" s="66" t="s">
        <v>839</v>
      </c>
      <c r="B355" s="65">
        <v>132591</v>
      </c>
      <c r="C355" s="65">
        <v>404</v>
      </c>
      <c r="D355" s="65">
        <v>49</v>
      </c>
    </row>
    <row r="356" spans="1:4">
      <c r="A356" s="66" t="s">
        <v>1252</v>
      </c>
      <c r="B356" s="65">
        <v>119</v>
      </c>
      <c r="C356" s="65">
        <v>1045</v>
      </c>
      <c r="D356" s="65">
        <v>49</v>
      </c>
    </row>
    <row r="357" spans="1:4">
      <c r="A357" s="66" t="s">
        <v>875</v>
      </c>
      <c r="B357" s="65">
        <v>95299</v>
      </c>
      <c r="C357" s="65">
        <v>881</v>
      </c>
      <c r="D357" s="65">
        <v>49</v>
      </c>
    </row>
    <row r="358" spans="1:4">
      <c r="A358" s="66" t="s">
        <v>1552</v>
      </c>
      <c r="B358" s="65">
        <v>156953</v>
      </c>
      <c r="C358" s="65">
        <v>11800</v>
      </c>
      <c r="D358" s="65">
        <v>49</v>
      </c>
    </row>
    <row r="359" spans="1:4">
      <c r="A359" s="66" t="s">
        <v>1947</v>
      </c>
      <c r="B359" s="65">
        <v>114053</v>
      </c>
      <c r="C359" s="65">
        <v>5945</v>
      </c>
      <c r="D359" s="65">
        <v>49</v>
      </c>
    </row>
    <row r="360" spans="1:4">
      <c r="A360" s="66" t="s">
        <v>2320</v>
      </c>
      <c r="B360" s="65">
        <v>59392</v>
      </c>
      <c r="C360" s="65">
        <v>3305</v>
      </c>
      <c r="D360" s="65">
        <v>49</v>
      </c>
    </row>
    <row r="361" spans="1:4">
      <c r="A361" s="66" t="s">
        <v>2178</v>
      </c>
      <c r="B361" s="65">
        <v>120174</v>
      </c>
      <c r="C361" s="65">
        <v>244</v>
      </c>
      <c r="D361" s="65">
        <v>49</v>
      </c>
    </row>
    <row r="362" spans="1:4">
      <c r="A362" s="66" t="s">
        <v>583</v>
      </c>
      <c r="B362" s="65">
        <v>6669</v>
      </c>
      <c r="C362" s="65">
        <v>2785</v>
      </c>
      <c r="D362" s="65">
        <v>48</v>
      </c>
    </row>
    <row r="363" spans="1:4">
      <c r="A363" s="66" t="s">
        <v>1021</v>
      </c>
      <c r="B363" s="65">
        <v>1132</v>
      </c>
      <c r="C363" s="65">
        <v>248</v>
      </c>
      <c r="D363" s="65">
        <v>48</v>
      </c>
    </row>
    <row r="364" spans="1:4">
      <c r="A364" s="66" t="s">
        <v>1490</v>
      </c>
      <c r="B364" s="65">
        <v>157031</v>
      </c>
      <c r="C364" s="65">
        <v>42400</v>
      </c>
      <c r="D364" s="65">
        <v>48</v>
      </c>
    </row>
    <row r="365" spans="1:4">
      <c r="A365" s="66" t="s">
        <v>1709</v>
      </c>
      <c r="B365" s="65">
        <v>159320</v>
      </c>
      <c r="C365" s="65">
        <v>176</v>
      </c>
      <c r="D365" s="65">
        <v>48</v>
      </c>
    </row>
    <row r="366" spans="1:4">
      <c r="A366" s="66" t="s">
        <v>1981</v>
      </c>
      <c r="B366" s="65">
        <v>132699</v>
      </c>
      <c r="C366" s="65">
        <v>557</v>
      </c>
      <c r="D366" s="65">
        <v>48</v>
      </c>
    </row>
    <row r="367" spans="1:4">
      <c r="A367" s="66" t="s">
        <v>1040</v>
      </c>
      <c r="B367" s="65">
        <v>109189</v>
      </c>
      <c r="C367" s="65">
        <v>164</v>
      </c>
      <c r="D367" s="65">
        <v>47</v>
      </c>
    </row>
    <row r="368" spans="1:4">
      <c r="A368" s="66" t="s">
        <v>1283</v>
      </c>
      <c r="B368" s="65">
        <v>631</v>
      </c>
      <c r="C368" s="65">
        <v>567</v>
      </c>
      <c r="D368" s="65">
        <v>47</v>
      </c>
    </row>
    <row r="369" spans="1:4">
      <c r="A369" s="66" t="s">
        <v>929</v>
      </c>
      <c r="B369" s="65">
        <v>158205</v>
      </c>
      <c r="C369" s="65">
        <v>205</v>
      </c>
      <c r="D369" s="65">
        <v>47</v>
      </c>
    </row>
    <row r="370" spans="1:4">
      <c r="A370" s="66" t="s">
        <v>829</v>
      </c>
      <c r="B370" s="65">
        <v>474</v>
      </c>
      <c r="C370" s="65">
        <v>264</v>
      </c>
      <c r="D370" s="65">
        <v>47</v>
      </c>
    </row>
    <row r="371" spans="1:4">
      <c r="A371" s="66" t="s">
        <v>1673</v>
      </c>
      <c r="B371" s="65">
        <v>112714</v>
      </c>
      <c r="C371" s="65">
        <v>4100</v>
      </c>
      <c r="D371" s="65">
        <v>47</v>
      </c>
    </row>
    <row r="372" spans="1:4">
      <c r="A372" s="66" t="s">
        <v>2631</v>
      </c>
      <c r="B372" s="65">
        <v>7814</v>
      </c>
      <c r="C372" s="65">
        <v>1333</v>
      </c>
      <c r="D372" s="65">
        <v>47</v>
      </c>
    </row>
    <row r="373" spans="1:4">
      <c r="A373" s="66" t="s">
        <v>2237</v>
      </c>
      <c r="B373" s="65">
        <v>105355</v>
      </c>
      <c r="C373" s="65">
        <v>954</v>
      </c>
      <c r="D373" s="65">
        <v>47</v>
      </c>
    </row>
    <row r="374" spans="1:4">
      <c r="A374" s="66" t="s">
        <v>2632</v>
      </c>
      <c r="B374" s="65">
        <v>1172</v>
      </c>
      <c r="C374" s="65">
        <v>619</v>
      </c>
      <c r="D374" s="65">
        <v>47</v>
      </c>
    </row>
    <row r="375" spans="1:4">
      <c r="A375" s="66" t="s">
        <v>2209</v>
      </c>
      <c r="B375" s="65">
        <v>7348</v>
      </c>
      <c r="C375" s="65">
        <v>53652</v>
      </c>
      <c r="D375" s="65">
        <v>47</v>
      </c>
    </row>
    <row r="376" spans="1:4">
      <c r="A376" s="66" t="s">
        <v>564</v>
      </c>
      <c r="B376" s="65">
        <v>60733</v>
      </c>
      <c r="C376" s="65">
        <v>421</v>
      </c>
      <c r="D376" s="65">
        <v>46</v>
      </c>
    </row>
    <row r="377" spans="1:4">
      <c r="A377" s="66" t="s">
        <v>1237</v>
      </c>
      <c r="B377" s="65">
        <v>129080</v>
      </c>
      <c r="C377" s="65">
        <v>382</v>
      </c>
      <c r="D377" s="65">
        <v>46</v>
      </c>
    </row>
    <row r="378" spans="1:4">
      <c r="A378" s="66" t="s">
        <v>1946</v>
      </c>
      <c r="B378" s="65">
        <v>137712</v>
      </c>
      <c r="C378" s="65">
        <v>814</v>
      </c>
      <c r="D378" s="65">
        <v>46</v>
      </c>
    </row>
    <row r="379" spans="1:4">
      <c r="A379" s="66" t="s">
        <v>2099</v>
      </c>
      <c r="B379" s="65">
        <v>138759</v>
      </c>
      <c r="C379" s="65">
        <v>3210</v>
      </c>
      <c r="D379" s="65">
        <v>46</v>
      </c>
    </row>
    <row r="380" spans="1:4">
      <c r="A380" s="66" t="s">
        <v>165</v>
      </c>
      <c r="B380" s="65">
        <v>159194</v>
      </c>
      <c r="C380" s="65">
        <v>1030</v>
      </c>
      <c r="D380" s="65">
        <v>45</v>
      </c>
    </row>
    <row r="381" spans="1:4">
      <c r="A381" s="66" t="s">
        <v>1281</v>
      </c>
      <c r="B381" s="65">
        <v>160318</v>
      </c>
      <c r="C381" s="65">
        <v>26496</v>
      </c>
      <c r="D381" s="65">
        <v>45</v>
      </c>
    </row>
    <row r="382" spans="1:4">
      <c r="A382" s="66" t="s">
        <v>931</v>
      </c>
      <c r="B382" s="65">
        <v>65283</v>
      </c>
      <c r="C382" s="65">
        <v>400</v>
      </c>
      <c r="D382" s="65">
        <v>45</v>
      </c>
    </row>
    <row r="383" spans="1:4">
      <c r="A383" s="66" t="s">
        <v>1112</v>
      </c>
      <c r="B383" s="65">
        <v>112550</v>
      </c>
      <c r="C383" s="65">
        <v>3248</v>
      </c>
      <c r="D383" s="65">
        <v>45</v>
      </c>
    </row>
    <row r="384" spans="1:4">
      <c r="A384" s="66" t="s">
        <v>1248</v>
      </c>
      <c r="B384" s="65">
        <v>93977</v>
      </c>
      <c r="C384" s="65">
        <v>395</v>
      </c>
      <c r="D384" s="65">
        <v>45</v>
      </c>
    </row>
    <row r="385" spans="1:4">
      <c r="A385" s="66" t="s">
        <v>897</v>
      </c>
      <c r="B385" s="65">
        <v>35247</v>
      </c>
      <c r="C385" s="65">
        <v>351</v>
      </c>
      <c r="D385" s="65">
        <v>45</v>
      </c>
    </row>
    <row r="386" spans="1:4">
      <c r="A386" s="66" t="s">
        <v>1437</v>
      </c>
      <c r="B386" s="65">
        <v>82391</v>
      </c>
      <c r="C386" s="65">
        <v>596</v>
      </c>
      <c r="D386" s="65">
        <v>45</v>
      </c>
    </row>
    <row r="387" spans="1:4">
      <c r="A387" s="66" t="s">
        <v>1332</v>
      </c>
      <c r="B387" s="65">
        <v>1171</v>
      </c>
      <c r="C387" s="65">
        <v>486</v>
      </c>
      <c r="D387" s="65">
        <v>45</v>
      </c>
    </row>
    <row r="388" spans="1:4">
      <c r="A388" s="66" t="s">
        <v>2361</v>
      </c>
      <c r="B388" s="65">
        <v>1964</v>
      </c>
      <c r="C388" s="65">
        <v>2614</v>
      </c>
      <c r="D388" s="65">
        <v>45</v>
      </c>
    </row>
    <row r="389" spans="1:4">
      <c r="A389" s="66" t="s">
        <v>1085</v>
      </c>
      <c r="B389" s="65">
        <v>30695</v>
      </c>
      <c r="C389" s="65">
        <v>400</v>
      </c>
      <c r="D389" s="65">
        <v>44</v>
      </c>
    </row>
    <row r="390" spans="1:4">
      <c r="A390" s="66" t="s">
        <v>1182</v>
      </c>
      <c r="B390" s="65">
        <v>142654</v>
      </c>
      <c r="C390" s="65">
        <v>1573</v>
      </c>
      <c r="D390" s="65">
        <v>44</v>
      </c>
    </row>
    <row r="391" spans="1:4">
      <c r="A391" s="66" t="s">
        <v>786</v>
      </c>
      <c r="B391" s="65">
        <v>35270</v>
      </c>
      <c r="C391" s="65">
        <v>239</v>
      </c>
      <c r="D391" s="65">
        <v>44</v>
      </c>
    </row>
    <row r="392" spans="1:4">
      <c r="A392" s="66" t="s">
        <v>2187</v>
      </c>
      <c r="B392" s="65">
        <v>22502</v>
      </c>
      <c r="C392" s="65">
        <v>2100</v>
      </c>
      <c r="D392" s="65">
        <v>44</v>
      </c>
    </row>
    <row r="393" spans="1:4">
      <c r="A393" s="66" t="s">
        <v>286</v>
      </c>
      <c r="B393" s="65">
        <v>136456</v>
      </c>
      <c r="C393" s="65">
        <v>822</v>
      </c>
      <c r="D393" s="65">
        <v>43</v>
      </c>
    </row>
    <row r="394" spans="1:4">
      <c r="A394" s="66" t="s">
        <v>812</v>
      </c>
      <c r="B394" s="65">
        <v>124669</v>
      </c>
      <c r="C394" s="65">
        <v>1108</v>
      </c>
      <c r="D394" s="65">
        <v>43</v>
      </c>
    </row>
    <row r="395" spans="1:4">
      <c r="A395" s="66" t="s">
        <v>788</v>
      </c>
      <c r="B395" s="65">
        <v>177435</v>
      </c>
      <c r="C395" s="65">
        <v>368</v>
      </c>
      <c r="D395" s="65">
        <v>43</v>
      </c>
    </row>
    <row r="396" spans="1:4">
      <c r="A396" s="66" t="s">
        <v>2135</v>
      </c>
      <c r="B396" s="65">
        <v>2018</v>
      </c>
      <c r="C396" s="65">
        <v>1082</v>
      </c>
      <c r="D396" s="65">
        <v>43</v>
      </c>
    </row>
    <row r="397" spans="1:4">
      <c r="A397" s="66" t="s">
        <v>2545</v>
      </c>
      <c r="B397" s="65">
        <v>127470</v>
      </c>
      <c r="C397" s="65">
        <v>514</v>
      </c>
      <c r="D397" s="65">
        <v>43</v>
      </c>
    </row>
    <row r="398" spans="1:4">
      <c r="A398" s="66" t="s">
        <v>453</v>
      </c>
      <c r="B398" s="65">
        <v>172563</v>
      </c>
      <c r="C398" s="65">
        <v>1291</v>
      </c>
      <c r="D398" s="65">
        <v>42</v>
      </c>
    </row>
    <row r="399" spans="1:4">
      <c r="A399" s="66" t="s">
        <v>170</v>
      </c>
      <c r="B399" s="65">
        <v>142658</v>
      </c>
      <c r="C399" s="65">
        <v>2360</v>
      </c>
      <c r="D399" s="65">
        <v>42</v>
      </c>
    </row>
    <row r="400" spans="1:4">
      <c r="A400" s="66" t="s">
        <v>268</v>
      </c>
      <c r="B400" s="65">
        <v>114048</v>
      </c>
      <c r="C400" s="65">
        <v>1625</v>
      </c>
      <c r="D400" s="65">
        <v>42</v>
      </c>
    </row>
    <row r="401" spans="1:4">
      <c r="A401" s="66" t="s">
        <v>258</v>
      </c>
      <c r="B401" s="65">
        <v>3009</v>
      </c>
      <c r="C401" s="65">
        <v>159</v>
      </c>
      <c r="D401" s="65">
        <v>42</v>
      </c>
    </row>
    <row r="402" spans="1:4">
      <c r="A402" s="66" t="s">
        <v>942</v>
      </c>
      <c r="B402" s="65">
        <v>699</v>
      </c>
      <c r="C402" s="65">
        <v>642</v>
      </c>
      <c r="D402" s="65">
        <v>42</v>
      </c>
    </row>
    <row r="403" spans="1:4">
      <c r="A403" s="66" t="s">
        <v>1022</v>
      </c>
      <c r="B403" s="65">
        <v>12962</v>
      </c>
      <c r="C403" s="65">
        <v>2151</v>
      </c>
      <c r="D403" s="65">
        <v>42</v>
      </c>
    </row>
    <row r="404" spans="1:4">
      <c r="A404" s="66" t="s">
        <v>886</v>
      </c>
      <c r="B404" s="65">
        <v>157091</v>
      </c>
      <c r="C404" s="65">
        <v>918</v>
      </c>
      <c r="D404" s="65">
        <v>42</v>
      </c>
    </row>
    <row r="405" spans="1:4">
      <c r="A405" s="66" t="s">
        <v>901</v>
      </c>
      <c r="B405" s="65">
        <v>79910</v>
      </c>
      <c r="C405" s="65">
        <v>590</v>
      </c>
      <c r="D405" s="65">
        <v>42</v>
      </c>
    </row>
    <row r="406" spans="1:4">
      <c r="A406" s="66" t="s">
        <v>1586</v>
      </c>
      <c r="B406" s="65">
        <v>58563</v>
      </c>
      <c r="C406" s="65">
        <v>130832</v>
      </c>
      <c r="D406" s="65">
        <v>42</v>
      </c>
    </row>
    <row r="407" spans="1:4">
      <c r="A407" s="66" t="s">
        <v>2050</v>
      </c>
      <c r="B407" s="65">
        <v>157041</v>
      </c>
      <c r="C407" s="65">
        <v>3225</v>
      </c>
      <c r="D407" s="65">
        <v>42</v>
      </c>
    </row>
    <row r="408" spans="1:4">
      <c r="A408" s="66" t="s">
        <v>2241</v>
      </c>
      <c r="B408" s="65">
        <v>132595</v>
      </c>
      <c r="C408" s="65">
        <v>291</v>
      </c>
      <c r="D408" s="65">
        <v>42</v>
      </c>
    </row>
    <row r="409" spans="1:4">
      <c r="A409" s="66" t="s">
        <v>2098</v>
      </c>
      <c r="B409" s="65">
        <v>117922</v>
      </c>
      <c r="C409" s="65">
        <v>2900</v>
      </c>
      <c r="D409" s="65">
        <v>42</v>
      </c>
    </row>
    <row r="410" spans="1:4">
      <c r="A410" s="66" t="s">
        <v>1285</v>
      </c>
      <c r="B410" s="65">
        <v>118355</v>
      </c>
      <c r="C410" s="65">
        <v>91</v>
      </c>
      <c r="D410" s="65">
        <v>41</v>
      </c>
    </row>
    <row r="411" spans="1:4">
      <c r="A411" s="66" t="s">
        <v>1229</v>
      </c>
      <c r="B411" s="65">
        <v>137009</v>
      </c>
      <c r="C411" s="65">
        <v>348</v>
      </c>
      <c r="D411" s="65">
        <v>41</v>
      </c>
    </row>
    <row r="412" spans="1:4">
      <c r="A412" s="66" t="s">
        <v>1136</v>
      </c>
      <c r="B412" s="65">
        <v>118325</v>
      </c>
      <c r="C412" s="65">
        <v>5464</v>
      </c>
      <c r="D412" s="65">
        <v>41</v>
      </c>
    </row>
    <row r="413" spans="1:4">
      <c r="A413" s="66" t="s">
        <v>799</v>
      </c>
      <c r="B413" s="65">
        <v>156829</v>
      </c>
      <c r="C413" s="65">
        <v>2135</v>
      </c>
      <c r="D413" s="65">
        <v>41</v>
      </c>
    </row>
    <row r="414" spans="1:4">
      <c r="A414" s="66" t="s">
        <v>1329</v>
      </c>
      <c r="B414" s="65">
        <v>112548</v>
      </c>
      <c r="C414" s="65">
        <v>315</v>
      </c>
      <c r="D414" s="65">
        <v>41</v>
      </c>
    </row>
    <row r="415" spans="1:4">
      <c r="A415" s="66" t="s">
        <v>2251</v>
      </c>
      <c r="B415" s="65">
        <v>96288</v>
      </c>
      <c r="C415" s="65">
        <v>1120</v>
      </c>
      <c r="D415" s="65">
        <v>41</v>
      </c>
    </row>
    <row r="416" spans="1:4">
      <c r="A416" s="66" t="s">
        <v>2322</v>
      </c>
      <c r="B416" s="65">
        <v>15450</v>
      </c>
      <c r="C416" s="65">
        <v>430</v>
      </c>
      <c r="D416" s="65">
        <v>41</v>
      </c>
    </row>
    <row r="417" spans="1:4">
      <c r="A417" s="66" t="s">
        <v>222</v>
      </c>
      <c r="B417" s="65">
        <v>116845</v>
      </c>
      <c r="C417" s="65">
        <v>2550</v>
      </c>
      <c r="D417" s="65">
        <v>40</v>
      </c>
    </row>
    <row r="418" spans="1:4">
      <c r="A418" s="66" t="s">
        <v>1056</v>
      </c>
      <c r="B418" s="65">
        <v>111866</v>
      </c>
      <c r="C418" s="65">
        <v>130</v>
      </c>
      <c r="D418" s="65">
        <v>40</v>
      </c>
    </row>
    <row r="419" spans="1:4">
      <c r="A419" s="66" t="s">
        <v>1882</v>
      </c>
      <c r="B419" s="65">
        <v>114262</v>
      </c>
      <c r="C419" s="65">
        <v>172</v>
      </c>
      <c r="D419" s="65">
        <v>40</v>
      </c>
    </row>
    <row r="420" spans="1:4">
      <c r="A420" s="66" t="s">
        <v>2019</v>
      </c>
      <c r="B420" s="65">
        <v>17422</v>
      </c>
      <c r="C420" s="65">
        <v>612</v>
      </c>
      <c r="D420" s="65">
        <v>40</v>
      </c>
    </row>
    <row r="421" spans="1:4">
      <c r="A421" s="66" t="s">
        <v>2196</v>
      </c>
      <c r="B421" s="65">
        <v>120015</v>
      </c>
      <c r="C421" s="65">
        <v>1649</v>
      </c>
      <c r="D421" s="65">
        <v>40</v>
      </c>
    </row>
    <row r="422" spans="1:4">
      <c r="A422" s="66" t="s">
        <v>486</v>
      </c>
      <c r="B422" s="65">
        <v>177437</v>
      </c>
      <c r="C422" s="65">
        <v>392</v>
      </c>
      <c r="D422" s="65">
        <v>39</v>
      </c>
    </row>
    <row r="423" spans="1:4">
      <c r="A423" s="66" t="s">
        <v>718</v>
      </c>
      <c r="B423" s="65">
        <v>132701</v>
      </c>
      <c r="C423" s="65">
        <v>250</v>
      </c>
      <c r="D423" s="65">
        <v>39</v>
      </c>
    </row>
    <row r="424" spans="1:4">
      <c r="A424" s="66" t="s">
        <v>670</v>
      </c>
      <c r="B424" s="65">
        <v>126009</v>
      </c>
      <c r="C424" s="65">
        <v>601</v>
      </c>
      <c r="D424" s="65">
        <v>39</v>
      </c>
    </row>
    <row r="425" spans="1:4">
      <c r="A425" s="66" t="s">
        <v>796</v>
      </c>
      <c r="B425" s="65">
        <v>60081</v>
      </c>
      <c r="C425" s="65">
        <v>94</v>
      </c>
      <c r="D425" s="65">
        <v>39</v>
      </c>
    </row>
    <row r="426" spans="1:4">
      <c r="A426" s="66" t="s">
        <v>1770</v>
      </c>
      <c r="B426" s="65">
        <v>113302</v>
      </c>
      <c r="C426" s="65">
        <v>40800</v>
      </c>
      <c r="D426" s="65">
        <v>39</v>
      </c>
    </row>
    <row r="427" spans="1:4">
      <c r="A427" s="66" t="s">
        <v>2234</v>
      </c>
      <c r="B427" s="65">
        <v>47420</v>
      </c>
      <c r="C427" s="65">
        <v>749</v>
      </c>
      <c r="D427" s="65">
        <v>39</v>
      </c>
    </row>
    <row r="428" spans="1:4">
      <c r="A428" s="66" t="s">
        <v>2015</v>
      </c>
      <c r="B428" s="65">
        <v>67577</v>
      </c>
      <c r="C428" s="65">
        <v>720</v>
      </c>
      <c r="D428" s="65">
        <v>39</v>
      </c>
    </row>
    <row r="429" spans="1:4">
      <c r="A429" s="66" t="s">
        <v>1291</v>
      </c>
      <c r="B429" s="65">
        <v>157005</v>
      </c>
      <c r="C429" s="65">
        <v>872</v>
      </c>
      <c r="D429" s="65">
        <v>38</v>
      </c>
    </row>
    <row r="430" spans="1:4">
      <c r="A430" s="66" t="s">
        <v>765</v>
      </c>
      <c r="B430" s="65">
        <v>97220</v>
      </c>
      <c r="C430" s="65">
        <v>696</v>
      </c>
      <c r="D430" s="65">
        <v>38</v>
      </c>
    </row>
    <row r="431" spans="1:4">
      <c r="A431" s="66" t="s">
        <v>776</v>
      </c>
      <c r="B431" s="65">
        <v>157660</v>
      </c>
      <c r="C431" s="65">
        <v>1950</v>
      </c>
      <c r="D431" s="65">
        <v>38</v>
      </c>
    </row>
    <row r="432" spans="1:4">
      <c r="A432" s="66" t="s">
        <v>1346</v>
      </c>
      <c r="B432" s="65">
        <v>1066</v>
      </c>
      <c r="C432" s="65">
        <v>469</v>
      </c>
      <c r="D432" s="65">
        <v>38</v>
      </c>
    </row>
    <row r="433" spans="1:4">
      <c r="A433" s="66" t="s">
        <v>2615</v>
      </c>
      <c r="B433" s="65">
        <v>9629</v>
      </c>
      <c r="C433" s="65">
        <v>177</v>
      </c>
      <c r="D433" s="65">
        <v>38</v>
      </c>
    </row>
    <row r="434" spans="1:4">
      <c r="A434" s="66" t="s">
        <v>2279</v>
      </c>
      <c r="B434" s="65">
        <v>176169</v>
      </c>
      <c r="C434" s="65">
        <v>16250</v>
      </c>
      <c r="D434" s="65">
        <v>38</v>
      </c>
    </row>
    <row r="435" spans="1:4">
      <c r="A435" s="66" t="s">
        <v>2313</v>
      </c>
      <c r="B435" s="65">
        <v>110675</v>
      </c>
      <c r="C435" s="65">
        <v>667</v>
      </c>
      <c r="D435" s="65">
        <v>38</v>
      </c>
    </row>
    <row r="436" spans="1:4">
      <c r="A436" s="66" t="s">
        <v>2547</v>
      </c>
      <c r="B436" s="65">
        <v>107057</v>
      </c>
      <c r="C436" s="65">
        <v>1429</v>
      </c>
      <c r="D436" s="65">
        <v>38</v>
      </c>
    </row>
    <row r="437" spans="1:4">
      <c r="A437" s="66" t="s">
        <v>454</v>
      </c>
      <c r="B437" s="65">
        <v>120005</v>
      </c>
      <c r="C437" s="65">
        <v>3330</v>
      </c>
      <c r="D437" s="65">
        <v>37</v>
      </c>
    </row>
    <row r="438" spans="1:4">
      <c r="A438" s="66" t="s">
        <v>990</v>
      </c>
      <c r="B438" s="65">
        <v>1471</v>
      </c>
      <c r="C438" s="65">
        <v>1532</v>
      </c>
      <c r="D438" s="65">
        <v>37</v>
      </c>
    </row>
    <row r="439" spans="1:4">
      <c r="A439" s="66" t="s">
        <v>996</v>
      </c>
      <c r="B439" s="65">
        <v>124671</v>
      </c>
      <c r="C439" s="65">
        <v>1615</v>
      </c>
      <c r="D439" s="65">
        <v>37</v>
      </c>
    </row>
    <row r="440" spans="1:4">
      <c r="A440" s="66" t="s">
        <v>2588</v>
      </c>
      <c r="B440" s="65">
        <v>113995</v>
      </c>
      <c r="C440" s="65">
        <v>3382</v>
      </c>
      <c r="D440" s="65">
        <v>37</v>
      </c>
    </row>
    <row r="441" spans="1:4">
      <c r="A441" s="66" t="s">
        <v>2180</v>
      </c>
      <c r="B441" s="65">
        <v>177024</v>
      </c>
      <c r="C441" s="65">
        <v>125</v>
      </c>
      <c r="D441" s="65">
        <v>37</v>
      </c>
    </row>
    <row r="442" spans="1:4">
      <c r="A442" s="66" t="s">
        <v>2189</v>
      </c>
      <c r="B442" s="65">
        <v>15934</v>
      </c>
      <c r="C442" s="65">
        <v>202</v>
      </c>
      <c r="D442" s="65">
        <v>37</v>
      </c>
    </row>
    <row r="443" spans="1:4">
      <c r="A443" s="66" t="s">
        <v>1984</v>
      </c>
      <c r="B443" s="65">
        <v>124932</v>
      </c>
      <c r="C443" s="65">
        <v>2252</v>
      </c>
      <c r="D443" s="65">
        <v>37</v>
      </c>
    </row>
    <row r="444" spans="1:4">
      <c r="A444" s="66" t="s">
        <v>2204</v>
      </c>
      <c r="B444" s="65">
        <v>49200</v>
      </c>
      <c r="C444" s="65">
        <v>632</v>
      </c>
      <c r="D444" s="65">
        <v>37</v>
      </c>
    </row>
    <row r="445" spans="1:4">
      <c r="A445" s="66" t="s">
        <v>1992</v>
      </c>
      <c r="B445" s="65">
        <v>58569</v>
      </c>
      <c r="C445" s="65">
        <v>1345</v>
      </c>
      <c r="D445" s="65">
        <v>37</v>
      </c>
    </row>
    <row r="446" spans="1:4">
      <c r="A446" s="66" t="s">
        <v>572</v>
      </c>
      <c r="B446" s="65">
        <v>175876</v>
      </c>
      <c r="C446" s="65">
        <v>728</v>
      </c>
      <c r="D446" s="65">
        <v>36</v>
      </c>
    </row>
    <row r="447" spans="1:4">
      <c r="A447" s="66" t="s">
        <v>910</v>
      </c>
      <c r="B447" s="65">
        <v>20675</v>
      </c>
      <c r="C447" s="65">
        <v>310</v>
      </c>
      <c r="D447" s="65">
        <v>36</v>
      </c>
    </row>
    <row r="448" spans="1:4">
      <c r="A448" s="66" t="s">
        <v>725</v>
      </c>
      <c r="B448" s="65">
        <v>112435</v>
      </c>
      <c r="C448" s="65">
        <v>395</v>
      </c>
      <c r="D448" s="65">
        <v>36</v>
      </c>
    </row>
    <row r="449" spans="1:4">
      <c r="A449" s="66" t="s">
        <v>950</v>
      </c>
      <c r="B449" s="65">
        <v>109852</v>
      </c>
      <c r="C449" s="65">
        <v>6750</v>
      </c>
      <c r="D449" s="65">
        <v>36</v>
      </c>
    </row>
    <row r="450" spans="1:4">
      <c r="A450" s="66" t="s">
        <v>1258</v>
      </c>
      <c r="B450" s="65">
        <v>85468</v>
      </c>
      <c r="C450" s="65">
        <v>3845</v>
      </c>
      <c r="D450" s="65">
        <v>36</v>
      </c>
    </row>
    <row r="451" spans="1:4">
      <c r="A451" s="66" t="s">
        <v>903</v>
      </c>
      <c r="B451" s="65">
        <v>467</v>
      </c>
      <c r="C451" s="65">
        <v>97</v>
      </c>
      <c r="D451" s="65">
        <v>36</v>
      </c>
    </row>
    <row r="452" spans="1:4">
      <c r="A452" s="66" t="s">
        <v>1387</v>
      </c>
      <c r="B452" s="65">
        <v>129779</v>
      </c>
      <c r="C452" s="65">
        <v>6150</v>
      </c>
      <c r="D452" s="65">
        <v>36</v>
      </c>
    </row>
    <row r="453" spans="1:4">
      <c r="A453" s="66" t="s">
        <v>2145</v>
      </c>
      <c r="B453" s="65">
        <v>204</v>
      </c>
      <c r="C453" s="65">
        <v>41</v>
      </c>
      <c r="D453" s="65">
        <v>36</v>
      </c>
    </row>
    <row r="454" spans="1:4">
      <c r="A454" s="66" t="s">
        <v>2149</v>
      </c>
      <c r="B454" s="65">
        <v>62220</v>
      </c>
      <c r="C454" s="65">
        <v>203</v>
      </c>
      <c r="D454" s="65">
        <v>36</v>
      </c>
    </row>
    <row r="455" spans="1:4">
      <c r="A455" s="66" t="s">
        <v>2639</v>
      </c>
      <c r="B455" s="65">
        <v>155723</v>
      </c>
      <c r="C455" s="65">
        <v>18000</v>
      </c>
      <c r="D455" s="65">
        <v>36</v>
      </c>
    </row>
    <row r="456" spans="1:4">
      <c r="A456" s="66" t="s">
        <v>2435</v>
      </c>
      <c r="B456" s="65">
        <v>22398</v>
      </c>
      <c r="C456" s="65">
        <v>7600</v>
      </c>
      <c r="D456" s="65">
        <v>36</v>
      </c>
    </row>
    <row r="457" spans="1:4">
      <c r="A457" s="66" t="s">
        <v>2437</v>
      </c>
      <c r="B457" s="65">
        <v>18504</v>
      </c>
      <c r="C457" s="65">
        <v>53</v>
      </c>
      <c r="D457" s="65">
        <v>36</v>
      </c>
    </row>
    <row r="458" spans="1:4">
      <c r="A458" s="66" t="s">
        <v>292</v>
      </c>
      <c r="B458" s="65">
        <v>160508</v>
      </c>
      <c r="C458" s="65">
        <v>4300</v>
      </c>
      <c r="D458" s="65">
        <v>35</v>
      </c>
    </row>
    <row r="459" spans="1:4">
      <c r="A459" s="66" t="s">
        <v>79</v>
      </c>
      <c r="B459" s="65">
        <v>113994</v>
      </c>
      <c r="C459" s="65">
        <v>6000</v>
      </c>
      <c r="D459" s="65">
        <v>35</v>
      </c>
    </row>
    <row r="460" spans="1:4">
      <c r="A460" s="66" t="s">
        <v>314</v>
      </c>
      <c r="B460" s="65">
        <v>160071</v>
      </c>
      <c r="C460" s="65">
        <v>2031</v>
      </c>
      <c r="D460" s="65">
        <v>35</v>
      </c>
    </row>
    <row r="461" spans="1:4">
      <c r="A461" s="66" t="s">
        <v>556</v>
      </c>
      <c r="B461" s="65">
        <v>116204</v>
      </c>
      <c r="C461" s="65">
        <v>473</v>
      </c>
      <c r="D461" s="65">
        <v>35</v>
      </c>
    </row>
    <row r="462" spans="1:4">
      <c r="A462" s="66" t="s">
        <v>724</v>
      </c>
      <c r="B462" s="65">
        <v>124947</v>
      </c>
      <c r="C462" s="65">
        <v>356</v>
      </c>
      <c r="D462" s="65">
        <v>35</v>
      </c>
    </row>
    <row r="463" spans="1:4">
      <c r="A463" s="66" t="s">
        <v>948</v>
      </c>
      <c r="B463" s="65">
        <v>67670</v>
      </c>
      <c r="C463" s="65">
        <v>111</v>
      </c>
      <c r="D463" s="65">
        <v>35</v>
      </c>
    </row>
    <row r="464" spans="1:4">
      <c r="A464" s="66" t="s">
        <v>1141</v>
      </c>
      <c r="B464" s="65">
        <v>155722</v>
      </c>
      <c r="C464" s="65">
        <v>17500</v>
      </c>
      <c r="D464" s="65">
        <v>35</v>
      </c>
    </row>
    <row r="465" spans="1:4">
      <c r="A465" s="66" t="s">
        <v>1395</v>
      </c>
      <c r="B465" s="65">
        <v>155881</v>
      </c>
      <c r="C465" s="65">
        <v>4070</v>
      </c>
      <c r="D465" s="65">
        <v>35</v>
      </c>
    </row>
    <row r="466" spans="1:4">
      <c r="A466" s="66" t="s">
        <v>1809</v>
      </c>
      <c r="B466" s="65">
        <v>114978</v>
      </c>
      <c r="C466" s="65">
        <v>346</v>
      </c>
      <c r="D466" s="65">
        <v>35</v>
      </c>
    </row>
    <row r="467" spans="1:4">
      <c r="A467" s="66" t="s">
        <v>2223</v>
      </c>
      <c r="B467" s="65">
        <v>110674</v>
      </c>
      <c r="C467" s="65">
        <v>560</v>
      </c>
      <c r="D467" s="65">
        <v>35</v>
      </c>
    </row>
    <row r="468" spans="1:4">
      <c r="A468" s="66" t="s">
        <v>2025</v>
      </c>
      <c r="B468" s="65">
        <v>1915</v>
      </c>
      <c r="C468" s="65">
        <v>5150</v>
      </c>
      <c r="D468" s="65">
        <v>35</v>
      </c>
    </row>
    <row r="469" spans="1:4">
      <c r="A469" s="66" t="s">
        <v>2252</v>
      </c>
      <c r="B469" s="65">
        <v>430</v>
      </c>
      <c r="C469" s="65">
        <v>7406</v>
      </c>
      <c r="D469" s="65">
        <v>35</v>
      </c>
    </row>
    <row r="470" spans="1:4">
      <c r="A470" s="66" t="s">
        <v>2192</v>
      </c>
      <c r="B470" s="65">
        <v>62856</v>
      </c>
      <c r="C470" s="65">
        <v>107</v>
      </c>
      <c r="D470" s="65">
        <v>35</v>
      </c>
    </row>
    <row r="471" spans="1:4">
      <c r="A471" s="66" t="s">
        <v>1988</v>
      </c>
      <c r="B471" s="65">
        <v>107899</v>
      </c>
      <c r="C471" s="65">
        <v>4187</v>
      </c>
      <c r="D471" s="65">
        <v>35</v>
      </c>
    </row>
    <row r="472" spans="1:4">
      <c r="A472" s="66" t="s">
        <v>1989</v>
      </c>
      <c r="B472" s="65">
        <v>472</v>
      </c>
      <c r="C472" s="65">
        <v>157</v>
      </c>
      <c r="D472" s="65">
        <v>35</v>
      </c>
    </row>
    <row r="473" spans="1:4">
      <c r="A473" s="66" t="s">
        <v>291</v>
      </c>
      <c r="B473" s="65">
        <v>116913</v>
      </c>
      <c r="C473" s="65">
        <v>115</v>
      </c>
      <c r="D473" s="65">
        <v>34</v>
      </c>
    </row>
    <row r="474" spans="1:4">
      <c r="A474" s="66" t="s">
        <v>1290</v>
      </c>
      <c r="B474" s="65">
        <v>2683</v>
      </c>
      <c r="C474" s="65">
        <v>271</v>
      </c>
      <c r="D474" s="65">
        <v>34</v>
      </c>
    </row>
    <row r="475" spans="1:4">
      <c r="A475" s="66" t="s">
        <v>1070</v>
      </c>
      <c r="B475" s="65">
        <v>111248</v>
      </c>
      <c r="C475" s="65">
        <v>250</v>
      </c>
      <c r="D475" s="65">
        <v>34</v>
      </c>
    </row>
    <row r="476" spans="1:4">
      <c r="A476" s="66" t="s">
        <v>851</v>
      </c>
      <c r="B476" s="65">
        <v>61046</v>
      </c>
      <c r="C476" s="65">
        <v>88</v>
      </c>
      <c r="D476" s="65">
        <v>34</v>
      </c>
    </row>
    <row r="477" spans="1:4">
      <c r="A477" s="66" t="s">
        <v>838</v>
      </c>
      <c r="B477" s="65">
        <v>517</v>
      </c>
      <c r="C477" s="65">
        <v>7100</v>
      </c>
      <c r="D477" s="65">
        <v>34</v>
      </c>
    </row>
    <row r="478" spans="1:4">
      <c r="A478" s="66" t="s">
        <v>908</v>
      </c>
      <c r="B478" s="65">
        <v>129749</v>
      </c>
      <c r="C478" s="65">
        <v>1240</v>
      </c>
      <c r="D478" s="65">
        <v>34</v>
      </c>
    </row>
    <row r="479" spans="1:4">
      <c r="A479" s="66" t="s">
        <v>1460</v>
      </c>
      <c r="B479" s="65">
        <v>176613</v>
      </c>
      <c r="C479" s="65">
        <v>362</v>
      </c>
      <c r="D479" s="65">
        <v>34</v>
      </c>
    </row>
    <row r="480" spans="1:4">
      <c r="A480" s="66" t="s">
        <v>1449</v>
      </c>
      <c r="B480" s="65">
        <v>26814</v>
      </c>
      <c r="C480" s="65">
        <v>589</v>
      </c>
      <c r="D480" s="65">
        <v>34</v>
      </c>
    </row>
    <row r="481" spans="1:4">
      <c r="A481" s="66" t="s">
        <v>2229</v>
      </c>
      <c r="B481" s="65">
        <v>156830</v>
      </c>
      <c r="C481" s="65">
        <v>60</v>
      </c>
      <c r="D481" s="65">
        <v>34</v>
      </c>
    </row>
    <row r="482" spans="1:4">
      <c r="A482" s="66" t="s">
        <v>2140</v>
      </c>
      <c r="B482" s="65">
        <v>136453</v>
      </c>
      <c r="C482" s="65">
        <v>426</v>
      </c>
      <c r="D482" s="65">
        <v>34</v>
      </c>
    </row>
    <row r="483" spans="1:4">
      <c r="A483" s="66" t="s">
        <v>2316</v>
      </c>
      <c r="B483" s="65">
        <v>32014</v>
      </c>
      <c r="C483" s="65">
        <v>481</v>
      </c>
      <c r="D483" s="65">
        <v>34</v>
      </c>
    </row>
    <row r="484" spans="1:4">
      <c r="A484" s="66" t="s">
        <v>118</v>
      </c>
      <c r="B484" s="65">
        <v>114170</v>
      </c>
      <c r="C484" s="65">
        <v>174</v>
      </c>
      <c r="D484" s="65">
        <v>33</v>
      </c>
    </row>
    <row r="485" spans="1:4">
      <c r="A485" s="66" t="s">
        <v>528</v>
      </c>
      <c r="B485" s="65">
        <v>177647</v>
      </c>
      <c r="C485" s="65">
        <v>480</v>
      </c>
      <c r="D485" s="65">
        <v>33</v>
      </c>
    </row>
    <row r="486" spans="1:4">
      <c r="A486" s="66" t="s">
        <v>1180</v>
      </c>
      <c r="B486" s="65">
        <v>466</v>
      </c>
      <c r="C486" s="65">
        <v>75</v>
      </c>
      <c r="D486" s="65">
        <v>33</v>
      </c>
    </row>
    <row r="487" spans="1:4">
      <c r="A487" s="66" t="s">
        <v>1672</v>
      </c>
      <c r="B487" s="65">
        <v>14204</v>
      </c>
      <c r="C487" s="65">
        <v>1372</v>
      </c>
      <c r="D487" s="65">
        <v>33</v>
      </c>
    </row>
    <row r="488" spans="1:4">
      <c r="A488" s="66" t="s">
        <v>2249</v>
      </c>
      <c r="B488" s="65">
        <v>110025</v>
      </c>
      <c r="C488" s="65">
        <v>1050</v>
      </c>
      <c r="D488" s="65">
        <v>33</v>
      </c>
    </row>
    <row r="489" spans="1:4">
      <c r="A489" s="66" t="s">
        <v>946</v>
      </c>
      <c r="B489" s="65">
        <v>86736</v>
      </c>
      <c r="C489" s="65">
        <v>102</v>
      </c>
      <c r="D489" s="65">
        <v>32</v>
      </c>
    </row>
    <row r="490" spans="1:4">
      <c r="A490" s="66" t="s">
        <v>726</v>
      </c>
      <c r="B490" s="65">
        <v>119829</v>
      </c>
      <c r="C490" s="65">
        <v>1632</v>
      </c>
      <c r="D490" s="65">
        <v>32</v>
      </c>
    </row>
    <row r="491" spans="1:4">
      <c r="A491" s="66" t="s">
        <v>1132</v>
      </c>
      <c r="B491" s="65">
        <v>132593</v>
      </c>
      <c r="C491" s="65">
        <v>228</v>
      </c>
      <c r="D491" s="65">
        <v>32</v>
      </c>
    </row>
    <row r="492" spans="1:4">
      <c r="A492" s="66" t="s">
        <v>669</v>
      </c>
      <c r="B492" s="65">
        <v>110811</v>
      </c>
      <c r="C492" s="65">
        <v>78</v>
      </c>
      <c r="D492" s="65">
        <v>32</v>
      </c>
    </row>
    <row r="493" spans="1:4">
      <c r="A493" s="66" t="s">
        <v>1667</v>
      </c>
      <c r="B493" s="65">
        <v>157427</v>
      </c>
      <c r="C493" s="65">
        <v>1150</v>
      </c>
      <c r="D493" s="65">
        <v>32</v>
      </c>
    </row>
    <row r="494" spans="1:4">
      <c r="A494" s="66" t="s">
        <v>1572</v>
      </c>
      <c r="B494" s="65">
        <v>115499</v>
      </c>
      <c r="C494" s="65">
        <v>283</v>
      </c>
      <c r="D494" s="65">
        <v>32</v>
      </c>
    </row>
    <row r="495" spans="1:4">
      <c r="A495" s="66" t="s">
        <v>2087</v>
      </c>
      <c r="B495" s="65">
        <v>110226</v>
      </c>
      <c r="C495" s="65">
        <v>3500</v>
      </c>
      <c r="D495" s="65">
        <v>32</v>
      </c>
    </row>
    <row r="496" spans="1:4">
      <c r="A496" s="66" t="s">
        <v>371</v>
      </c>
      <c r="B496" s="65">
        <v>134366</v>
      </c>
      <c r="C496" s="65">
        <v>535</v>
      </c>
      <c r="D496" s="65">
        <v>31</v>
      </c>
    </row>
    <row r="497" spans="1:4">
      <c r="A497" s="66" t="s">
        <v>168</v>
      </c>
      <c r="B497" s="65">
        <v>157078</v>
      </c>
      <c r="C497" s="65">
        <v>1000</v>
      </c>
      <c r="D497" s="65">
        <v>31</v>
      </c>
    </row>
    <row r="498" spans="1:4">
      <c r="A498" s="66" t="s">
        <v>1071</v>
      </c>
      <c r="B498" s="65">
        <v>127246</v>
      </c>
      <c r="C498" s="65">
        <v>440</v>
      </c>
      <c r="D498" s="65">
        <v>31</v>
      </c>
    </row>
    <row r="499" spans="1:4">
      <c r="A499" s="66" t="s">
        <v>1144</v>
      </c>
      <c r="B499" s="65">
        <v>97476</v>
      </c>
      <c r="C499" s="65">
        <v>97</v>
      </c>
      <c r="D499" s="65">
        <v>31</v>
      </c>
    </row>
    <row r="500" spans="1:4">
      <c r="A500" s="66" t="s">
        <v>2476</v>
      </c>
      <c r="B500" s="65">
        <v>105102</v>
      </c>
      <c r="C500" s="65">
        <v>356</v>
      </c>
      <c r="D500" s="65">
        <v>31</v>
      </c>
    </row>
    <row r="501" spans="1:4">
      <c r="A501" s="66" t="s">
        <v>2485</v>
      </c>
      <c r="B501" s="65">
        <v>138845</v>
      </c>
      <c r="C501" s="65">
        <v>580</v>
      </c>
      <c r="D501" s="65">
        <v>31</v>
      </c>
    </row>
    <row r="502" spans="1:4">
      <c r="A502" s="66" t="s">
        <v>2172</v>
      </c>
      <c r="B502" s="65">
        <v>3710</v>
      </c>
      <c r="C502" s="65">
        <v>260</v>
      </c>
      <c r="D502" s="65">
        <v>31</v>
      </c>
    </row>
    <row r="503" spans="1:4">
      <c r="A503" s="66" t="s">
        <v>2021</v>
      </c>
      <c r="B503" s="65">
        <v>132709</v>
      </c>
      <c r="C503" s="65">
        <v>258</v>
      </c>
      <c r="D503" s="65">
        <v>31</v>
      </c>
    </row>
    <row r="504" spans="1:4">
      <c r="A504" s="66" t="s">
        <v>2432</v>
      </c>
      <c r="B504" s="65">
        <v>131626</v>
      </c>
      <c r="C504" s="65">
        <v>96</v>
      </c>
      <c r="D504" s="65">
        <v>31</v>
      </c>
    </row>
    <row r="505" spans="1:4">
      <c r="A505" s="66" t="s">
        <v>2190</v>
      </c>
      <c r="B505" s="65">
        <v>156759</v>
      </c>
      <c r="C505" s="65">
        <v>168</v>
      </c>
      <c r="D505" s="65">
        <v>31</v>
      </c>
    </row>
    <row r="506" spans="1:4">
      <c r="A506" s="66" t="s">
        <v>2095</v>
      </c>
      <c r="B506" s="65">
        <v>101441</v>
      </c>
      <c r="C506" s="65">
        <v>708</v>
      </c>
      <c r="D506" s="65">
        <v>31</v>
      </c>
    </row>
    <row r="507" spans="1:4">
      <c r="A507" s="66" t="s">
        <v>465</v>
      </c>
      <c r="B507" s="65">
        <v>137029</v>
      </c>
      <c r="C507" s="65">
        <v>68</v>
      </c>
      <c r="D507" s="65">
        <v>30</v>
      </c>
    </row>
    <row r="508" spans="1:4">
      <c r="A508" s="66" t="s">
        <v>1050</v>
      </c>
      <c r="B508" s="65">
        <v>178054</v>
      </c>
      <c r="C508" s="65">
        <v>385</v>
      </c>
      <c r="D508" s="65">
        <v>30</v>
      </c>
    </row>
    <row r="509" spans="1:4">
      <c r="A509" s="66" t="s">
        <v>1181</v>
      </c>
      <c r="B509" s="65">
        <v>35395</v>
      </c>
      <c r="C509" s="65">
        <v>652</v>
      </c>
      <c r="D509" s="65">
        <v>30</v>
      </c>
    </row>
    <row r="510" spans="1:4">
      <c r="A510" s="66" t="s">
        <v>1106</v>
      </c>
      <c r="B510" s="65">
        <v>144225</v>
      </c>
      <c r="C510" s="65">
        <v>440</v>
      </c>
      <c r="D510" s="65">
        <v>30</v>
      </c>
    </row>
    <row r="511" spans="1:4">
      <c r="A511" s="66" t="s">
        <v>1245</v>
      </c>
      <c r="B511" s="65">
        <v>138954</v>
      </c>
      <c r="C511" s="65">
        <v>150</v>
      </c>
      <c r="D511" s="65">
        <v>30</v>
      </c>
    </row>
    <row r="512" spans="1:4">
      <c r="A512" s="66" t="s">
        <v>878</v>
      </c>
      <c r="B512" s="65">
        <v>108957</v>
      </c>
      <c r="C512" s="65">
        <v>183</v>
      </c>
      <c r="D512" s="65">
        <v>30</v>
      </c>
    </row>
    <row r="513" spans="1:4">
      <c r="A513" s="66" t="s">
        <v>2368</v>
      </c>
      <c r="B513" s="65">
        <v>20110</v>
      </c>
      <c r="C513" s="65">
        <v>87</v>
      </c>
      <c r="D513" s="65">
        <v>30</v>
      </c>
    </row>
    <row r="514" spans="1:4">
      <c r="A514" s="66" t="s">
        <v>202</v>
      </c>
      <c r="B514" s="65">
        <v>107130</v>
      </c>
      <c r="C514" s="65">
        <v>1538</v>
      </c>
      <c r="D514" s="65">
        <v>29</v>
      </c>
    </row>
    <row r="515" spans="1:4">
      <c r="A515" s="66" t="s">
        <v>183</v>
      </c>
      <c r="B515" s="65">
        <v>2646</v>
      </c>
      <c r="C515" s="65">
        <v>143</v>
      </c>
      <c r="D515" s="65">
        <v>29</v>
      </c>
    </row>
    <row r="516" spans="1:4">
      <c r="A516" s="66" t="s">
        <v>1122</v>
      </c>
      <c r="B516" s="65">
        <v>156650</v>
      </c>
      <c r="C516" s="65">
        <v>680</v>
      </c>
      <c r="D516" s="65">
        <v>29</v>
      </c>
    </row>
    <row r="517" spans="1:4">
      <c r="A517" s="66" t="s">
        <v>1015</v>
      </c>
      <c r="B517" s="65">
        <v>107092</v>
      </c>
      <c r="C517" s="65">
        <v>1450</v>
      </c>
      <c r="D517" s="65">
        <v>29</v>
      </c>
    </row>
    <row r="518" spans="1:4">
      <c r="A518" s="66" t="s">
        <v>1436</v>
      </c>
      <c r="B518" s="65">
        <v>89153</v>
      </c>
      <c r="C518" s="65">
        <v>568</v>
      </c>
      <c r="D518" s="65">
        <v>29</v>
      </c>
    </row>
    <row r="519" spans="1:4">
      <c r="A519" s="66" t="s">
        <v>1650</v>
      </c>
      <c r="B519" s="65">
        <v>63853</v>
      </c>
      <c r="C519" s="65">
        <v>268</v>
      </c>
      <c r="D519" s="65">
        <v>29</v>
      </c>
    </row>
    <row r="520" spans="1:4">
      <c r="A520" s="66" t="s">
        <v>2480</v>
      </c>
      <c r="B520" s="65">
        <v>20309</v>
      </c>
      <c r="C520" s="65">
        <v>4800</v>
      </c>
      <c r="D520" s="65">
        <v>29</v>
      </c>
    </row>
    <row r="521" spans="1:4">
      <c r="A521" s="66" t="s">
        <v>2483</v>
      </c>
      <c r="B521" s="65">
        <v>20823</v>
      </c>
      <c r="C521" s="65">
        <v>351</v>
      </c>
      <c r="D521" s="65">
        <v>29</v>
      </c>
    </row>
    <row r="522" spans="1:4">
      <c r="A522" s="66" t="s">
        <v>2030</v>
      </c>
      <c r="B522" s="65">
        <v>1435</v>
      </c>
      <c r="C522" s="65">
        <v>103</v>
      </c>
      <c r="D522" s="65">
        <v>29</v>
      </c>
    </row>
    <row r="523" spans="1:4">
      <c r="A523" s="66" t="s">
        <v>2301</v>
      </c>
      <c r="B523" s="65">
        <v>9555</v>
      </c>
      <c r="C523" s="65">
        <v>134</v>
      </c>
      <c r="D523" s="65">
        <v>29</v>
      </c>
    </row>
    <row r="524" spans="1:4">
      <c r="A524" s="66" t="s">
        <v>1958</v>
      </c>
      <c r="B524" s="65">
        <v>173387</v>
      </c>
      <c r="C524" s="65">
        <v>470</v>
      </c>
      <c r="D524" s="65">
        <v>29</v>
      </c>
    </row>
    <row r="525" spans="1:4">
      <c r="A525" s="66" t="s">
        <v>368</v>
      </c>
      <c r="B525" s="65">
        <v>87481</v>
      </c>
      <c r="C525" s="65">
        <v>245</v>
      </c>
      <c r="D525" s="65">
        <v>28</v>
      </c>
    </row>
    <row r="526" spans="1:4">
      <c r="A526" s="66" t="s">
        <v>308</v>
      </c>
      <c r="B526" s="65">
        <v>120173</v>
      </c>
      <c r="C526" s="65">
        <v>123</v>
      </c>
      <c r="D526" s="65">
        <v>28</v>
      </c>
    </row>
    <row r="527" spans="1:4">
      <c r="A527" s="66" t="s">
        <v>267</v>
      </c>
      <c r="B527" s="65">
        <v>86760</v>
      </c>
      <c r="C527" s="65">
        <v>1142</v>
      </c>
      <c r="D527" s="65">
        <v>28</v>
      </c>
    </row>
    <row r="528" spans="1:4">
      <c r="A528" s="66" t="s">
        <v>162</v>
      </c>
      <c r="B528" s="65">
        <v>59643</v>
      </c>
      <c r="C528" s="65">
        <v>100</v>
      </c>
      <c r="D528" s="65">
        <v>28</v>
      </c>
    </row>
    <row r="529" spans="1:4">
      <c r="A529" s="66" t="s">
        <v>255</v>
      </c>
      <c r="B529" s="65">
        <v>111857</v>
      </c>
      <c r="C529" s="65">
        <v>286</v>
      </c>
      <c r="D529" s="65">
        <v>28</v>
      </c>
    </row>
    <row r="530" spans="1:4">
      <c r="A530" s="66" t="s">
        <v>1055</v>
      </c>
      <c r="B530" s="65">
        <v>175924</v>
      </c>
      <c r="C530" s="65">
        <v>780</v>
      </c>
      <c r="D530" s="65">
        <v>28</v>
      </c>
    </row>
    <row r="531" spans="1:4">
      <c r="A531" s="66" t="s">
        <v>1293</v>
      </c>
      <c r="B531" s="65">
        <v>101443</v>
      </c>
      <c r="C531" s="65">
        <v>696</v>
      </c>
      <c r="D531" s="65">
        <v>28</v>
      </c>
    </row>
    <row r="532" spans="1:4">
      <c r="A532" s="66" t="s">
        <v>882</v>
      </c>
      <c r="B532" s="65">
        <v>101109</v>
      </c>
      <c r="C532" s="65">
        <v>85</v>
      </c>
      <c r="D532" s="65">
        <v>28</v>
      </c>
    </row>
    <row r="533" spans="1:4">
      <c r="A533" s="66" t="s">
        <v>675</v>
      </c>
      <c r="B533" s="65">
        <v>110679</v>
      </c>
      <c r="C533" s="65">
        <v>375</v>
      </c>
      <c r="D533" s="65">
        <v>28</v>
      </c>
    </row>
    <row r="534" spans="1:4">
      <c r="A534" s="66" t="s">
        <v>1379</v>
      </c>
      <c r="B534" s="65">
        <v>155724</v>
      </c>
      <c r="C534" s="65">
        <v>14000</v>
      </c>
      <c r="D534" s="65">
        <v>28</v>
      </c>
    </row>
    <row r="535" spans="1:4">
      <c r="A535" s="66" t="s">
        <v>2171</v>
      </c>
      <c r="B535" s="65">
        <v>157512</v>
      </c>
      <c r="C535" s="65">
        <v>708</v>
      </c>
      <c r="D535" s="65">
        <v>28</v>
      </c>
    </row>
    <row r="536" spans="1:4">
      <c r="A536" s="66" t="s">
        <v>2554</v>
      </c>
      <c r="B536" s="65">
        <v>101324</v>
      </c>
      <c r="C536" s="65">
        <v>327</v>
      </c>
      <c r="D536" s="65">
        <v>28</v>
      </c>
    </row>
    <row r="537" spans="1:4">
      <c r="A537" s="66" t="s">
        <v>2193</v>
      </c>
      <c r="B537" s="65">
        <v>79</v>
      </c>
      <c r="C537" s="65">
        <v>473</v>
      </c>
      <c r="D537" s="65">
        <v>28</v>
      </c>
    </row>
    <row r="538" spans="1:4">
      <c r="A538" s="66" t="s">
        <v>2198</v>
      </c>
      <c r="B538" s="65">
        <v>97130</v>
      </c>
      <c r="C538" s="65">
        <v>132</v>
      </c>
      <c r="D538" s="65">
        <v>28</v>
      </c>
    </row>
    <row r="539" spans="1:4">
      <c r="A539" s="66" t="s">
        <v>101</v>
      </c>
      <c r="B539" s="65">
        <v>114868</v>
      </c>
      <c r="C539" s="65">
        <v>5371</v>
      </c>
      <c r="D539" s="65">
        <v>27</v>
      </c>
    </row>
    <row r="540" spans="1:4">
      <c r="A540" s="66" t="s">
        <v>260</v>
      </c>
      <c r="B540" s="65">
        <v>102965</v>
      </c>
      <c r="C540" s="65">
        <v>100</v>
      </c>
      <c r="D540" s="65">
        <v>27</v>
      </c>
    </row>
    <row r="541" spans="1:4">
      <c r="A541" s="66" t="s">
        <v>420</v>
      </c>
      <c r="B541" s="65">
        <v>137870</v>
      </c>
      <c r="C541" s="65">
        <v>115</v>
      </c>
      <c r="D541" s="65">
        <v>27</v>
      </c>
    </row>
    <row r="542" spans="1:4">
      <c r="A542" s="66" t="s">
        <v>1170</v>
      </c>
      <c r="B542" s="65">
        <v>177699</v>
      </c>
      <c r="C542" s="65">
        <v>600</v>
      </c>
      <c r="D542" s="65">
        <v>27</v>
      </c>
    </row>
    <row r="543" spans="1:4">
      <c r="A543" s="66" t="s">
        <v>1284</v>
      </c>
      <c r="B543" s="65">
        <v>1911</v>
      </c>
      <c r="C543" s="65">
        <v>335</v>
      </c>
      <c r="D543" s="65">
        <v>27</v>
      </c>
    </row>
    <row r="544" spans="1:4">
      <c r="A544" s="66" t="s">
        <v>1177</v>
      </c>
      <c r="B544" s="65">
        <v>35317</v>
      </c>
      <c r="C544" s="65">
        <v>204</v>
      </c>
      <c r="D544" s="65">
        <v>27</v>
      </c>
    </row>
    <row r="545" spans="1:4">
      <c r="A545" s="66" t="s">
        <v>1246</v>
      </c>
      <c r="B545" s="65">
        <v>127748</v>
      </c>
      <c r="C545" s="65">
        <v>71</v>
      </c>
      <c r="D545" s="65">
        <v>27</v>
      </c>
    </row>
    <row r="546" spans="1:4">
      <c r="A546" s="66" t="s">
        <v>1138</v>
      </c>
      <c r="B546" s="65">
        <v>31746</v>
      </c>
      <c r="C546" s="65">
        <v>33</v>
      </c>
      <c r="D546" s="65">
        <v>27</v>
      </c>
    </row>
    <row r="547" spans="1:4">
      <c r="A547" s="66" t="s">
        <v>792</v>
      </c>
      <c r="B547" s="65">
        <v>48877</v>
      </c>
      <c r="C547" s="65">
        <v>431</v>
      </c>
      <c r="D547" s="65">
        <v>27</v>
      </c>
    </row>
    <row r="548" spans="1:4">
      <c r="A548" s="66" t="s">
        <v>1347</v>
      </c>
      <c r="B548" s="65">
        <v>97123</v>
      </c>
      <c r="C548" s="65">
        <v>312</v>
      </c>
      <c r="D548" s="65">
        <v>27</v>
      </c>
    </row>
    <row r="549" spans="1:4">
      <c r="A549" s="66" t="s">
        <v>1790</v>
      </c>
      <c r="B549" s="65">
        <v>10227</v>
      </c>
      <c r="C549" s="65">
        <v>186</v>
      </c>
      <c r="D549" s="65">
        <v>27</v>
      </c>
    </row>
    <row r="550" spans="1:4">
      <c r="A550" s="66" t="s">
        <v>1663</v>
      </c>
      <c r="B550" s="65">
        <v>116018</v>
      </c>
      <c r="C550" s="65">
        <v>766</v>
      </c>
      <c r="D550" s="65">
        <v>27</v>
      </c>
    </row>
    <row r="551" spans="1:4">
      <c r="A551" s="66" t="s">
        <v>1755</v>
      </c>
      <c r="B551" s="65">
        <v>83902</v>
      </c>
      <c r="C551" s="65">
        <v>2448</v>
      </c>
      <c r="D551" s="65">
        <v>27</v>
      </c>
    </row>
    <row r="552" spans="1:4">
      <c r="A552" s="66" t="s">
        <v>2089</v>
      </c>
      <c r="B552" s="65">
        <v>113471</v>
      </c>
      <c r="C552" s="65">
        <v>170</v>
      </c>
      <c r="D552" s="65">
        <v>27</v>
      </c>
    </row>
    <row r="553" spans="1:4">
      <c r="A553" s="66" t="s">
        <v>132</v>
      </c>
      <c r="B553" s="65">
        <v>233940</v>
      </c>
      <c r="C553" s="65">
        <v>120</v>
      </c>
      <c r="D553" s="65">
        <v>26</v>
      </c>
    </row>
    <row r="554" spans="1:4">
      <c r="A554" s="66" t="s">
        <v>173</v>
      </c>
      <c r="B554" s="65">
        <v>110603</v>
      </c>
      <c r="C554" s="65">
        <v>293</v>
      </c>
      <c r="D554" s="65">
        <v>26</v>
      </c>
    </row>
    <row r="555" spans="1:4">
      <c r="A555" s="66" t="s">
        <v>1086</v>
      </c>
      <c r="B555" s="65">
        <v>126040</v>
      </c>
      <c r="C555" s="65">
        <v>1465</v>
      </c>
      <c r="D555" s="65">
        <v>26</v>
      </c>
    </row>
    <row r="556" spans="1:4">
      <c r="A556" s="66" t="s">
        <v>980</v>
      </c>
      <c r="B556" s="65">
        <v>101440</v>
      </c>
      <c r="C556" s="65">
        <v>348</v>
      </c>
      <c r="D556" s="65">
        <v>26</v>
      </c>
    </row>
    <row r="557" spans="1:4">
      <c r="A557" s="66" t="s">
        <v>1300</v>
      </c>
      <c r="B557" s="65">
        <v>66985</v>
      </c>
      <c r="C557" s="65">
        <v>2496</v>
      </c>
      <c r="D557" s="65">
        <v>26</v>
      </c>
    </row>
    <row r="558" spans="1:4">
      <c r="A558" s="66" t="s">
        <v>833</v>
      </c>
      <c r="B558" s="65">
        <v>113996</v>
      </c>
      <c r="C558" s="65">
        <v>1665</v>
      </c>
      <c r="D558" s="65">
        <v>26</v>
      </c>
    </row>
    <row r="559" spans="1:4">
      <c r="A559" s="66" t="s">
        <v>732</v>
      </c>
      <c r="B559" s="65">
        <v>133698</v>
      </c>
      <c r="C559" s="65">
        <v>65</v>
      </c>
      <c r="D559" s="65">
        <v>26</v>
      </c>
    </row>
    <row r="560" spans="1:4">
      <c r="A560" s="66" t="s">
        <v>668</v>
      </c>
      <c r="B560" s="65">
        <v>1414</v>
      </c>
      <c r="C560" s="65">
        <v>94</v>
      </c>
      <c r="D560" s="65">
        <v>26</v>
      </c>
    </row>
    <row r="561" spans="1:4">
      <c r="A561" s="66" t="s">
        <v>902</v>
      </c>
      <c r="B561" s="65">
        <v>58623</v>
      </c>
      <c r="C561" s="65">
        <v>794</v>
      </c>
      <c r="D561" s="65">
        <v>26</v>
      </c>
    </row>
    <row r="562" spans="1:4">
      <c r="A562" s="66" t="s">
        <v>1904</v>
      </c>
      <c r="B562" s="65">
        <v>8501</v>
      </c>
      <c r="C562" s="65">
        <v>3900</v>
      </c>
      <c r="D562" s="65">
        <v>26</v>
      </c>
    </row>
    <row r="563" spans="1:4">
      <c r="A563" s="66" t="s">
        <v>1501</v>
      </c>
      <c r="B563" s="65">
        <v>125688</v>
      </c>
      <c r="C563" s="65">
        <v>227</v>
      </c>
      <c r="D563" s="65">
        <v>26</v>
      </c>
    </row>
    <row r="564" spans="1:4">
      <c r="A564" s="66" t="s">
        <v>1637</v>
      </c>
      <c r="B564" s="65">
        <v>323</v>
      </c>
      <c r="C564" s="65">
        <v>66</v>
      </c>
      <c r="D564" s="65">
        <v>26</v>
      </c>
    </row>
    <row r="565" spans="1:4">
      <c r="A565" s="66" t="s">
        <v>2063</v>
      </c>
      <c r="B565" s="65">
        <v>16011</v>
      </c>
      <c r="C565" s="65">
        <v>108</v>
      </c>
      <c r="D565" s="65">
        <v>26</v>
      </c>
    </row>
    <row r="566" spans="1:4">
      <c r="A566" s="66" t="s">
        <v>2323</v>
      </c>
      <c r="B566" s="65">
        <v>112656</v>
      </c>
      <c r="C566" s="65">
        <v>246</v>
      </c>
      <c r="D566" s="65">
        <v>26</v>
      </c>
    </row>
    <row r="567" spans="1:4">
      <c r="A567" s="66" t="s">
        <v>2097</v>
      </c>
      <c r="B567" s="65">
        <v>35274</v>
      </c>
      <c r="C567" s="65">
        <v>383</v>
      </c>
      <c r="D567" s="65">
        <v>26</v>
      </c>
    </row>
    <row r="568" spans="1:4">
      <c r="A568" s="66" t="s">
        <v>2211</v>
      </c>
      <c r="B568" s="65">
        <v>47353</v>
      </c>
      <c r="C568" s="65">
        <v>61</v>
      </c>
      <c r="D568" s="65">
        <v>26</v>
      </c>
    </row>
    <row r="569" spans="1:4">
      <c r="A569" s="66" t="s">
        <v>2104</v>
      </c>
      <c r="B569" s="65">
        <v>132594</v>
      </c>
      <c r="C569" s="65">
        <v>225</v>
      </c>
      <c r="D569" s="65">
        <v>26</v>
      </c>
    </row>
    <row r="570" spans="1:4">
      <c r="A570" s="66" t="s">
        <v>241</v>
      </c>
      <c r="B570" s="65">
        <v>79183</v>
      </c>
      <c r="C570" s="65">
        <v>218</v>
      </c>
      <c r="D570" s="65">
        <v>25</v>
      </c>
    </row>
    <row r="571" spans="1:4">
      <c r="A571" s="66" t="s">
        <v>55</v>
      </c>
      <c r="B571" s="65">
        <v>142821</v>
      </c>
      <c r="C571" s="65">
        <v>317</v>
      </c>
      <c r="D571" s="65">
        <v>25</v>
      </c>
    </row>
    <row r="572" spans="1:4">
      <c r="A572" s="66" t="s">
        <v>49</v>
      </c>
      <c r="B572" s="65">
        <v>160377</v>
      </c>
      <c r="C572" s="65">
        <v>2581</v>
      </c>
      <c r="D572" s="65">
        <v>25</v>
      </c>
    </row>
    <row r="573" spans="1:4">
      <c r="A573" s="66" t="s">
        <v>1186</v>
      </c>
      <c r="B573" s="65">
        <v>14773</v>
      </c>
      <c r="C573" s="65">
        <v>385</v>
      </c>
      <c r="D573" s="65">
        <v>25</v>
      </c>
    </row>
    <row r="574" spans="1:4">
      <c r="A574" s="66" t="s">
        <v>965</v>
      </c>
      <c r="B574" s="65">
        <v>82664</v>
      </c>
      <c r="C574" s="65">
        <v>5010</v>
      </c>
      <c r="D574" s="65">
        <v>25</v>
      </c>
    </row>
    <row r="575" spans="1:4">
      <c r="A575" s="66" t="s">
        <v>846</v>
      </c>
      <c r="B575" s="65">
        <v>127244</v>
      </c>
      <c r="C575" s="65">
        <v>440</v>
      </c>
      <c r="D575" s="65">
        <v>25</v>
      </c>
    </row>
    <row r="576" spans="1:4">
      <c r="A576" s="66" t="s">
        <v>900</v>
      </c>
      <c r="B576" s="65">
        <v>157072</v>
      </c>
      <c r="C576" s="65">
        <v>6050</v>
      </c>
      <c r="D576" s="65">
        <v>25</v>
      </c>
    </row>
    <row r="577" spans="1:4">
      <c r="A577" s="66" t="s">
        <v>1762</v>
      </c>
      <c r="B577" s="65">
        <v>66739</v>
      </c>
      <c r="C577" s="65">
        <v>530</v>
      </c>
      <c r="D577" s="65">
        <v>25</v>
      </c>
    </row>
    <row r="578" spans="1:4">
      <c r="A578" s="66" t="s">
        <v>1477</v>
      </c>
      <c r="B578" s="65">
        <v>132828</v>
      </c>
      <c r="C578" s="65">
        <v>260</v>
      </c>
      <c r="D578" s="65">
        <v>25</v>
      </c>
    </row>
    <row r="579" spans="1:4">
      <c r="A579" s="66" t="s">
        <v>1836</v>
      </c>
      <c r="B579" s="65">
        <v>86221</v>
      </c>
      <c r="C579" s="65">
        <v>13600</v>
      </c>
      <c r="D579" s="65">
        <v>25</v>
      </c>
    </row>
    <row r="580" spans="1:4">
      <c r="A580" s="66" t="s">
        <v>2457</v>
      </c>
      <c r="B580" s="65">
        <v>136008</v>
      </c>
      <c r="C580" s="65">
        <v>4600</v>
      </c>
      <c r="D580" s="65">
        <v>25</v>
      </c>
    </row>
    <row r="581" spans="1:4">
      <c r="A581" s="66" t="s">
        <v>2250</v>
      </c>
      <c r="B581" s="65">
        <v>9723</v>
      </c>
      <c r="C581" s="65">
        <v>1056</v>
      </c>
      <c r="D581" s="65">
        <v>25</v>
      </c>
    </row>
    <row r="582" spans="1:4">
      <c r="A582" s="66" t="s">
        <v>2392</v>
      </c>
      <c r="B582" s="65">
        <v>331</v>
      </c>
      <c r="C582" s="65">
        <v>28</v>
      </c>
      <c r="D582" s="65">
        <v>25</v>
      </c>
    </row>
    <row r="583" spans="1:4">
      <c r="A583" s="66" t="s">
        <v>2542</v>
      </c>
      <c r="B583" s="65">
        <v>110676</v>
      </c>
      <c r="C583" s="65">
        <v>294</v>
      </c>
      <c r="D583" s="65">
        <v>25</v>
      </c>
    </row>
    <row r="584" spans="1:4">
      <c r="A584" s="66" t="s">
        <v>2543</v>
      </c>
      <c r="B584" s="65">
        <v>125445</v>
      </c>
      <c r="C584" s="65">
        <v>26</v>
      </c>
      <c r="D584" s="65">
        <v>25</v>
      </c>
    </row>
    <row r="585" spans="1:4">
      <c r="A585" s="66" t="s">
        <v>464</v>
      </c>
      <c r="B585" s="65">
        <v>132721</v>
      </c>
      <c r="C585" s="65">
        <v>279</v>
      </c>
      <c r="D585" s="65">
        <v>24</v>
      </c>
    </row>
    <row r="586" spans="1:4">
      <c r="A586" s="66" t="s">
        <v>339</v>
      </c>
      <c r="B586" s="65">
        <v>157507</v>
      </c>
      <c r="C586" s="65">
        <v>566</v>
      </c>
      <c r="D586" s="65">
        <v>24</v>
      </c>
    </row>
    <row r="587" spans="1:4">
      <c r="A587" s="66" t="s">
        <v>1214</v>
      </c>
      <c r="B587" s="65">
        <v>13048</v>
      </c>
      <c r="C587" s="65">
        <v>109</v>
      </c>
      <c r="D587" s="65">
        <v>24</v>
      </c>
    </row>
    <row r="588" spans="1:4">
      <c r="A588" s="66" t="s">
        <v>1053</v>
      </c>
      <c r="B588" s="65">
        <v>116915</v>
      </c>
      <c r="C588" s="65">
        <v>59</v>
      </c>
      <c r="D588" s="65">
        <v>24</v>
      </c>
    </row>
    <row r="589" spans="1:4">
      <c r="A589" s="66" t="s">
        <v>982</v>
      </c>
      <c r="B589" s="65">
        <v>325</v>
      </c>
      <c r="C589" s="65">
        <v>51</v>
      </c>
      <c r="D589" s="65">
        <v>24</v>
      </c>
    </row>
    <row r="590" spans="1:4">
      <c r="A590" s="66" t="s">
        <v>1082</v>
      </c>
      <c r="B590" s="65">
        <v>116903</v>
      </c>
      <c r="C590" s="65">
        <v>493</v>
      </c>
      <c r="D590" s="65">
        <v>24</v>
      </c>
    </row>
    <row r="591" spans="1:4">
      <c r="A591" s="66" t="s">
        <v>1256</v>
      </c>
      <c r="B591" s="65">
        <v>138847</v>
      </c>
      <c r="C591" s="65">
        <v>530</v>
      </c>
      <c r="D591" s="65">
        <v>24</v>
      </c>
    </row>
    <row r="592" spans="1:4">
      <c r="A592" s="66" t="s">
        <v>1323</v>
      </c>
      <c r="B592" s="65">
        <v>116850</v>
      </c>
      <c r="C592" s="65">
        <v>75</v>
      </c>
      <c r="D592" s="65">
        <v>24</v>
      </c>
    </row>
    <row r="593" spans="1:4">
      <c r="A593" s="66" t="s">
        <v>1626</v>
      </c>
      <c r="B593" s="65">
        <v>141037</v>
      </c>
      <c r="C593" s="65">
        <v>864</v>
      </c>
      <c r="D593" s="65">
        <v>24</v>
      </c>
    </row>
    <row r="594" spans="1:4">
      <c r="A594" s="66" t="s">
        <v>2591</v>
      </c>
      <c r="B594" s="65">
        <v>258</v>
      </c>
      <c r="C594" s="65">
        <v>321</v>
      </c>
      <c r="D594" s="65">
        <v>24</v>
      </c>
    </row>
    <row r="595" spans="1:4">
      <c r="A595" s="66" t="s">
        <v>2246</v>
      </c>
      <c r="B595" s="65">
        <v>53271</v>
      </c>
      <c r="C595" s="65">
        <v>267</v>
      </c>
      <c r="D595" s="65">
        <v>24</v>
      </c>
    </row>
    <row r="596" spans="1:4">
      <c r="A596" s="66" t="s">
        <v>2028</v>
      </c>
      <c r="B596" s="65">
        <v>21591</v>
      </c>
      <c r="C596" s="65">
        <v>85</v>
      </c>
      <c r="D596" s="65">
        <v>24</v>
      </c>
    </row>
    <row r="597" spans="1:4">
      <c r="A597" s="66" t="s">
        <v>2540</v>
      </c>
      <c r="B597" s="65">
        <v>125446</v>
      </c>
      <c r="C597" s="65">
        <v>24</v>
      </c>
      <c r="D597" s="65">
        <v>24</v>
      </c>
    </row>
    <row r="598" spans="1:4">
      <c r="A598" s="66" t="s">
        <v>23</v>
      </c>
      <c r="B598" s="65">
        <v>174235</v>
      </c>
      <c r="C598" s="65">
        <v>6800</v>
      </c>
      <c r="D598" s="65">
        <v>23</v>
      </c>
    </row>
    <row r="599" spans="1:4">
      <c r="A599" s="66" t="s">
        <v>596</v>
      </c>
      <c r="B599" s="65">
        <v>1498</v>
      </c>
      <c r="C599" s="65">
        <v>67</v>
      </c>
      <c r="D599" s="65">
        <v>23</v>
      </c>
    </row>
    <row r="600" spans="1:4">
      <c r="A600" s="66" t="s">
        <v>479</v>
      </c>
      <c r="B600" s="65">
        <v>9208</v>
      </c>
      <c r="C600" s="65">
        <v>138</v>
      </c>
      <c r="D600" s="65">
        <v>23</v>
      </c>
    </row>
    <row r="601" spans="1:4">
      <c r="A601" s="66" t="s">
        <v>563</v>
      </c>
      <c r="B601" s="65">
        <v>157330</v>
      </c>
      <c r="C601" s="65">
        <v>2020</v>
      </c>
      <c r="D601" s="65">
        <v>23</v>
      </c>
    </row>
    <row r="602" spans="1:4">
      <c r="A602" s="66" t="s">
        <v>298</v>
      </c>
      <c r="B602" s="65">
        <v>233124</v>
      </c>
      <c r="C602" s="65">
        <v>1220</v>
      </c>
      <c r="D602" s="65">
        <v>23</v>
      </c>
    </row>
    <row r="603" spans="1:4">
      <c r="A603" s="66" t="s">
        <v>153</v>
      </c>
      <c r="B603" s="65">
        <v>159072</v>
      </c>
      <c r="C603" s="65">
        <v>2360</v>
      </c>
      <c r="D603" s="65">
        <v>23</v>
      </c>
    </row>
    <row r="604" spans="1:4">
      <c r="A604" s="66" t="s">
        <v>978</v>
      </c>
      <c r="B604" s="65">
        <v>31453</v>
      </c>
      <c r="C604" s="65">
        <v>170</v>
      </c>
      <c r="D604" s="65">
        <v>23</v>
      </c>
    </row>
    <row r="605" spans="1:4">
      <c r="A605" s="66" t="s">
        <v>1057</v>
      </c>
      <c r="B605" s="65">
        <v>60924</v>
      </c>
      <c r="C605" s="65">
        <v>175</v>
      </c>
      <c r="D605" s="65">
        <v>23</v>
      </c>
    </row>
    <row r="606" spans="1:4">
      <c r="A606" s="66" t="s">
        <v>1001</v>
      </c>
      <c r="B606" s="65">
        <v>114054</v>
      </c>
      <c r="C606" s="65">
        <v>4970</v>
      </c>
      <c r="D606" s="65">
        <v>23</v>
      </c>
    </row>
    <row r="607" spans="1:4">
      <c r="A607" s="66" t="s">
        <v>1557</v>
      </c>
      <c r="B607" s="65">
        <v>122475</v>
      </c>
      <c r="C607" s="65">
        <v>126</v>
      </c>
      <c r="D607" s="65">
        <v>23</v>
      </c>
    </row>
    <row r="608" spans="1:4">
      <c r="A608" s="66" t="s">
        <v>1328</v>
      </c>
      <c r="B608" s="65">
        <v>115039</v>
      </c>
      <c r="C608" s="65">
        <v>6250</v>
      </c>
      <c r="D608" s="65">
        <v>23</v>
      </c>
    </row>
    <row r="609" spans="1:4">
      <c r="A609" s="66" t="s">
        <v>1874</v>
      </c>
      <c r="B609" s="65">
        <v>786</v>
      </c>
      <c r="C609" s="65">
        <v>714</v>
      </c>
      <c r="D609" s="65">
        <v>23</v>
      </c>
    </row>
    <row r="610" spans="1:4">
      <c r="A610" s="66" t="s">
        <v>1484</v>
      </c>
      <c r="B610" s="65">
        <v>116633</v>
      </c>
      <c r="C610" s="65">
        <v>4650</v>
      </c>
      <c r="D610" s="65">
        <v>23</v>
      </c>
    </row>
    <row r="611" spans="1:4">
      <c r="A611" s="66" t="s">
        <v>1354</v>
      </c>
      <c r="B611" s="65">
        <v>60888</v>
      </c>
      <c r="C611" s="65">
        <v>4550</v>
      </c>
      <c r="D611" s="65">
        <v>23</v>
      </c>
    </row>
    <row r="612" spans="1:4">
      <c r="A612" s="66" t="s">
        <v>2335</v>
      </c>
      <c r="B612" s="65">
        <v>118905</v>
      </c>
      <c r="C612" s="65">
        <v>203</v>
      </c>
      <c r="D612" s="65">
        <v>23</v>
      </c>
    </row>
    <row r="613" spans="1:4">
      <c r="A613" s="66" t="s">
        <v>2240</v>
      </c>
      <c r="B613" s="65">
        <v>135746</v>
      </c>
      <c r="C613" s="65">
        <v>470</v>
      </c>
      <c r="D613" s="65">
        <v>23</v>
      </c>
    </row>
    <row r="614" spans="1:4">
      <c r="A614" s="66" t="s">
        <v>2137</v>
      </c>
      <c r="B614" s="65">
        <v>156160</v>
      </c>
      <c r="C614" s="65">
        <v>70</v>
      </c>
      <c r="D614" s="65">
        <v>23</v>
      </c>
    </row>
    <row r="615" spans="1:4">
      <c r="A615" s="66" t="s">
        <v>1997</v>
      </c>
      <c r="B615" s="65">
        <v>116951</v>
      </c>
      <c r="C615" s="65">
        <v>365</v>
      </c>
      <c r="D615" s="65">
        <v>23</v>
      </c>
    </row>
    <row r="616" spans="1:4">
      <c r="A616" s="66" t="s">
        <v>8</v>
      </c>
      <c r="B616" s="65">
        <v>138661</v>
      </c>
      <c r="C616" s="65">
        <v>164</v>
      </c>
      <c r="D616" s="65">
        <v>22</v>
      </c>
    </row>
    <row r="617" spans="1:4">
      <c r="A617" s="66" t="s">
        <v>369</v>
      </c>
      <c r="B617" s="65">
        <v>131705</v>
      </c>
      <c r="C617" s="65">
        <v>1061</v>
      </c>
      <c r="D617" s="65">
        <v>22</v>
      </c>
    </row>
    <row r="618" spans="1:4">
      <c r="A618" s="66" t="s">
        <v>87</v>
      </c>
      <c r="B618" s="65">
        <v>136011</v>
      </c>
      <c r="C618" s="65">
        <v>650</v>
      </c>
      <c r="D618" s="65">
        <v>22</v>
      </c>
    </row>
    <row r="619" spans="1:4">
      <c r="A619" s="66" t="s">
        <v>176</v>
      </c>
      <c r="B619" s="65">
        <v>223456</v>
      </c>
      <c r="C619" s="65">
        <v>1031</v>
      </c>
      <c r="D619" s="65">
        <v>22</v>
      </c>
    </row>
    <row r="620" spans="1:4">
      <c r="A620" s="66" t="s">
        <v>67</v>
      </c>
      <c r="B620" s="65">
        <v>136031</v>
      </c>
      <c r="C620" s="65">
        <v>1368</v>
      </c>
      <c r="D620" s="65">
        <v>22</v>
      </c>
    </row>
    <row r="621" spans="1:4">
      <c r="A621" s="66" t="s">
        <v>46</v>
      </c>
      <c r="B621" s="65">
        <v>110177</v>
      </c>
      <c r="C621" s="65">
        <v>1447</v>
      </c>
      <c r="D621" s="65">
        <v>22</v>
      </c>
    </row>
    <row r="622" spans="1:4">
      <c r="A622" s="66" t="s">
        <v>530</v>
      </c>
      <c r="B622" s="65">
        <v>227651</v>
      </c>
      <c r="C622" s="65">
        <v>451</v>
      </c>
      <c r="D622" s="65">
        <v>22</v>
      </c>
    </row>
    <row r="623" spans="1:4">
      <c r="A623" s="66" t="s">
        <v>491</v>
      </c>
      <c r="B623" s="65">
        <v>100970</v>
      </c>
      <c r="C623" s="65">
        <v>245</v>
      </c>
      <c r="D623" s="65">
        <v>22</v>
      </c>
    </row>
    <row r="624" spans="1:4">
      <c r="A624" s="66" t="s">
        <v>1268</v>
      </c>
      <c r="B624" s="65">
        <v>223360</v>
      </c>
      <c r="C624" s="65">
        <v>155</v>
      </c>
      <c r="D624" s="65">
        <v>22</v>
      </c>
    </row>
    <row r="625" spans="1:4">
      <c r="A625" s="66" t="s">
        <v>1054</v>
      </c>
      <c r="B625" s="65">
        <v>90532</v>
      </c>
      <c r="C625" s="65">
        <v>121</v>
      </c>
      <c r="D625" s="65">
        <v>22</v>
      </c>
    </row>
    <row r="626" spans="1:4">
      <c r="A626" s="66" t="s">
        <v>984</v>
      </c>
      <c r="B626" s="65">
        <v>154</v>
      </c>
      <c r="C626" s="65">
        <v>890</v>
      </c>
      <c r="D626" s="65">
        <v>22</v>
      </c>
    </row>
    <row r="627" spans="1:4">
      <c r="A627" s="66" t="s">
        <v>1247</v>
      </c>
      <c r="B627" s="65">
        <v>40075</v>
      </c>
      <c r="C627" s="65">
        <v>59</v>
      </c>
      <c r="D627" s="65">
        <v>22</v>
      </c>
    </row>
    <row r="628" spans="1:4">
      <c r="A628" s="66" t="s">
        <v>652</v>
      </c>
      <c r="B628" s="65">
        <v>88081</v>
      </c>
      <c r="C628" s="65">
        <v>361</v>
      </c>
      <c r="D628" s="65">
        <v>22</v>
      </c>
    </row>
    <row r="629" spans="1:4">
      <c r="A629" s="66" t="s">
        <v>1353</v>
      </c>
      <c r="B629" s="65">
        <v>89162</v>
      </c>
      <c r="C629" s="65">
        <v>540</v>
      </c>
      <c r="D629" s="65">
        <v>22</v>
      </c>
    </row>
    <row r="630" spans="1:4">
      <c r="A630" s="66" t="s">
        <v>1551</v>
      </c>
      <c r="B630" s="65">
        <v>160376</v>
      </c>
      <c r="C630" s="65">
        <v>2012</v>
      </c>
      <c r="D630" s="65">
        <v>22</v>
      </c>
    </row>
    <row r="631" spans="1:4">
      <c r="A631" s="66" t="s">
        <v>1549</v>
      </c>
      <c r="B631" s="65">
        <v>155883</v>
      </c>
      <c r="C631" s="65">
        <v>235</v>
      </c>
      <c r="D631" s="65">
        <v>22</v>
      </c>
    </row>
    <row r="632" spans="1:4">
      <c r="A632" s="66" t="s">
        <v>1326</v>
      </c>
      <c r="B632" s="65">
        <v>31650</v>
      </c>
      <c r="C632" s="65">
        <v>173</v>
      </c>
      <c r="D632" s="65">
        <v>22</v>
      </c>
    </row>
    <row r="633" spans="1:4">
      <c r="A633" s="66" t="s">
        <v>1367</v>
      </c>
      <c r="B633" s="65">
        <v>5589</v>
      </c>
      <c r="C633" s="65">
        <v>525</v>
      </c>
      <c r="D633" s="65">
        <v>22</v>
      </c>
    </row>
    <row r="634" spans="1:4">
      <c r="A634" s="66" t="s">
        <v>1730</v>
      </c>
      <c r="B634" s="65">
        <v>107830</v>
      </c>
      <c r="C634" s="65">
        <v>456</v>
      </c>
      <c r="D634" s="65">
        <v>22</v>
      </c>
    </row>
    <row r="635" spans="1:4">
      <c r="A635" s="66" t="s">
        <v>1800</v>
      </c>
      <c r="B635" s="65">
        <v>73227</v>
      </c>
      <c r="C635" s="65">
        <v>3500</v>
      </c>
      <c r="D635" s="65">
        <v>22</v>
      </c>
    </row>
    <row r="636" spans="1:4">
      <c r="A636" s="66" t="s">
        <v>1999</v>
      </c>
      <c r="B636" s="65">
        <v>34</v>
      </c>
      <c r="C636" s="65">
        <v>368</v>
      </c>
      <c r="D636" s="65">
        <v>22</v>
      </c>
    </row>
    <row r="637" spans="1:4">
      <c r="A637" s="66" t="s">
        <v>2287</v>
      </c>
      <c r="B637" s="65">
        <v>214</v>
      </c>
      <c r="C637" s="65">
        <v>518</v>
      </c>
      <c r="D637" s="65">
        <v>22</v>
      </c>
    </row>
    <row r="638" spans="1:4">
      <c r="A638" s="66" t="s">
        <v>2544</v>
      </c>
      <c r="B638" s="65">
        <v>173346</v>
      </c>
      <c r="C638" s="65">
        <v>103</v>
      </c>
      <c r="D638" s="65">
        <v>22</v>
      </c>
    </row>
    <row r="639" spans="1:4">
      <c r="A639" s="66" t="s">
        <v>2439</v>
      </c>
      <c r="B639" s="65">
        <v>521</v>
      </c>
      <c r="C639" s="65">
        <v>2700</v>
      </c>
      <c r="D639" s="65">
        <v>22</v>
      </c>
    </row>
    <row r="640" spans="1:4">
      <c r="A640" s="66" t="s">
        <v>224</v>
      </c>
      <c r="B640" s="65">
        <v>119975</v>
      </c>
      <c r="C640" s="65">
        <v>229</v>
      </c>
      <c r="D640" s="65">
        <v>21</v>
      </c>
    </row>
    <row r="641" spans="1:4">
      <c r="A641" s="66" t="s">
        <v>587</v>
      </c>
      <c r="B641" s="65">
        <v>172868</v>
      </c>
      <c r="C641" s="65">
        <v>138</v>
      </c>
      <c r="D641" s="65">
        <v>21</v>
      </c>
    </row>
    <row r="642" spans="1:4">
      <c r="A642" s="66" t="s">
        <v>360</v>
      </c>
      <c r="B642" s="65">
        <v>113439</v>
      </c>
      <c r="C642" s="65">
        <v>92</v>
      </c>
      <c r="D642" s="65">
        <v>21</v>
      </c>
    </row>
    <row r="643" spans="1:4">
      <c r="A643" s="66" t="s">
        <v>467</v>
      </c>
      <c r="B643" s="65">
        <v>53285</v>
      </c>
      <c r="C643" s="65">
        <v>276</v>
      </c>
      <c r="D643" s="65">
        <v>21</v>
      </c>
    </row>
    <row r="644" spans="1:4">
      <c r="A644" s="66" t="s">
        <v>571</v>
      </c>
      <c r="B644" s="65">
        <v>108877</v>
      </c>
      <c r="C644" s="65">
        <v>115</v>
      </c>
      <c r="D644" s="65">
        <v>21</v>
      </c>
    </row>
    <row r="645" spans="1:4">
      <c r="A645" s="66" t="s">
        <v>451</v>
      </c>
      <c r="B645" s="65">
        <v>141177</v>
      </c>
      <c r="C645" s="65">
        <v>17100</v>
      </c>
      <c r="D645" s="65">
        <v>21</v>
      </c>
    </row>
    <row r="646" spans="1:4">
      <c r="A646" s="66" t="s">
        <v>84</v>
      </c>
      <c r="B646" s="65">
        <v>87064</v>
      </c>
      <c r="C646" s="65">
        <v>240</v>
      </c>
      <c r="D646" s="65">
        <v>21</v>
      </c>
    </row>
    <row r="647" spans="1:4">
      <c r="A647" s="66" t="s">
        <v>174</v>
      </c>
      <c r="B647" s="65">
        <v>124941</v>
      </c>
      <c r="C647" s="65">
        <v>424</v>
      </c>
      <c r="D647" s="65">
        <v>21</v>
      </c>
    </row>
    <row r="648" spans="1:4">
      <c r="A648" s="66" t="s">
        <v>272</v>
      </c>
      <c r="B648" s="65">
        <v>142421</v>
      </c>
      <c r="C648" s="65">
        <v>409</v>
      </c>
      <c r="D648" s="65">
        <v>21</v>
      </c>
    </row>
    <row r="649" spans="1:4">
      <c r="A649" s="66" t="s">
        <v>269</v>
      </c>
      <c r="B649" s="65">
        <v>159056</v>
      </c>
      <c r="C649" s="65">
        <v>2383</v>
      </c>
      <c r="D649" s="65">
        <v>21</v>
      </c>
    </row>
    <row r="650" spans="1:4">
      <c r="A650" s="66" t="s">
        <v>1090</v>
      </c>
      <c r="B650" s="65">
        <v>157092</v>
      </c>
      <c r="C650" s="65">
        <v>258</v>
      </c>
      <c r="D650" s="65">
        <v>21</v>
      </c>
    </row>
    <row r="651" spans="1:4">
      <c r="A651" s="66" t="s">
        <v>1272</v>
      </c>
      <c r="B651" s="65">
        <v>224154</v>
      </c>
      <c r="C651" s="65">
        <v>440</v>
      </c>
      <c r="D651" s="65">
        <v>21</v>
      </c>
    </row>
    <row r="652" spans="1:4">
      <c r="A652" s="66" t="s">
        <v>1176</v>
      </c>
      <c r="B652" s="65">
        <v>126060</v>
      </c>
      <c r="C652" s="65">
        <v>233</v>
      </c>
      <c r="D652" s="65">
        <v>21</v>
      </c>
    </row>
    <row r="653" spans="1:4">
      <c r="A653" s="66" t="s">
        <v>733</v>
      </c>
      <c r="B653" s="65">
        <v>176803</v>
      </c>
      <c r="C653" s="65">
        <v>696</v>
      </c>
      <c r="D653" s="65">
        <v>21</v>
      </c>
    </row>
    <row r="654" spans="1:4">
      <c r="A654" s="66" t="s">
        <v>1210</v>
      </c>
      <c r="B654" s="65">
        <v>30696</v>
      </c>
      <c r="C654" s="65">
        <v>84</v>
      </c>
      <c r="D654" s="65">
        <v>21</v>
      </c>
    </row>
    <row r="655" spans="1:4">
      <c r="A655" s="66" t="s">
        <v>890</v>
      </c>
      <c r="B655" s="65">
        <v>114922</v>
      </c>
      <c r="C655" s="65">
        <v>150</v>
      </c>
      <c r="D655" s="65">
        <v>21</v>
      </c>
    </row>
    <row r="656" spans="1:4">
      <c r="A656" s="66" t="s">
        <v>677</v>
      </c>
      <c r="B656" s="65">
        <v>8575</v>
      </c>
      <c r="C656" s="65">
        <v>210</v>
      </c>
      <c r="D656" s="65">
        <v>21</v>
      </c>
    </row>
    <row r="657" spans="1:4">
      <c r="A657" s="66" t="s">
        <v>1564</v>
      </c>
      <c r="B657" s="65">
        <v>96261</v>
      </c>
      <c r="C657" s="65">
        <v>174</v>
      </c>
      <c r="D657" s="65">
        <v>21</v>
      </c>
    </row>
    <row r="658" spans="1:4">
      <c r="A658" s="66" t="s">
        <v>1457</v>
      </c>
      <c r="B658" s="65">
        <v>112428</v>
      </c>
      <c r="C658" s="65">
        <v>152</v>
      </c>
      <c r="D658" s="65">
        <v>21</v>
      </c>
    </row>
    <row r="659" spans="1:4">
      <c r="A659" s="66" t="s">
        <v>1330</v>
      </c>
      <c r="B659" s="65">
        <v>9621</v>
      </c>
      <c r="C659" s="65">
        <v>179</v>
      </c>
      <c r="D659" s="65">
        <v>21</v>
      </c>
    </row>
    <row r="660" spans="1:4">
      <c r="A660" s="66" t="s">
        <v>1776</v>
      </c>
      <c r="B660" s="65">
        <v>100120</v>
      </c>
      <c r="C660" s="65">
        <v>716</v>
      </c>
      <c r="D660" s="65">
        <v>21</v>
      </c>
    </row>
    <row r="661" spans="1:4">
      <c r="A661" s="66" t="s">
        <v>1768</v>
      </c>
      <c r="B661" s="65">
        <v>7231</v>
      </c>
      <c r="C661" s="65">
        <v>218</v>
      </c>
      <c r="D661" s="65">
        <v>21</v>
      </c>
    </row>
    <row r="662" spans="1:4">
      <c r="A662" s="66" t="s">
        <v>1652</v>
      </c>
      <c r="B662" s="65">
        <v>112471</v>
      </c>
      <c r="C662" s="65">
        <v>270</v>
      </c>
      <c r="D662" s="65">
        <v>21</v>
      </c>
    </row>
    <row r="663" spans="1:4">
      <c r="A663" s="66" t="s">
        <v>1382</v>
      </c>
      <c r="B663" s="65">
        <v>1494</v>
      </c>
      <c r="C663" s="65">
        <v>4600</v>
      </c>
      <c r="D663" s="65">
        <v>21</v>
      </c>
    </row>
    <row r="664" spans="1:4">
      <c r="A664" s="66" t="s">
        <v>1481</v>
      </c>
      <c r="B664" s="65">
        <v>129777</v>
      </c>
      <c r="C664" s="65">
        <v>2050</v>
      </c>
      <c r="D664" s="65">
        <v>21</v>
      </c>
    </row>
    <row r="665" spans="1:4">
      <c r="A665" s="66" t="s">
        <v>2291</v>
      </c>
      <c r="B665" s="65">
        <v>110251</v>
      </c>
      <c r="C665" s="65">
        <v>30</v>
      </c>
      <c r="D665" s="65">
        <v>21</v>
      </c>
    </row>
    <row r="666" spans="1:4">
      <c r="A666" s="66" t="s">
        <v>2378</v>
      </c>
      <c r="B666" s="65">
        <v>429</v>
      </c>
      <c r="C666" s="65">
        <v>230</v>
      </c>
      <c r="D666" s="65">
        <v>21</v>
      </c>
    </row>
    <row r="667" spans="1:4">
      <c r="A667" s="66" t="s">
        <v>2494</v>
      </c>
      <c r="B667" s="65">
        <v>1452</v>
      </c>
      <c r="C667" s="65">
        <v>34</v>
      </c>
      <c r="D667" s="65">
        <v>21</v>
      </c>
    </row>
    <row r="668" spans="1:4">
      <c r="A668" s="66" t="s">
        <v>2263</v>
      </c>
      <c r="B668" s="65">
        <v>33312</v>
      </c>
      <c r="C668" s="65">
        <v>155</v>
      </c>
      <c r="D668" s="65">
        <v>21</v>
      </c>
    </row>
    <row r="669" spans="1:4">
      <c r="A669" s="66" t="s">
        <v>2182</v>
      </c>
      <c r="B669" s="65">
        <v>100751</v>
      </c>
      <c r="C669" s="65">
        <v>37</v>
      </c>
      <c r="D669" s="65">
        <v>21</v>
      </c>
    </row>
    <row r="670" spans="1:4">
      <c r="A670" s="66" t="s">
        <v>588</v>
      </c>
      <c r="B670" s="65">
        <v>131408</v>
      </c>
      <c r="C670" s="65">
        <v>875</v>
      </c>
      <c r="D670" s="65">
        <v>20</v>
      </c>
    </row>
    <row r="671" spans="1:4">
      <c r="A671" s="66" t="s">
        <v>357</v>
      </c>
      <c r="B671" s="65">
        <v>1523</v>
      </c>
      <c r="C671" s="65">
        <v>23</v>
      </c>
      <c r="D671" s="65">
        <v>20</v>
      </c>
    </row>
    <row r="672" spans="1:4">
      <c r="A672" s="66" t="s">
        <v>215</v>
      </c>
      <c r="B672" s="65">
        <v>116911</v>
      </c>
      <c r="C672" s="65">
        <v>245</v>
      </c>
      <c r="D672" s="65">
        <v>20</v>
      </c>
    </row>
    <row r="673" spans="1:4">
      <c r="A673" s="66" t="s">
        <v>1088</v>
      </c>
      <c r="B673" s="65">
        <v>1974</v>
      </c>
      <c r="C673" s="65">
        <v>989</v>
      </c>
      <c r="D673" s="65">
        <v>20</v>
      </c>
    </row>
    <row r="674" spans="1:4">
      <c r="A674" s="66" t="s">
        <v>1172</v>
      </c>
      <c r="B674" s="65">
        <v>177772</v>
      </c>
      <c r="C674" s="65">
        <v>375</v>
      </c>
      <c r="D674" s="65">
        <v>20</v>
      </c>
    </row>
    <row r="675" spans="1:4">
      <c r="A675" s="66" t="s">
        <v>1435</v>
      </c>
      <c r="B675" s="65">
        <v>33595</v>
      </c>
      <c r="C675" s="65">
        <v>310</v>
      </c>
      <c r="D675" s="65">
        <v>20</v>
      </c>
    </row>
    <row r="676" spans="1:4">
      <c r="A676" s="66" t="s">
        <v>1879</v>
      </c>
      <c r="B676" s="65">
        <v>160067</v>
      </c>
      <c r="C676" s="65">
        <v>238</v>
      </c>
      <c r="D676" s="65">
        <v>20</v>
      </c>
    </row>
    <row r="677" spans="1:4">
      <c r="A677" s="66" t="s">
        <v>1571</v>
      </c>
      <c r="B677" s="65">
        <v>86224</v>
      </c>
      <c r="C677" s="65">
        <v>7900</v>
      </c>
      <c r="D677" s="65">
        <v>20</v>
      </c>
    </row>
    <row r="678" spans="1:4">
      <c r="A678" s="66" t="s">
        <v>1797</v>
      </c>
      <c r="B678" s="65">
        <v>114046</v>
      </c>
      <c r="C678" s="65">
        <v>960</v>
      </c>
      <c r="D678" s="65">
        <v>20</v>
      </c>
    </row>
    <row r="679" spans="1:4">
      <c r="A679" s="66" t="s">
        <v>2386</v>
      </c>
      <c r="B679" s="65">
        <v>12233</v>
      </c>
      <c r="C679" s="65">
        <v>281</v>
      </c>
      <c r="D679" s="65">
        <v>20</v>
      </c>
    </row>
    <row r="680" spans="1:4">
      <c r="A680" s="66" t="s">
        <v>2580</v>
      </c>
      <c r="B680" s="65">
        <v>138844</v>
      </c>
      <c r="C680" s="65">
        <v>470</v>
      </c>
      <c r="D680" s="65">
        <v>20</v>
      </c>
    </row>
    <row r="681" spans="1:4">
      <c r="A681" s="66" t="s">
        <v>2364</v>
      </c>
      <c r="B681" s="65">
        <v>1724</v>
      </c>
      <c r="C681" s="65">
        <v>216</v>
      </c>
      <c r="D681" s="65">
        <v>20</v>
      </c>
    </row>
    <row r="682" spans="1:4">
      <c r="A682" s="66" t="s">
        <v>2372</v>
      </c>
      <c r="B682" s="65">
        <v>87</v>
      </c>
      <c r="C682" s="65">
        <v>241</v>
      </c>
      <c r="D682" s="65">
        <v>20</v>
      </c>
    </row>
    <row r="683" spans="1:4">
      <c r="A683" s="66" t="s">
        <v>2593</v>
      </c>
      <c r="B683" s="65">
        <v>7326</v>
      </c>
      <c r="C683" s="65">
        <v>536</v>
      </c>
      <c r="D683" s="65">
        <v>20</v>
      </c>
    </row>
    <row r="684" spans="1:4">
      <c r="A684" s="66" t="s">
        <v>2000</v>
      </c>
      <c r="B684" s="65">
        <v>114950</v>
      </c>
      <c r="C684" s="65">
        <v>150</v>
      </c>
      <c r="D684" s="65">
        <v>20</v>
      </c>
    </row>
    <row r="685" spans="1:4">
      <c r="A685" s="66" t="s">
        <v>2637</v>
      </c>
      <c r="B685" s="65">
        <v>155721</v>
      </c>
      <c r="C685" s="65">
        <v>4350</v>
      </c>
      <c r="D685" s="65">
        <v>20</v>
      </c>
    </row>
    <row r="686" spans="1:4">
      <c r="A686" s="66" t="s">
        <v>2277</v>
      </c>
      <c r="B686" s="65">
        <v>30694</v>
      </c>
      <c r="C686" s="65">
        <v>129</v>
      </c>
      <c r="D686" s="65">
        <v>20</v>
      </c>
    </row>
    <row r="687" spans="1:4">
      <c r="A687" s="66" t="s">
        <v>2539</v>
      </c>
      <c r="B687" s="65">
        <v>131401</v>
      </c>
      <c r="C687" s="65">
        <v>56</v>
      </c>
      <c r="D687" s="65">
        <v>20</v>
      </c>
    </row>
    <row r="688" spans="1:4">
      <c r="A688" s="66" t="s">
        <v>2546</v>
      </c>
      <c r="B688" s="65">
        <v>78462</v>
      </c>
      <c r="C688" s="65">
        <v>230</v>
      </c>
      <c r="D688" s="65">
        <v>20</v>
      </c>
    </row>
    <row r="689" spans="1:4">
      <c r="A689" s="66" t="s">
        <v>2056</v>
      </c>
      <c r="B689" s="65">
        <v>109245</v>
      </c>
      <c r="C689" s="65">
        <v>571</v>
      </c>
      <c r="D689" s="65">
        <v>20</v>
      </c>
    </row>
    <row r="690" spans="1:4">
      <c r="A690" s="66" t="s">
        <v>1996</v>
      </c>
      <c r="B690" s="65">
        <v>24156</v>
      </c>
      <c r="C690" s="65">
        <v>220</v>
      </c>
      <c r="D690" s="65">
        <v>20</v>
      </c>
    </row>
    <row r="691" spans="1:4">
      <c r="A691" s="66" t="s">
        <v>122</v>
      </c>
      <c r="B691" s="65">
        <v>138510</v>
      </c>
      <c r="C691" s="65">
        <v>380</v>
      </c>
      <c r="D691" s="65">
        <v>19</v>
      </c>
    </row>
    <row r="692" spans="1:4">
      <c r="A692" s="66" t="s">
        <v>9</v>
      </c>
      <c r="B692" s="65">
        <v>158198</v>
      </c>
      <c r="C692" s="65">
        <v>1775</v>
      </c>
      <c r="D692" s="65">
        <v>19</v>
      </c>
    </row>
    <row r="693" spans="1:4">
      <c r="A693" s="66" t="s">
        <v>373</v>
      </c>
      <c r="B693" s="65">
        <v>177161</v>
      </c>
      <c r="C693" s="65">
        <v>131</v>
      </c>
      <c r="D693" s="65">
        <v>19</v>
      </c>
    </row>
    <row r="694" spans="1:4">
      <c r="A694" s="66" t="s">
        <v>483</v>
      </c>
      <c r="B694" s="65">
        <v>138519</v>
      </c>
      <c r="C694" s="65">
        <v>35</v>
      </c>
      <c r="D694" s="65">
        <v>19</v>
      </c>
    </row>
    <row r="695" spans="1:4">
      <c r="A695" s="66" t="s">
        <v>457</v>
      </c>
      <c r="B695" s="65">
        <v>18869</v>
      </c>
      <c r="C695" s="65">
        <v>8000</v>
      </c>
      <c r="D695" s="65">
        <v>19</v>
      </c>
    </row>
    <row r="696" spans="1:4">
      <c r="A696" s="66" t="s">
        <v>216</v>
      </c>
      <c r="B696" s="65">
        <v>59632</v>
      </c>
      <c r="C696" s="65">
        <v>7400</v>
      </c>
      <c r="D696" s="65">
        <v>19</v>
      </c>
    </row>
    <row r="697" spans="1:4">
      <c r="A697" s="66" t="s">
        <v>167</v>
      </c>
      <c r="B697" s="65">
        <v>110812</v>
      </c>
      <c r="C697" s="65">
        <v>53</v>
      </c>
      <c r="D697" s="65">
        <v>19</v>
      </c>
    </row>
    <row r="698" spans="1:4">
      <c r="A698" s="66" t="s">
        <v>57</v>
      </c>
      <c r="B698" s="65">
        <v>49660</v>
      </c>
      <c r="C698" s="65">
        <v>301</v>
      </c>
      <c r="D698" s="65">
        <v>19</v>
      </c>
    </row>
    <row r="699" spans="1:4">
      <c r="A699" s="66" t="s">
        <v>527</v>
      </c>
      <c r="B699" s="65">
        <v>124172</v>
      </c>
      <c r="C699" s="65">
        <v>67</v>
      </c>
      <c r="D699" s="65">
        <v>19</v>
      </c>
    </row>
    <row r="700" spans="1:4">
      <c r="A700" s="66" t="s">
        <v>1212</v>
      </c>
      <c r="B700" s="65">
        <v>6832</v>
      </c>
      <c r="C700" s="65">
        <v>135</v>
      </c>
      <c r="D700" s="65">
        <v>19</v>
      </c>
    </row>
    <row r="701" spans="1:4">
      <c r="A701" s="66" t="s">
        <v>1167</v>
      </c>
      <c r="B701" s="65">
        <v>136871</v>
      </c>
      <c r="C701" s="65">
        <v>6350</v>
      </c>
      <c r="D701" s="65">
        <v>19</v>
      </c>
    </row>
    <row r="702" spans="1:4">
      <c r="A702" s="66" t="s">
        <v>1059</v>
      </c>
      <c r="B702" s="65">
        <v>64418</v>
      </c>
      <c r="C702" s="65">
        <v>249</v>
      </c>
      <c r="D702" s="65">
        <v>19</v>
      </c>
    </row>
    <row r="703" spans="1:4">
      <c r="A703" s="66" t="s">
        <v>1069</v>
      </c>
      <c r="B703" s="65">
        <v>31246</v>
      </c>
      <c r="C703" s="65">
        <v>50</v>
      </c>
      <c r="D703" s="65">
        <v>19</v>
      </c>
    </row>
    <row r="704" spans="1:4">
      <c r="A704" s="66" t="s">
        <v>691</v>
      </c>
      <c r="B704" s="65">
        <v>35276</v>
      </c>
      <c r="C704" s="65">
        <v>129</v>
      </c>
      <c r="D704" s="65">
        <v>19</v>
      </c>
    </row>
    <row r="705" spans="1:4">
      <c r="A705" s="66" t="s">
        <v>911</v>
      </c>
      <c r="B705" s="65">
        <v>113301</v>
      </c>
      <c r="C705" s="65">
        <v>40</v>
      </c>
      <c r="D705" s="65">
        <v>19</v>
      </c>
    </row>
    <row r="706" spans="1:4">
      <c r="A706" s="66" t="s">
        <v>947</v>
      </c>
      <c r="B706" s="65">
        <v>113447</v>
      </c>
      <c r="C706" s="65">
        <v>274</v>
      </c>
      <c r="D706" s="65">
        <v>19</v>
      </c>
    </row>
    <row r="707" spans="1:4">
      <c r="A707" s="66" t="s">
        <v>1105</v>
      </c>
      <c r="B707" s="65">
        <v>35402</v>
      </c>
      <c r="C707" s="65">
        <v>106</v>
      </c>
      <c r="D707" s="65">
        <v>19</v>
      </c>
    </row>
    <row r="708" spans="1:4">
      <c r="A708" s="66" t="s">
        <v>1244</v>
      </c>
      <c r="B708" s="65">
        <v>13568</v>
      </c>
      <c r="C708" s="65">
        <v>262</v>
      </c>
      <c r="D708" s="65">
        <v>19</v>
      </c>
    </row>
    <row r="709" spans="1:4">
      <c r="A709" s="66" t="s">
        <v>860</v>
      </c>
      <c r="B709" s="65">
        <v>5431</v>
      </c>
      <c r="C709" s="65">
        <v>150</v>
      </c>
      <c r="D709" s="65">
        <v>19</v>
      </c>
    </row>
    <row r="710" spans="1:4">
      <c r="A710" s="66" t="s">
        <v>2634</v>
      </c>
      <c r="B710" s="65">
        <v>156236</v>
      </c>
      <c r="C710" s="65">
        <v>71</v>
      </c>
      <c r="D710" s="65">
        <v>19</v>
      </c>
    </row>
    <row r="711" spans="1:4">
      <c r="A711" s="66" t="s">
        <v>1349</v>
      </c>
      <c r="B711" s="65">
        <v>173388</v>
      </c>
      <c r="C711" s="65">
        <v>860</v>
      </c>
      <c r="D711" s="65">
        <v>19</v>
      </c>
    </row>
    <row r="712" spans="1:4">
      <c r="A712" s="66" t="s">
        <v>1476</v>
      </c>
      <c r="B712" s="65">
        <v>118326</v>
      </c>
      <c r="C712" s="65">
        <v>2020</v>
      </c>
      <c r="D712" s="65">
        <v>19</v>
      </c>
    </row>
    <row r="713" spans="1:4">
      <c r="A713" s="66" t="s">
        <v>1866</v>
      </c>
      <c r="B713" s="65">
        <v>140997</v>
      </c>
      <c r="C713" s="65">
        <v>1332</v>
      </c>
      <c r="D713" s="65">
        <v>19</v>
      </c>
    </row>
    <row r="714" spans="1:4">
      <c r="A714" s="66" t="s">
        <v>1691</v>
      </c>
      <c r="B714" s="65">
        <v>10223</v>
      </c>
      <c r="C714" s="65">
        <v>516</v>
      </c>
      <c r="D714" s="65">
        <v>19</v>
      </c>
    </row>
    <row r="715" spans="1:4">
      <c r="A715" s="66" t="s">
        <v>2592</v>
      </c>
      <c r="B715" s="65">
        <v>105512</v>
      </c>
      <c r="C715" s="65">
        <v>101</v>
      </c>
      <c r="D715" s="65">
        <v>19</v>
      </c>
    </row>
    <row r="716" spans="1:4">
      <c r="A716" s="66" t="s">
        <v>2272</v>
      </c>
      <c r="B716" s="65">
        <v>116941</v>
      </c>
      <c r="C716" s="65">
        <v>207</v>
      </c>
      <c r="D716" s="65">
        <v>19</v>
      </c>
    </row>
    <row r="717" spans="1:4">
      <c r="A717" s="66" t="s">
        <v>2158</v>
      </c>
      <c r="B717" s="65">
        <v>13570</v>
      </c>
      <c r="C717" s="65">
        <v>369</v>
      </c>
      <c r="D717" s="65">
        <v>19</v>
      </c>
    </row>
    <row r="718" spans="1:4">
      <c r="A718" s="66" t="s">
        <v>2230</v>
      </c>
      <c r="B718" s="65">
        <v>110681</v>
      </c>
      <c r="C718" s="65">
        <v>377</v>
      </c>
      <c r="D718" s="65">
        <v>19</v>
      </c>
    </row>
    <row r="719" spans="1:4">
      <c r="A719" s="66" t="s">
        <v>2031</v>
      </c>
      <c r="B719" s="65">
        <v>157079</v>
      </c>
      <c r="C719" s="65">
        <v>79</v>
      </c>
      <c r="D719" s="65">
        <v>19</v>
      </c>
    </row>
    <row r="720" spans="1:4">
      <c r="A720" s="66" t="s">
        <v>2541</v>
      </c>
      <c r="B720" s="65">
        <v>126041</v>
      </c>
      <c r="C720" s="65">
        <v>497</v>
      </c>
      <c r="D720" s="65">
        <v>19</v>
      </c>
    </row>
    <row r="721" spans="1:4">
      <c r="A721" s="66" t="s">
        <v>1962</v>
      </c>
      <c r="B721" s="65">
        <v>87602</v>
      </c>
      <c r="C721" s="65">
        <v>66</v>
      </c>
      <c r="D721" s="65">
        <v>19</v>
      </c>
    </row>
    <row r="722" spans="1:4">
      <c r="A722" s="66" t="s">
        <v>2071</v>
      </c>
      <c r="B722" s="65">
        <v>156309</v>
      </c>
      <c r="C722" s="65">
        <v>94</v>
      </c>
      <c r="D722" s="65">
        <v>19</v>
      </c>
    </row>
    <row r="723" spans="1:4">
      <c r="A723" s="66" t="s">
        <v>117</v>
      </c>
      <c r="B723" s="65">
        <v>94840</v>
      </c>
      <c r="C723" s="65">
        <v>394</v>
      </c>
      <c r="D723" s="65">
        <v>18</v>
      </c>
    </row>
    <row r="724" spans="1:4">
      <c r="A724" s="66" t="s">
        <v>364</v>
      </c>
      <c r="B724" s="65">
        <v>64491</v>
      </c>
      <c r="C724" s="65">
        <v>90</v>
      </c>
      <c r="D724" s="65">
        <v>18</v>
      </c>
    </row>
    <row r="725" spans="1:4">
      <c r="A725" s="66" t="s">
        <v>279</v>
      </c>
      <c r="B725" s="65">
        <v>138814</v>
      </c>
      <c r="C725" s="65">
        <v>169</v>
      </c>
      <c r="D725" s="65">
        <v>18</v>
      </c>
    </row>
    <row r="726" spans="1:4">
      <c r="A726" s="66" t="s">
        <v>63</v>
      </c>
      <c r="B726" s="65">
        <v>82526</v>
      </c>
      <c r="C726" s="65">
        <v>189</v>
      </c>
      <c r="D726" s="65">
        <v>18</v>
      </c>
    </row>
    <row r="727" spans="1:4">
      <c r="A727" s="66" t="s">
        <v>210</v>
      </c>
      <c r="B727" s="65">
        <v>129515</v>
      </c>
      <c r="C727" s="65">
        <v>588</v>
      </c>
      <c r="D727" s="65">
        <v>18</v>
      </c>
    </row>
    <row r="728" spans="1:4">
      <c r="A728" s="66" t="s">
        <v>545</v>
      </c>
      <c r="B728" s="65">
        <v>18396</v>
      </c>
      <c r="C728" s="65">
        <v>300</v>
      </c>
      <c r="D728" s="65">
        <v>18</v>
      </c>
    </row>
    <row r="729" spans="1:4">
      <c r="A729" s="66" t="s">
        <v>610</v>
      </c>
      <c r="B729" s="65">
        <v>42862</v>
      </c>
      <c r="C729" s="65">
        <v>239</v>
      </c>
      <c r="D729" s="65">
        <v>18</v>
      </c>
    </row>
    <row r="730" spans="1:4">
      <c r="A730" s="66" t="s">
        <v>1031</v>
      </c>
      <c r="B730" s="65">
        <v>132867</v>
      </c>
      <c r="C730" s="65">
        <v>5616</v>
      </c>
      <c r="D730" s="65">
        <v>18</v>
      </c>
    </row>
    <row r="731" spans="1:4">
      <c r="A731" s="66" t="s">
        <v>1061</v>
      </c>
      <c r="B731" s="65">
        <v>116881</v>
      </c>
      <c r="C731" s="65">
        <v>247</v>
      </c>
      <c r="D731" s="65">
        <v>18</v>
      </c>
    </row>
    <row r="732" spans="1:4">
      <c r="A732" s="66" t="s">
        <v>754</v>
      </c>
      <c r="B732" s="65">
        <v>138285</v>
      </c>
      <c r="C732" s="65">
        <v>301</v>
      </c>
      <c r="D732" s="65">
        <v>18</v>
      </c>
    </row>
    <row r="733" spans="1:4">
      <c r="A733" s="66" t="s">
        <v>864</v>
      </c>
      <c r="B733" s="65">
        <v>101442</v>
      </c>
      <c r="C733" s="65">
        <v>504</v>
      </c>
      <c r="D733" s="65">
        <v>18</v>
      </c>
    </row>
    <row r="734" spans="1:4">
      <c r="A734" s="66" t="s">
        <v>714</v>
      </c>
      <c r="B734" s="65">
        <v>177434</v>
      </c>
      <c r="C734" s="65">
        <v>105</v>
      </c>
      <c r="D734" s="65">
        <v>18</v>
      </c>
    </row>
    <row r="735" spans="1:4">
      <c r="A735" s="66" t="s">
        <v>1459</v>
      </c>
      <c r="B735" s="65">
        <v>401</v>
      </c>
      <c r="C735" s="65">
        <v>80</v>
      </c>
      <c r="D735" s="65">
        <v>18</v>
      </c>
    </row>
    <row r="736" spans="1:4">
      <c r="A736" s="66" t="s">
        <v>1680</v>
      </c>
      <c r="B736" s="65">
        <v>58264</v>
      </c>
      <c r="C736" s="65">
        <v>512</v>
      </c>
      <c r="D736" s="65">
        <v>18</v>
      </c>
    </row>
    <row r="737" spans="1:4">
      <c r="A737" s="66" t="s">
        <v>1649</v>
      </c>
      <c r="B737" s="65">
        <v>138364</v>
      </c>
      <c r="C737" s="65">
        <v>293</v>
      </c>
      <c r="D737" s="65">
        <v>18</v>
      </c>
    </row>
    <row r="738" spans="1:4">
      <c r="A738" s="66" t="s">
        <v>1594</v>
      </c>
      <c r="B738" s="65">
        <v>129778</v>
      </c>
      <c r="C738" s="65">
        <v>2000</v>
      </c>
      <c r="D738" s="65">
        <v>18</v>
      </c>
    </row>
    <row r="739" spans="1:4">
      <c r="A739" s="66" t="s">
        <v>1383</v>
      </c>
      <c r="B739" s="65">
        <v>126214</v>
      </c>
      <c r="C739" s="65">
        <v>730</v>
      </c>
      <c r="D739" s="65">
        <v>18</v>
      </c>
    </row>
    <row r="740" spans="1:4">
      <c r="A740" s="66" t="s">
        <v>1475</v>
      </c>
      <c r="B740" s="65">
        <v>132825</v>
      </c>
      <c r="C740" s="65">
        <v>470</v>
      </c>
      <c r="D740" s="65">
        <v>18</v>
      </c>
    </row>
    <row r="741" spans="1:4">
      <c r="A741" s="66" t="s">
        <v>2266</v>
      </c>
      <c r="B741" s="65">
        <v>73874</v>
      </c>
      <c r="C741" s="65">
        <v>830</v>
      </c>
      <c r="D741" s="65">
        <v>18</v>
      </c>
    </row>
    <row r="742" spans="1:4">
      <c r="A742" s="66" t="s">
        <v>2274</v>
      </c>
      <c r="B742" s="65">
        <v>83661</v>
      </c>
      <c r="C742" s="65">
        <v>102</v>
      </c>
      <c r="D742" s="65">
        <v>18</v>
      </c>
    </row>
    <row r="743" spans="1:4">
      <c r="A743" s="66" t="s">
        <v>2197</v>
      </c>
      <c r="B743" s="65">
        <v>139446</v>
      </c>
      <c r="C743" s="65">
        <v>1900</v>
      </c>
      <c r="D743" s="65">
        <v>18</v>
      </c>
    </row>
    <row r="744" spans="1:4">
      <c r="A744" s="66" t="s">
        <v>2199</v>
      </c>
      <c r="B744" s="65">
        <v>132599</v>
      </c>
      <c r="C744" s="65">
        <v>139</v>
      </c>
      <c r="D744" s="65">
        <v>18</v>
      </c>
    </row>
    <row r="745" spans="1:4">
      <c r="A745" s="66" t="s">
        <v>2096</v>
      </c>
      <c r="B745" s="65">
        <v>178330</v>
      </c>
      <c r="C745" s="65">
        <v>441</v>
      </c>
      <c r="D745" s="65">
        <v>18</v>
      </c>
    </row>
    <row r="746" spans="1:4">
      <c r="A746" s="66" t="s">
        <v>2212</v>
      </c>
      <c r="B746" s="65">
        <v>158218</v>
      </c>
      <c r="C746" s="65">
        <v>85</v>
      </c>
      <c r="D746" s="65">
        <v>18</v>
      </c>
    </row>
    <row r="747" spans="1:4">
      <c r="A747" s="66" t="s">
        <v>21</v>
      </c>
      <c r="B747" s="65">
        <v>7494</v>
      </c>
      <c r="C747" s="65">
        <v>900</v>
      </c>
      <c r="D747" s="65">
        <v>17</v>
      </c>
    </row>
    <row r="748" spans="1:4">
      <c r="A748" s="66" t="s">
        <v>120</v>
      </c>
      <c r="B748" s="65">
        <v>134290</v>
      </c>
      <c r="C748" s="65">
        <v>72</v>
      </c>
      <c r="D748" s="65">
        <v>17</v>
      </c>
    </row>
    <row r="749" spans="1:4">
      <c r="A749" s="66" t="s">
        <v>474</v>
      </c>
      <c r="B749" s="65">
        <v>147</v>
      </c>
      <c r="C749" s="65">
        <v>105</v>
      </c>
      <c r="D749" s="65">
        <v>17</v>
      </c>
    </row>
    <row r="750" spans="1:4">
      <c r="A750" s="66" t="s">
        <v>204</v>
      </c>
      <c r="B750" s="65">
        <v>127138</v>
      </c>
      <c r="C750" s="65">
        <v>149</v>
      </c>
      <c r="D750" s="65">
        <v>17</v>
      </c>
    </row>
    <row r="751" spans="1:4">
      <c r="A751" s="66" t="s">
        <v>75</v>
      </c>
      <c r="B751" s="65">
        <v>226840</v>
      </c>
      <c r="C751" s="65">
        <v>774</v>
      </c>
      <c r="D751" s="65">
        <v>17</v>
      </c>
    </row>
    <row r="752" spans="1:4">
      <c r="A752" s="66" t="s">
        <v>61</v>
      </c>
      <c r="B752" s="65">
        <v>224725</v>
      </c>
      <c r="C752" s="65">
        <v>104</v>
      </c>
      <c r="D752" s="65">
        <v>17</v>
      </c>
    </row>
    <row r="753" spans="1:4">
      <c r="A753" s="66" t="s">
        <v>312</v>
      </c>
      <c r="B753" s="65">
        <v>109387</v>
      </c>
      <c r="C753" s="65">
        <v>330</v>
      </c>
      <c r="D753" s="65">
        <v>17</v>
      </c>
    </row>
    <row r="754" spans="1:4">
      <c r="A754" s="66" t="s">
        <v>330</v>
      </c>
      <c r="B754" s="65">
        <v>88150</v>
      </c>
      <c r="C754" s="65">
        <v>85</v>
      </c>
      <c r="D754" s="65">
        <v>17</v>
      </c>
    </row>
    <row r="755" spans="1:4">
      <c r="A755" s="66" t="s">
        <v>390</v>
      </c>
      <c r="B755" s="65">
        <v>132826</v>
      </c>
      <c r="C755" s="65">
        <v>280</v>
      </c>
      <c r="D755" s="65">
        <v>17</v>
      </c>
    </row>
    <row r="756" spans="1:4">
      <c r="A756" s="66" t="s">
        <v>693</v>
      </c>
      <c r="B756" s="65">
        <v>100772</v>
      </c>
      <c r="C756" s="65">
        <v>315</v>
      </c>
      <c r="D756" s="65">
        <v>17</v>
      </c>
    </row>
    <row r="757" spans="1:4">
      <c r="A757" s="66" t="s">
        <v>736</v>
      </c>
      <c r="B757" s="65">
        <v>124911</v>
      </c>
      <c r="C757" s="65">
        <v>290</v>
      </c>
      <c r="D757" s="65">
        <v>17</v>
      </c>
    </row>
    <row r="758" spans="1:4">
      <c r="A758" s="66" t="s">
        <v>1565</v>
      </c>
      <c r="B758" s="65">
        <v>20401</v>
      </c>
      <c r="C758" s="65">
        <v>1400</v>
      </c>
      <c r="D758" s="65">
        <v>17</v>
      </c>
    </row>
    <row r="759" spans="1:4">
      <c r="A759" s="66" t="s">
        <v>1681</v>
      </c>
      <c r="B759" s="65">
        <v>109983</v>
      </c>
      <c r="C759" s="65">
        <v>780</v>
      </c>
      <c r="D759" s="65">
        <v>17</v>
      </c>
    </row>
    <row r="760" spans="1:4">
      <c r="A760" s="66" t="s">
        <v>1765</v>
      </c>
      <c r="B760" s="65">
        <v>321</v>
      </c>
      <c r="C760" s="65">
        <v>44</v>
      </c>
      <c r="D760" s="65">
        <v>17</v>
      </c>
    </row>
    <row r="761" spans="1:4">
      <c r="A761" s="66" t="s">
        <v>1604</v>
      </c>
      <c r="B761" s="65">
        <v>114045</v>
      </c>
      <c r="C761" s="65">
        <v>604</v>
      </c>
      <c r="D761" s="65">
        <v>17</v>
      </c>
    </row>
    <row r="762" spans="1:4">
      <c r="A762" s="66" t="s">
        <v>1461</v>
      </c>
      <c r="B762" s="65">
        <v>143143</v>
      </c>
      <c r="C762" s="65">
        <v>217</v>
      </c>
      <c r="D762" s="65">
        <v>17</v>
      </c>
    </row>
    <row r="763" spans="1:4">
      <c r="A763" s="66" t="s">
        <v>1835</v>
      </c>
      <c r="B763" s="65">
        <v>117</v>
      </c>
      <c r="C763" s="65">
        <v>167</v>
      </c>
      <c r="D763" s="65">
        <v>17</v>
      </c>
    </row>
    <row r="764" spans="1:4">
      <c r="A764" s="66" t="s">
        <v>2289</v>
      </c>
      <c r="B764" s="65">
        <v>31426</v>
      </c>
      <c r="C764" s="65">
        <v>220</v>
      </c>
      <c r="D764" s="65">
        <v>17</v>
      </c>
    </row>
    <row r="765" spans="1:4">
      <c r="A765" s="66" t="s">
        <v>2587</v>
      </c>
      <c r="B765" s="65">
        <v>31459</v>
      </c>
      <c r="C765" s="65">
        <v>475</v>
      </c>
      <c r="D765" s="65">
        <v>17</v>
      </c>
    </row>
    <row r="766" spans="1:4">
      <c r="A766" s="66" t="s">
        <v>2481</v>
      </c>
      <c r="B766" s="65">
        <v>65204</v>
      </c>
      <c r="C766" s="65">
        <v>59</v>
      </c>
      <c r="D766" s="65">
        <v>17</v>
      </c>
    </row>
    <row r="767" spans="1:4">
      <c r="A767" s="66" t="s">
        <v>2482</v>
      </c>
      <c r="B767" s="65">
        <v>112655</v>
      </c>
      <c r="C767" s="65">
        <v>128</v>
      </c>
      <c r="D767" s="65">
        <v>17</v>
      </c>
    </row>
    <row r="768" spans="1:4">
      <c r="A768" s="66" t="s">
        <v>2109</v>
      </c>
      <c r="B768" s="65">
        <v>14732</v>
      </c>
      <c r="C768" s="65">
        <v>224</v>
      </c>
      <c r="D768" s="65">
        <v>17</v>
      </c>
    </row>
    <row r="769" spans="1:4">
      <c r="A769" s="66" t="s">
        <v>2127</v>
      </c>
      <c r="B769" s="65">
        <v>119965</v>
      </c>
      <c r="C769" s="65">
        <v>67</v>
      </c>
      <c r="D769" s="65">
        <v>17</v>
      </c>
    </row>
    <row r="770" spans="1:4">
      <c r="A770" s="66" t="s">
        <v>2247</v>
      </c>
      <c r="B770" s="65">
        <v>57665</v>
      </c>
      <c r="C770" s="65">
        <v>113</v>
      </c>
      <c r="D770" s="65">
        <v>17</v>
      </c>
    </row>
    <row r="771" spans="1:4">
      <c r="A771" s="66" t="s">
        <v>2412</v>
      </c>
      <c r="B771" s="65">
        <v>173498</v>
      </c>
      <c r="C771" s="65">
        <v>119</v>
      </c>
      <c r="D771" s="65">
        <v>17</v>
      </c>
    </row>
    <row r="772" spans="1:4">
      <c r="A772" s="66" t="s">
        <v>2538</v>
      </c>
      <c r="B772" s="65">
        <v>113472</v>
      </c>
      <c r="C772" s="65">
        <v>160</v>
      </c>
      <c r="D772" s="65">
        <v>17</v>
      </c>
    </row>
    <row r="773" spans="1:4">
      <c r="A773" s="66" t="s">
        <v>2326</v>
      </c>
      <c r="B773" s="65">
        <v>62297</v>
      </c>
      <c r="C773" s="65">
        <v>40</v>
      </c>
      <c r="D773" s="65">
        <v>17</v>
      </c>
    </row>
    <row r="774" spans="1:4">
      <c r="A774" s="66" t="s">
        <v>2436</v>
      </c>
      <c r="B774" s="65">
        <v>8319</v>
      </c>
      <c r="C774" s="65">
        <v>322</v>
      </c>
      <c r="D774" s="65">
        <v>17</v>
      </c>
    </row>
    <row r="775" spans="1:4">
      <c r="A775" s="66" t="s">
        <v>2176</v>
      </c>
      <c r="B775" s="65">
        <v>23533</v>
      </c>
      <c r="C775" s="65">
        <v>64</v>
      </c>
      <c r="D775" s="65">
        <v>17</v>
      </c>
    </row>
    <row r="776" spans="1:4">
      <c r="A776" s="66" t="s">
        <v>2153</v>
      </c>
      <c r="B776" s="65">
        <v>9803</v>
      </c>
      <c r="C776" s="65">
        <v>181</v>
      </c>
      <c r="D776" s="65">
        <v>17</v>
      </c>
    </row>
    <row r="777" spans="1:4">
      <c r="A777" s="66" t="s">
        <v>238</v>
      </c>
      <c r="B777" s="65">
        <v>74434</v>
      </c>
      <c r="C777" s="65">
        <v>858</v>
      </c>
      <c r="D777" s="65">
        <v>16</v>
      </c>
    </row>
    <row r="778" spans="1:4">
      <c r="A778" s="66" t="s">
        <v>10</v>
      </c>
      <c r="B778" s="65">
        <v>131496</v>
      </c>
      <c r="C778" s="65">
        <v>108</v>
      </c>
      <c r="D778" s="65">
        <v>16</v>
      </c>
    </row>
    <row r="779" spans="1:4">
      <c r="A779" s="66" t="s">
        <v>480</v>
      </c>
      <c r="B779" s="65">
        <v>35193</v>
      </c>
      <c r="C779" s="65">
        <v>34</v>
      </c>
      <c r="D779" s="65">
        <v>16</v>
      </c>
    </row>
    <row r="780" spans="1:4">
      <c r="A780" s="66" t="s">
        <v>350</v>
      </c>
      <c r="B780" s="65">
        <v>140189</v>
      </c>
      <c r="C780" s="65">
        <v>104</v>
      </c>
      <c r="D780" s="65">
        <v>16</v>
      </c>
    </row>
    <row r="781" spans="1:4">
      <c r="A781" s="66" t="s">
        <v>74</v>
      </c>
      <c r="B781" s="65">
        <v>107015</v>
      </c>
      <c r="C781" s="65">
        <v>30</v>
      </c>
      <c r="D781" s="65">
        <v>16</v>
      </c>
    </row>
    <row r="782" spans="1:4">
      <c r="A782" s="66" t="s">
        <v>419</v>
      </c>
      <c r="B782" s="65">
        <v>86906</v>
      </c>
      <c r="C782" s="65">
        <v>57</v>
      </c>
      <c r="D782" s="65">
        <v>16</v>
      </c>
    </row>
    <row r="783" spans="1:4">
      <c r="A783" s="66" t="s">
        <v>1145</v>
      </c>
      <c r="B783" s="65">
        <v>35297</v>
      </c>
      <c r="C783" s="65">
        <v>334</v>
      </c>
      <c r="D783" s="65">
        <v>16</v>
      </c>
    </row>
    <row r="784" spans="1:4">
      <c r="A784" s="66" t="s">
        <v>1211</v>
      </c>
      <c r="B784" s="65">
        <v>63167</v>
      </c>
      <c r="C784" s="65">
        <v>170</v>
      </c>
      <c r="D784" s="65">
        <v>16</v>
      </c>
    </row>
    <row r="785" spans="1:4">
      <c r="A785" s="66" t="s">
        <v>1063</v>
      </c>
      <c r="B785" s="65">
        <v>224436</v>
      </c>
      <c r="C785" s="65">
        <v>365</v>
      </c>
      <c r="D785" s="65">
        <v>16</v>
      </c>
    </row>
    <row r="786" spans="1:4">
      <c r="A786" s="66" t="s">
        <v>1016</v>
      </c>
      <c r="B786" s="65">
        <v>132710</v>
      </c>
      <c r="C786" s="65">
        <v>58</v>
      </c>
      <c r="D786" s="65">
        <v>16</v>
      </c>
    </row>
    <row r="787" spans="1:4">
      <c r="A787" s="66" t="s">
        <v>761</v>
      </c>
      <c r="B787" s="65">
        <v>101265</v>
      </c>
      <c r="C787" s="65">
        <v>564</v>
      </c>
      <c r="D787" s="65">
        <v>16</v>
      </c>
    </row>
    <row r="788" spans="1:4">
      <c r="A788" s="66" t="s">
        <v>681</v>
      </c>
      <c r="B788" s="65">
        <v>97210</v>
      </c>
      <c r="C788" s="65">
        <v>46</v>
      </c>
      <c r="D788" s="65">
        <v>16</v>
      </c>
    </row>
    <row r="789" spans="1:4">
      <c r="A789" s="66" t="s">
        <v>1791</v>
      </c>
      <c r="B789" s="65">
        <v>124756</v>
      </c>
      <c r="C789" s="65">
        <v>1350</v>
      </c>
      <c r="D789" s="65">
        <v>16</v>
      </c>
    </row>
    <row r="790" spans="1:4">
      <c r="A790" s="66" t="s">
        <v>2487</v>
      </c>
      <c r="B790" s="65">
        <v>114768</v>
      </c>
      <c r="C790" s="65">
        <v>360</v>
      </c>
      <c r="D790" s="65">
        <v>16</v>
      </c>
    </row>
    <row r="791" spans="1:4">
      <c r="A791" s="66" t="s">
        <v>2219</v>
      </c>
      <c r="B791" s="65">
        <v>61494</v>
      </c>
      <c r="C791" s="65">
        <v>350</v>
      </c>
      <c r="D791" s="65">
        <v>16</v>
      </c>
    </row>
    <row r="792" spans="1:4">
      <c r="A792" s="66" t="s">
        <v>2431</v>
      </c>
      <c r="B792" s="65">
        <v>136451</v>
      </c>
      <c r="C792" s="65">
        <v>83</v>
      </c>
      <c r="D792" s="65">
        <v>16</v>
      </c>
    </row>
    <row r="793" spans="1:4">
      <c r="A793" s="66" t="s">
        <v>2069</v>
      </c>
      <c r="B793" s="65">
        <v>74060</v>
      </c>
      <c r="C793" s="65">
        <v>33</v>
      </c>
      <c r="D793" s="65">
        <v>16</v>
      </c>
    </row>
    <row r="794" spans="1:4">
      <c r="A794" s="66" t="s">
        <v>129</v>
      </c>
      <c r="B794" s="65">
        <v>12778</v>
      </c>
      <c r="C794" s="65">
        <v>340</v>
      </c>
      <c r="D794" s="65">
        <v>15</v>
      </c>
    </row>
    <row r="795" spans="1:4">
      <c r="A795" s="66" t="s">
        <v>7</v>
      </c>
      <c r="B795" s="65">
        <v>156308</v>
      </c>
      <c r="C795" s="65">
        <v>111</v>
      </c>
      <c r="D795" s="65">
        <v>15</v>
      </c>
    </row>
    <row r="796" spans="1:4">
      <c r="A796" s="66" t="s">
        <v>366</v>
      </c>
      <c r="B796" s="65">
        <v>27577</v>
      </c>
      <c r="C796" s="65">
        <v>800</v>
      </c>
      <c r="D796" s="65">
        <v>15</v>
      </c>
    </row>
    <row r="797" spans="1:4">
      <c r="A797" s="66" t="s">
        <v>345</v>
      </c>
      <c r="B797" s="65">
        <v>223313</v>
      </c>
      <c r="C797" s="65">
        <v>1417</v>
      </c>
      <c r="D797" s="65">
        <v>15</v>
      </c>
    </row>
    <row r="798" spans="1:4">
      <c r="A798" s="66" t="s">
        <v>342</v>
      </c>
      <c r="B798" s="65">
        <v>35294</v>
      </c>
      <c r="C798" s="65">
        <v>163</v>
      </c>
      <c r="D798" s="65">
        <v>15</v>
      </c>
    </row>
    <row r="799" spans="1:4">
      <c r="A799" s="66" t="s">
        <v>341</v>
      </c>
      <c r="B799" s="65">
        <v>177436</v>
      </c>
      <c r="C799" s="65">
        <v>121</v>
      </c>
      <c r="D799" s="65">
        <v>15</v>
      </c>
    </row>
    <row r="800" spans="1:4">
      <c r="A800" s="66" t="s">
        <v>452</v>
      </c>
      <c r="B800" s="65">
        <v>97690</v>
      </c>
      <c r="C800" s="65">
        <v>140</v>
      </c>
      <c r="D800" s="65">
        <v>15</v>
      </c>
    </row>
    <row r="801" spans="1:4">
      <c r="A801" s="66" t="s">
        <v>65</v>
      </c>
      <c r="B801" s="65">
        <v>124785</v>
      </c>
      <c r="C801" s="65">
        <v>1520</v>
      </c>
      <c r="D801" s="65">
        <v>15</v>
      </c>
    </row>
    <row r="802" spans="1:4">
      <c r="A802" s="66" t="s">
        <v>271</v>
      </c>
      <c r="B802" s="65">
        <v>113391</v>
      </c>
      <c r="C802" s="65">
        <v>2200</v>
      </c>
      <c r="D802" s="65">
        <v>15</v>
      </c>
    </row>
    <row r="803" spans="1:4">
      <c r="A803" s="66" t="s">
        <v>102</v>
      </c>
      <c r="B803" s="65">
        <v>96352</v>
      </c>
      <c r="C803" s="65">
        <v>42</v>
      </c>
      <c r="D803" s="65">
        <v>15</v>
      </c>
    </row>
    <row r="804" spans="1:4">
      <c r="A804" s="66" t="s">
        <v>211</v>
      </c>
      <c r="B804" s="65">
        <v>160375</v>
      </c>
      <c r="C804" s="65">
        <v>1086</v>
      </c>
      <c r="D804" s="65">
        <v>15</v>
      </c>
    </row>
    <row r="805" spans="1:4">
      <c r="A805" s="66" t="s">
        <v>417</v>
      </c>
      <c r="B805" s="65">
        <v>155719</v>
      </c>
      <c r="C805" s="65">
        <v>2750</v>
      </c>
      <c r="D805" s="65">
        <v>15</v>
      </c>
    </row>
    <row r="806" spans="1:4">
      <c r="A806" s="66" t="s">
        <v>639</v>
      </c>
      <c r="B806" s="65">
        <v>94371</v>
      </c>
      <c r="C806" s="65">
        <v>35</v>
      </c>
      <c r="D806" s="65">
        <v>15</v>
      </c>
    </row>
    <row r="807" spans="1:4">
      <c r="A807" s="66" t="s">
        <v>986</v>
      </c>
      <c r="B807" s="65">
        <v>20673</v>
      </c>
      <c r="C807" s="65">
        <v>250</v>
      </c>
      <c r="D807" s="65">
        <v>15</v>
      </c>
    </row>
    <row r="808" spans="1:4">
      <c r="A808" s="66" t="s">
        <v>1273</v>
      </c>
      <c r="B808" s="65">
        <v>18486</v>
      </c>
      <c r="C808" s="65">
        <v>173</v>
      </c>
      <c r="D808" s="65">
        <v>15</v>
      </c>
    </row>
    <row r="809" spans="1:4">
      <c r="A809" s="66" t="s">
        <v>1278</v>
      </c>
      <c r="B809" s="65">
        <v>126101</v>
      </c>
      <c r="C809" s="65">
        <v>62</v>
      </c>
      <c r="D809" s="65">
        <v>15</v>
      </c>
    </row>
    <row r="810" spans="1:4">
      <c r="A810" s="66" t="s">
        <v>1072</v>
      </c>
      <c r="B810" s="65">
        <v>201</v>
      </c>
      <c r="C810" s="65">
        <v>24501</v>
      </c>
      <c r="D810" s="65">
        <v>15</v>
      </c>
    </row>
    <row r="811" spans="1:4">
      <c r="A811" s="66" t="s">
        <v>957</v>
      </c>
      <c r="B811" s="65">
        <v>89154</v>
      </c>
      <c r="C811" s="65">
        <v>162</v>
      </c>
      <c r="D811" s="65">
        <v>15</v>
      </c>
    </row>
    <row r="812" spans="1:4">
      <c r="A812" s="66" t="s">
        <v>2636</v>
      </c>
      <c r="B812" s="65">
        <v>86223</v>
      </c>
      <c r="C812" s="65">
        <v>3100</v>
      </c>
      <c r="D812" s="65">
        <v>15</v>
      </c>
    </row>
    <row r="813" spans="1:4">
      <c r="A813" s="66" t="s">
        <v>981</v>
      </c>
      <c r="B813" s="65">
        <v>84798</v>
      </c>
      <c r="C813" s="65">
        <v>137</v>
      </c>
      <c r="D813" s="65">
        <v>15</v>
      </c>
    </row>
    <row r="814" spans="1:4">
      <c r="A814" s="66" t="s">
        <v>1218</v>
      </c>
      <c r="B814" s="65">
        <v>14034</v>
      </c>
      <c r="C814" s="65">
        <v>79</v>
      </c>
      <c r="D814" s="65">
        <v>15</v>
      </c>
    </row>
    <row r="815" spans="1:4">
      <c r="A815" s="66" t="s">
        <v>885</v>
      </c>
      <c r="B815" s="65">
        <v>110815</v>
      </c>
      <c r="C815" s="65">
        <v>58</v>
      </c>
      <c r="D815" s="65">
        <v>15</v>
      </c>
    </row>
    <row r="816" spans="1:4">
      <c r="A816" s="66" t="s">
        <v>1671</v>
      </c>
      <c r="B816" s="65">
        <v>16975</v>
      </c>
      <c r="C816" s="65">
        <v>228</v>
      </c>
      <c r="D816" s="65">
        <v>15</v>
      </c>
    </row>
    <row r="817" spans="1:4">
      <c r="A817" s="66" t="s">
        <v>1393</v>
      </c>
      <c r="B817" s="65">
        <v>94360</v>
      </c>
      <c r="C817" s="65">
        <v>31</v>
      </c>
      <c r="D817" s="65">
        <v>15</v>
      </c>
    </row>
    <row r="818" spans="1:4">
      <c r="A818" s="66" t="s">
        <v>1493</v>
      </c>
      <c r="B818" s="65">
        <v>1479</v>
      </c>
      <c r="C818" s="65">
        <v>250</v>
      </c>
      <c r="D818" s="65">
        <v>15</v>
      </c>
    </row>
    <row r="819" spans="1:4">
      <c r="A819" s="66" t="s">
        <v>1592</v>
      </c>
      <c r="B819" s="65">
        <v>129780</v>
      </c>
      <c r="C819" s="65">
        <v>1150</v>
      </c>
      <c r="D819" s="65">
        <v>15</v>
      </c>
    </row>
    <row r="820" spans="1:4">
      <c r="A820" s="66" t="s">
        <v>2499</v>
      </c>
      <c r="B820" s="65">
        <v>157797</v>
      </c>
      <c r="C820" s="65">
        <v>252</v>
      </c>
      <c r="D820" s="65">
        <v>15</v>
      </c>
    </row>
    <row r="821" spans="1:4">
      <c r="A821" s="66" t="s">
        <v>2561</v>
      </c>
      <c r="B821" s="65">
        <v>135400</v>
      </c>
      <c r="C821" s="65">
        <v>140</v>
      </c>
      <c r="D821" s="65">
        <v>15</v>
      </c>
    </row>
    <row r="822" spans="1:4">
      <c r="A822" s="66" t="s">
        <v>2464</v>
      </c>
      <c r="B822" s="65">
        <v>695</v>
      </c>
      <c r="C822" s="65">
        <v>168</v>
      </c>
      <c r="D822" s="65">
        <v>15</v>
      </c>
    </row>
    <row r="823" spans="1:4">
      <c r="A823" s="66" t="s">
        <v>2479</v>
      </c>
      <c r="B823" s="65">
        <v>124936</v>
      </c>
      <c r="C823" s="65">
        <v>140</v>
      </c>
      <c r="D823" s="65">
        <v>15</v>
      </c>
    </row>
    <row r="824" spans="1:4">
      <c r="A824" s="66" t="s">
        <v>2062</v>
      </c>
      <c r="B824" s="65">
        <v>120175</v>
      </c>
      <c r="C824" s="65">
        <v>57</v>
      </c>
      <c r="D824" s="65">
        <v>15</v>
      </c>
    </row>
    <row r="825" spans="1:4">
      <c r="A825" s="66" t="s">
        <v>2013</v>
      </c>
      <c r="B825" s="65">
        <v>37944</v>
      </c>
      <c r="C825" s="65">
        <v>115</v>
      </c>
      <c r="D825" s="65">
        <v>15</v>
      </c>
    </row>
    <row r="826" spans="1:4">
      <c r="A826" s="66" t="s">
        <v>2256</v>
      </c>
      <c r="B826" s="65">
        <v>61368</v>
      </c>
      <c r="C826" s="65">
        <v>456</v>
      </c>
      <c r="D826" s="65">
        <v>15</v>
      </c>
    </row>
    <row r="827" spans="1:4">
      <c r="A827" s="66" t="s">
        <v>2294</v>
      </c>
      <c r="B827" s="65">
        <v>35156</v>
      </c>
      <c r="C827" s="65">
        <v>260</v>
      </c>
      <c r="D827" s="65">
        <v>15</v>
      </c>
    </row>
    <row r="828" spans="1:4">
      <c r="A828" s="66" t="s">
        <v>2321</v>
      </c>
      <c r="B828" s="65">
        <v>136457</v>
      </c>
      <c r="C828" s="65">
        <v>113</v>
      </c>
      <c r="D828" s="65">
        <v>15</v>
      </c>
    </row>
    <row r="829" spans="1:4">
      <c r="A829" s="66" t="s">
        <v>1977</v>
      </c>
      <c r="B829" s="65">
        <v>117127</v>
      </c>
      <c r="C829" s="65">
        <v>106</v>
      </c>
      <c r="D829" s="65">
        <v>15</v>
      </c>
    </row>
    <row r="830" spans="1:4">
      <c r="A830" s="66" t="s">
        <v>135</v>
      </c>
      <c r="B830" s="65">
        <v>101738</v>
      </c>
      <c r="C830" s="65">
        <v>56</v>
      </c>
      <c r="D830" s="65">
        <v>14</v>
      </c>
    </row>
    <row r="831" spans="1:4">
      <c r="A831" s="66" t="s">
        <v>234</v>
      </c>
      <c r="B831" s="65">
        <v>118443</v>
      </c>
      <c r="C831" s="65">
        <v>102</v>
      </c>
      <c r="D831" s="65">
        <v>14</v>
      </c>
    </row>
    <row r="832" spans="1:4">
      <c r="A832" s="66" t="s">
        <v>230</v>
      </c>
      <c r="B832" s="65">
        <v>116906</v>
      </c>
      <c r="C832" s="65">
        <v>264</v>
      </c>
      <c r="D832" s="65">
        <v>14</v>
      </c>
    </row>
    <row r="833" spans="1:4">
      <c r="A833" s="66" t="s">
        <v>12</v>
      </c>
      <c r="B833" s="65">
        <v>132831</v>
      </c>
      <c r="C833" s="65">
        <v>320</v>
      </c>
      <c r="D833" s="65">
        <v>14</v>
      </c>
    </row>
    <row r="834" spans="1:4">
      <c r="A834" s="66" t="s">
        <v>11</v>
      </c>
      <c r="B834" s="65">
        <v>132703</v>
      </c>
      <c r="C834" s="65">
        <v>150</v>
      </c>
      <c r="D834" s="65">
        <v>14</v>
      </c>
    </row>
    <row r="835" spans="1:4">
      <c r="A835" s="66" t="s">
        <v>114</v>
      </c>
      <c r="B835" s="65">
        <v>142657</v>
      </c>
      <c r="C835" s="65">
        <v>132</v>
      </c>
      <c r="D835" s="65">
        <v>14</v>
      </c>
    </row>
    <row r="836" spans="1:4">
      <c r="A836" s="66" t="s">
        <v>578</v>
      </c>
      <c r="B836" s="65">
        <v>726</v>
      </c>
      <c r="C836" s="65">
        <v>150</v>
      </c>
      <c r="D836" s="65">
        <v>14</v>
      </c>
    </row>
    <row r="837" spans="1:4">
      <c r="A837" s="66" t="s">
        <v>96</v>
      </c>
      <c r="B837" s="65">
        <v>28740</v>
      </c>
      <c r="C837" s="65">
        <v>135</v>
      </c>
      <c r="D837" s="65">
        <v>14</v>
      </c>
    </row>
    <row r="838" spans="1:4">
      <c r="A838" s="66" t="s">
        <v>99</v>
      </c>
      <c r="B838" s="65">
        <v>59405</v>
      </c>
      <c r="C838" s="65">
        <v>8800</v>
      </c>
      <c r="D838" s="65">
        <v>14</v>
      </c>
    </row>
    <row r="839" spans="1:4">
      <c r="A839" s="66" t="s">
        <v>100</v>
      </c>
      <c r="B839" s="65">
        <v>63938</v>
      </c>
      <c r="C839" s="65">
        <v>363</v>
      </c>
      <c r="D839" s="65">
        <v>14</v>
      </c>
    </row>
    <row r="840" spans="1:4">
      <c r="A840" s="66" t="s">
        <v>161</v>
      </c>
      <c r="B840" s="65">
        <v>1814</v>
      </c>
      <c r="C840" s="65">
        <v>424</v>
      </c>
      <c r="D840" s="65">
        <v>14</v>
      </c>
    </row>
    <row r="841" spans="1:4">
      <c r="A841" s="66" t="s">
        <v>90</v>
      </c>
      <c r="B841" s="65">
        <v>111475</v>
      </c>
      <c r="C841" s="65">
        <v>62</v>
      </c>
      <c r="D841" s="65">
        <v>14</v>
      </c>
    </row>
    <row r="842" spans="1:4">
      <c r="A842" s="66" t="s">
        <v>648</v>
      </c>
      <c r="B842" s="65">
        <v>24478</v>
      </c>
      <c r="C842" s="65">
        <v>1300</v>
      </c>
      <c r="D842" s="65">
        <v>14</v>
      </c>
    </row>
    <row r="843" spans="1:4">
      <c r="A843" s="66" t="s">
        <v>529</v>
      </c>
      <c r="B843" s="65">
        <v>94726</v>
      </c>
      <c r="C843" s="65">
        <v>32</v>
      </c>
      <c r="D843" s="65">
        <v>14</v>
      </c>
    </row>
    <row r="844" spans="1:4">
      <c r="A844" s="66" t="s">
        <v>602</v>
      </c>
      <c r="B844" s="65">
        <v>113394</v>
      </c>
      <c r="C844" s="65">
        <v>47</v>
      </c>
      <c r="D844" s="65">
        <v>14</v>
      </c>
    </row>
    <row r="845" spans="1:4">
      <c r="A845" s="66" t="s">
        <v>1148</v>
      </c>
      <c r="B845" s="65">
        <v>9438</v>
      </c>
      <c r="C845" s="65">
        <v>74</v>
      </c>
      <c r="D845" s="65">
        <v>14</v>
      </c>
    </row>
    <row r="846" spans="1:4">
      <c r="A846" s="66" t="s">
        <v>800</v>
      </c>
      <c r="B846" s="65">
        <v>73353</v>
      </c>
      <c r="C846" s="65">
        <v>140</v>
      </c>
      <c r="D846" s="65">
        <v>14</v>
      </c>
    </row>
    <row r="847" spans="1:4">
      <c r="A847" s="66" t="s">
        <v>943</v>
      </c>
      <c r="B847" s="65">
        <v>134825</v>
      </c>
      <c r="C847" s="65">
        <v>50</v>
      </c>
      <c r="D847" s="65">
        <v>14</v>
      </c>
    </row>
    <row r="848" spans="1:4">
      <c r="A848" s="66" t="s">
        <v>1094</v>
      </c>
      <c r="B848" s="65">
        <v>2693</v>
      </c>
      <c r="C848" s="65">
        <v>156</v>
      </c>
      <c r="D848" s="65">
        <v>14</v>
      </c>
    </row>
    <row r="849" spans="1:4">
      <c r="A849" s="66" t="s">
        <v>1027</v>
      </c>
      <c r="B849" s="65">
        <v>138843</v>
      </c>
      <c r="C849" s="65">
        <v>300</v>
      </c>
      <c r="D849" s="65">
        <v>14</v>
      </c>
    </row>
    <row r="850" spans="1:4">
      <c r="A850" s="66" t="s">
        <v>869</v>
      </c>
      <c r="B850" s="65">
        <v>117155</v>
      </c>
      <c r="C850" s="65">
        <v>87</v>
      </c>
      <c r="D850" s="65">
        <v>14</v>
      </c>
    </row>
    <row r="851" spans="1:4">
      <c r="A851" s="66" t="s">
        <v>749</v>
      </c>
      <c r="B851" s="65">
        <v>222</v>
      </c>
      <c r="C851" s="65">
        <v>37</v>
      </c>
      <c r="D851" s="65">
        <v>14</v>
      </c>
    </row>
    <row r="852" spans="1:4">
      <c r="A852" s="66" t="s">
        <v>848</v>
      </c>
      <c r="B852" s="65">
        <v>6833</v>
      </c>
      <c r="C852" s="65">
        <v>151</v>
      </c>
      <c r="D852" s="65">
        <v>14</v>
      </c>
    </row>
    <row r="853" spans="1:4">
      <c r="A853" s="66" t="s">
        <v>873</v>
      </c>
      <c r="B853" s="65">
        <v>100731</v>
      </c>
      <c r="C853" s="65">
        <v>50</v>
      </c>
      <c r="D853" s="65">
        <v>14</v>
      </c>
    </row>
    <row r="854" spans="1:4">
      <c r="A854" s="66" t="s">
        <v>1351</v>
      </c>
      <c r="B854" s="65">
        <v>17386</v>
      </c>
      <c r="C854" s="65">
        <v>38</v>
      </c>
      <c r="D854" s="65">
        <v>14</v>
      </c>
    </row>
    <row r="855" spans="1:4">
      <c r="A855" s="66" t="s">
        <v>1794</v>
      </c>
      <c r="B855" s="65">
        <v>108318</v>
      </c>
      <c r="C855" s="65">
        <v>238</v>
      </c>
      <c r="D855" s="65">
        <v>14</v>
      </c>
    </row>
    <row r="856" spans="1:4">
      <c r="A856" s="66" t="s">
        <v>1897</v>
      </c>
      <c r="B856" s="65">
        <v>8831</v>
      </c>
      <c r="C856" s="65">
        <v>151</v>
      </c>
      <c r="D856" s="65">
        <v>14</v>
      </c>
    </row>
    <row r="857" spans="1:4">
      <c r="A857" s="66" t="s">
        <v>1875</v>
      </c>
      <c r="B857" s="65">
        <v>114380</v>
      </c>
      <c r="C857" s="65">
        <v>220</v>
      </c>
      <c r="D857" s="65">
        <v>14</v>
      </c>
    </row>
    <row r="858" spans="1:4">
      <c r="A858" s="66" t="s">
        <v>1465</v>
      </c>
      <c r="B858" s="65">
        <v>156271</v>
      </c>
      <c r="C858" s="65">
        <v>22</v>
      </c>
      <c r="D858" s="65">
        <v>14</v>
      </c>
    </row>
    <row r="859" spans="1:4">
      <c r="A859" s="66" t="s">
        <v>1954</v>
      </c>
      <c r="B859" s="65">
        <v>108485</v>
      </c>
      <c r="C859" s="65">
        <v>72</v>
      </c>
      <c r="D859" s="65">
        <v>14</v>
      </c>
    </row>
    <row r="860" spans="1:4">
      <c r="A860" s="66" t="s">
        <v>2339</v>
      </c>
      <c r="B860" s="65">
        <v>74068</v>
      </c>
      <c r="C860" s="65">
        <v>316</v>
      </c>
      <c r="D860" s="65">
        <v>14</v>
      </c>
    </row>
    <row r="861" spans="1:4">
      <c r="A861" s="66" t="s">
        <v>2273</v>
      </c>
      <c r="B861" s="65">
        <v>5425</v>
      </c>
      <c r="C861" s="65">
        <v>6300</v>
      </c>
      <c r="D861" s="65">
        <v>14</v>
      </c>
    </row>
    <row r="862" spans="1:4">
      <c r="A862" s="66" t="s">
        <v>372</v>
      </c>
      <c r="B862" s="65">
        <v>39529</v>
      </c>
      <c r="C862" s="65">
        <v>530</v>
      </c>
      <c r="D862" s="65">
        <v>13</v>
      </c>
    </row>
    <row r="863" spans="1:4">
      <c r="A863" s="66" t="s">
        <v>570</v>
      </c>
      <c r="B863" s="65">
        <v>6270</v>
      </c>
      <c r="C863" s="65">
        <v>67</v>
      </c>
      <c r="D863" s="65">
        <v>13</v>
      </c>
    </row>
    <row r="864" spans="1:4">
      <c r="A864" s="66" t="s">
        <v>78</v>
      </c>
      <c r="B864" s="65">
        <v>2489</v>
      </c>
      <c r="C864" s="65">
        <v>479</v>
      </c>
      <c r="D864" s="65">
        <v>13</v>
      </c>
    </row>
    <row r="865" spans="1:4">
      <c r="A865" s="66" t="s">
        <v>284</v>
      </c>
      <c r="B865" s="65">
        <v>5308</v>
      </c>
      <c r="C865" s="65">
        <v>107</v>
      </c>
      <c r="D865" s="65">
        <v>13</v>
      </c>
    </row>
    <row r="866" spans="1:4">
      <c r="A866" s="66" t="s">
        <v>303</v>
      </c>
      <c r="B866" s="65">
        <v>101391</v>
      </c>
      <c r="C866" s="65">
        <v>24</v>
      </c>
      <c r="D866" s="65">
        <v>13</v>
      </c>
    </row>
    <row r="867" spans="1:4">
      <c r="A867" s="66" t="s">
        <v>209</v>
      </c>
      <c r="B867" s="65">
        <v>94823</v>
      </c>
      <c r="C867" s="65">
        <v>152</v>
      </c>
      <c r="D867" s="65">
        <v>13</v>
      </c>
    </row>
    <row r="868" spans="1:4">
      <c r="A868" s="66" t="s">
        <v>448</v>
      </c>
      <c r="B868" s="65">
        <v>306</v>
      </c>
      <c r="C868" s="65">
        <v>28</v>
      </c>
      <c r="D868" s="65">
        <v>13</v>
      </c>
    </row>
    <row r="869" spans="1:4">
      <c r="A869" s="66" t="s">
        <v>531</v>
      </c>
      <c r="B869" s="65">
        <v>33299</v>
      </c>
      <c r="C869" s="65">
        <v>105</v>
      </c>
      <c r="D869" s="65">
        <v>13</v>
      </c>
    </row>
    <row r="870" spans="1:4">
      <c r="A870" s="66" t="s">
        <v>388</v>
      </c>
      <c r="B870" s="65">
        <v>178520</v>
      </c>
      <c r="C870" s="65">
        <v>147</v>
      </c>
      <c r="D870" s="65">
        <v>13</v>
      </c>
    </row>
    <row r="871" spans="1:4">
      <c r="A871" s="66" t="s">
        <v>603</v>
      </c>
      <c r="B871" s="65">
        <v>39527</v>
      </c>
      <c r="C871" s="65">
        <v>540</v>
      </c>
      <c r="D871" s="65">
        <v>13</v>
      </c>
    </row>
    <row r="872" spans="1:4">
      <c r="A872" s="66" t="s">
        <v>1213</v>
      </c>
      <c r="B872" s="65">
        <v>59362</v>
      </c>
      <c r="C872" s="65">
        <v>60</v>
      </c>
      <c r="D872" s="65">
        <v>13</v>
      </c>
    </row>
    <row r="873" spans="1:4">
      <c r="A873" s="66" t="s">
        <v>1041</v>
      </c>
      <c r="B873" s="65">
        <v>136384</v>
      </c>
      <c r="C873" s="65">
        <v>195</v>
      </c>
      <c r="D873" s="65">
        <v>13</v>
      </c>
    </row>
    <row r="874" spans="1:4">
      <c r="A874" s="66" t="s">
        <v>1164</v>
      </c>
      <c r="B874" s="65">
        <v>129688</v>
      </c>
      <c r="C874" s="65">
        <v>264</v>
      </c>
      <c r="D874" s="65">
        <v>13</v>
      </c>
    </row>
    <row r="875" spans="1:4">
      <c r="A875" s="66" t="s">
        <v>1183</v>
      </c>
      <c r="B875" s="65">
        <v>129747</v>
      </c>
      <c r="C875" s="65">
        <v>200</v>
      </c>
      <c r="D875" s="65">
        <v>13</v>
      </c>
    </row>
    <row r="876" spans="1:4">
      <c r="A876" s="66" t="s">
        <v>973</v>
      </c>
      <c r="B876" s="65">
        <v>9733</v>
      </c>
      <c r="C876" s="65">
        <v>322</v>
      </c>
      <c r="D876" s="65">
        <v>13</v>
      </c>
    </row>
    <row r="877" spans="1:4">
      <c r="A877" s="66" t="s">
        <v>1080</v>
      </c>
      <c r="B877" s="65">
        <v>477</v>
      </c>
      <c r="C877" s="65">
        <v>57</v>
      </c>
      <c r="D877" s="65">
        <v>13</v>
      </c>
    </row>
    <row r="878" spans="1:4">
      <c r="A878" s="66" t="s">
        <v>762</v>
      </c>
      <c r="B878" s="65">
        <v>101249</v>
      </c>
      <c r="C878" s="65">
        <v>178</v>
      </c>
      <c r="D878" s="65">
        <v>13</v>
      </c>
    </row>
    <row r="879" spans="1:4">
      <c r="A879" s="66" t="s">
        <v>895</v>
      </c>
      <c r="B879" s="65">
        <v>137403</v>
      </c>
      <c r="C879" s="65">
        <v>54</v>
      </c>
      <c r="D879" s="65">
        <v>13</v>
      </c>
    </row>
    <row r="880" spans="1:4">
      <c r="A880" s="66" t="s">
        <v>1452</v>
      </c>
      <c r="B880" s="65">
        <v>121231</v>
      </c>
      <c r="C880" s="65">
        <v>2650</v>
      </c>
      <c r="D880" s="65">
        <v>13</v>
      </c>
    </row>
    <row r="881" spans="1:4">
      <c r="A881" s="66" t="s">
        <v>1674</v>
      </c>
      <c r="B881" s="65">
        <v>8447</v>
      </c>
      <c r="C881" s="65">
        <v>45</v>
      </c>
      <c r="D881" s="65">
        <v>13</v>
      </c>
    </row>
    <row r="882" spans="1:4">
      <c r="A882" s="66" t="s">
        <v>1764</v>
      </c>
      <c r="B882" s="65">
        <v>13541</v>
      </c>
      <c r="C882" s="65">
        <v>61</v>
      </c>
      <c r="D882" s="65">
        <v>13</v>
      </c>
    </row>
    <row r="883" spans="1:4">
      <c r="A883" s="66" t="s">
        <v>1492</v>
      </c>
      <c r="B883" s="65">
        <v>137969</v>
      </c>
      <c r="C883" s="65">
        <v>25</v>
      </c>
      <c r="D883" s="65">
        <v>13</v>
      </c>
    </row>
    <row r="884" spans="1:4">
      <c r="A884" s="66" t="s">
        <v>1591</v>
      </c>
      <c r="B884" s="65">
        <v>130184</v>
      </c>
      <c r="C884" s="65">
        <v>1500</v>
      </c>
      <c r="D884" s="65">
        <v>13</v>
      </c>
    </row>
    <row r="885" spans="1:4">
      <c r="A885" s="66" t="s">
        <v>1915</v>
      </c>
      <c r="B885" s="65">
        <v>5837</v>
      </c>
      <c r="C885" s="65">
        <v>720</v>
      </c>
      <c r="D885" s="65">
        <v>13</v>
      </c>
    </row>
    <row r="886" spans="1:4">
      <c r="A886" s="66" t="s">
        <v>2264</v>
      </c>
      <c r="B886" s="65">
        <v>157617</v>
      </c>
      <c r="C886" s="65">
        <v>37</v>
      </c>
      <c r="D886" s="65">
        <v>13</v>
      </c>
    </row>
    <row r="887" spans="1:4">
      <c r="A887" s="66" t="s">
        <v>2265</v>
      </c>
      <c r="B887" s="65">
        <v>20676</v>
      </c>
      <c r="C887" s="65">
        <v>100</v>
      </c>
      <c r="D887" s="65">
        <v>13</v>
      </c>
    </row>
    <row r="888" spans="1:4">
      <c r="A888" s="66" t="s">
        <v>2173</v>
      </c>
      <c r="B888" s="65">
        <v>35267</v>
      </c>
      <c r="C888" s="65">
        <v>50</v>
      </c>
      <c r="D888" s="65">
        <v>13</v>
      </c>
    </row>
    <row r="889" spans="1:4">
      <c r="A889" s="66" t="s">
        <v>2032</v>
      </c>
      <c r="B889" s="65">
        <v>138846</v>
      </c>
      <c r="C889" s="65">
        <v>260</v>
      </c>
      <c r="D889" s="65">
        <v>13</v>
      </c>
    </row>
    <row r="890" spans="1:4">
      <c r="A890" s="66" t="s">
        <v>2379</v>
      </c>
      <c r="B890" s="65">
        <v>535</v>
      </c>
      <c r="C890" s="65">
        <v>190</v>
      </c>
      <c r="D890" s="65">
        <v>13</v>
      </c>
    </row>
    <row r="891" spans="1:4">
      <c r="A891" s="66" t="s">
        <v>2295</v>
      </c>
      <c r="B891" s="65">
        <v>59363</v>
      </c>
      <c r="C891" s="65">
        <v>72</v>
      </c>
      <c r="D891" s="65">
        <v>13</v>
      </c>
    </row>
    <row r="892" spans="1:4">
      <c r="A892" s="66" t="s">
        <v>2325</v>
      </c>
      <c r="B892" s="65">
        <v>127112</v>
      </c>
      <c r="C892" s="65">
        <v>492</v>
      </c>
      <c r="D892" s="65">
        <v>13</v>
      </c>
    </row>
    <row r="893" spans="1:4">
      <c r="A893" s="66" t="s">
        <v>2549</v>
      </c>
      <c r="B893" s="65">
        <v>9386</v>
      </c>
      <c r="C893" s="65">
        <v>139</v>
      </c>
      <c r="D893" s="65">
        <v>13</v>
      </c>
    </row>
    <row r="894" spans="1:4">
      <c r="A894" s="66" t="s">
        <v>2551</v>
      </c>
      <c r="B894" s="65">
        <v>107115</v>
      </c>
      <c r="C894" s="65">
        <v>6600</v>
      </c>
      <c r="D894" s="65">
        <v>13</v>
      </c>
    </row>
    <row r="895" spans="1:4">
      <c r="A895" s="66" t="s">
        <v>2066</v>
      </c>
      <c r="B895" s="65">
        <v>131494</v>
      </c>
      <c r="C895" s="65">
        <v>332</v>
      </c>
      <c r="D895" s="65">
        <v>13</v>
      </c>
    </row>
    <row r="896" spans="1:4">
      <c r="A896" s="66" t="s">
        <v>2163</v>
      </c>
      <c r="B896" s="65">
        <v>110250</v>
      </c>
      <c r="C896" s="65">
        <v>15</v>
      </c>
      <c r="D896" s="65">
        <v>13</v>
      </c>
    </row>
    <row r="897" spans="1:4">
      <c r="A897" s="66" t="s">
        <v>2103</v>
      </c>
      <c r="B897" s="65">
        <v>1839</v>
      </c>
      <c r="C897" s="65">
        <v>271</v>
      </c>
      <c r="D897" s="65">
        <v>13</v>
      </c>
    </row>
    <row r="898" spans="1:4">
      <c r="A898" s="66" t="s">
        <v>134</v>
      </c>
      <c r="B898" s="65">
        <v>60152</v>
      </c>
      <c r="C898" s="65">
        <v>36</v>
      </c>
      <c r="D898" s="65">
        <v>12</v>
      </c>
    </row>
    <row r="899" spans="1:4">
      <c r="A899" s="66" t="s">
        <v>25</v>
      </c>
      <c r="B899" s="65">
        <v>11271</v>
      </c>
      <c r="C899" s="65">
        <v>81</v>
      </c>
      <c r="D899" s="65">
        <v>12</v>
      </c>
    </row>
    <row r="900" spans="1:4">
      <c r="A900" s="66" t="s">
        <v>229</v>
      </c>
      <c r="B900" s="65">
        <v>126103</v>
      </c>
      <c r="C900" s="65">
        <v>93</v>
      </c>
      <c r="D900" s="65">
        <v>12</v>
      </c>
    </row>
    <row r="901" spans="1:4">
      <c r="A901" s="66" t="s">
        <v>221</v>
      </c>
      <c r="B901" s="65">
        <v>1966</v>
      </c>
      <c r="C901" s="65">
        <v>156</v>
      </c>
      <c r="D901" s="65">
        <v>12</v>
      </c>
    </row>
    <row r="902" spans="1:4">
      <c r="A902" s="66" t="s">
        <v>586</v>
      </c>
      <c r="B902" s="65">
        <v>131954</v>
      </c>
      <c r="C902" s="65">
        <v>190</v>
      </c>
      <c r="D902" s="65">
        <v>12</v>
      </c>
    </row>
    <row r="903" spans="1:4">
      <c r="A903" s="66" t="s">
        <v>355</v>
      </c>
      <c r="B903" s="65">
        <v>112675</v>
      </c>
      <c r="C903" s="65">
        <v>25</v>
      </c>
      <c r="D903" s="65">
        <v>12</v>
      </c>
    </row>
    <row r="904" spans="1:4">
      <c r="A904" s="66" t="s">
        <v>190</v>
      </c>
      <c r="B904" s="65">
        <v>225447</v>
      </c>
      <c r="C904" s="65">
        <v>375</v>
      </c>
      <c r="D904" s="65">
        <v>12</v>
      </c>
    </row>
    <row r="905" spans="1:4">
      <c r="A905" s="66" t="s">
        <v>193</v>
      </c>
      <c r="B905" s="65">
        <v>144144</v>
      </c>
      <c r="C905" s="65">
        <v>150</v>
      </c>
      <c r="D905" s="65">
        <v>12</v>
      </c>
    </row>
    <row r="906" spans="1:4">
      <c r="A906" s="66" t="s">
        <v>205</v>
      </c>
      <c r="B906" s="65">
        <v>100826</v>
      </c>
      <c r="C906" s="65">
        <v>18</v>
      </c>
      <c r="D906" s="65">
        <v>12</v>
      </c>
    </row>
    <row r="907" spans="1:4">
      <c r="A907" s="66" t="s">
        <v>184</v>
      </c>
      <c r="B907" s="65">
        <v>116652</v>
      </c>
      <c r="C907" s="65">
        <v>83</v>
      </c>
      <c r="D907" s="65">
        <v>12</v>
      </c>
    </row>
    <row r="908" spans="1:4">
      <c r="A908" s="66" t="s">
        <v>182</v>
      </c>
      <c r="B908" s="65">
        <v>138811</v>
      </c>
      <c r="C908" s="65">
        <v>59</v>
      </c>
      <c r="D908" s="65">
        <v>12</v>
      </c>
    </row>
    <row r="909" spans="1:4">
      <c r="A909" s="66" t="s">
        <v>281</v>
      </c>
      <c r="B909" s="65">
        <v>116905</v>
      </c>
      <c r="C909" s="65">
        <v>207</v>
      </c>
      <c r="D909" s="65">
        <v>12</v>
      </c>
    </row>
    <row r="910" spans="1:4">
      <c r="A910" s="66" t="s">
        <v>171</v>
      </c>
      <c r="B910" s="65">
        <v>48850</v>
      </c>
      <c r="C910" s="65">
        <v>56</v>
      </c>
      <c r="D910" s="65">
        <v>12</v>
      </c>
    </row>
    <row r="911" spans="1:4">
      <c r="A911" s="66" t="s">
        <v>64</v>
      </c>
      <c r="B911" s="65">
        <v>227710</v>
      </c>
      <c r="C911" s="65">
        <v>445</v>
      </c>
      <c r="D911" s="65">
        <v>12</v>
      </c>
    </row>
    <row r="912" spans="1:4">
      <c r="A912" s="66" t="s">
        <v>43</v>
      </c>
      <c r="B912" s="65">
        <v>136740</v>
      </c>
      <c r="C912" s="65">
        <v>1200</v>
      </c>
      <c r="D912" s="65">
        <v>12</v>
      </c>
    </row>
    <row r="913" spans="1:4">
      <c r="A913" s="66" t="s">
        <v>337</v>
      </c>
      <c r="B913" s="65">
        <v>112422</v>
      </c>
      <c r="C913" s="65">
        <v>52</v>
      </c>
      <c r="D913" s="65">
        <v>12</v>
      </c>
    </row>
    <row r="914" spans="1:4">
      <c r="A914" s="66" t="s">
        <v>557</v>
      </c>
      <c r="B914" s="65">
        <v>8541</v>
      </c>
      <c r="C914" s="65">
        <v>92</v>
      </c>
      <c r="D914" s="65">
        <v>12</v>
      </c>
    </row>
    <row r="915" spans="1:4">
      <c r="A915" s="66" t="s">
        <v>536</v>
      </c>
      <c r="B915" s="65">
        <v>17408</v>
      </c>
      <c r="C915" s="65">
        <v>28</v>
      </c>
      <c r="D915" s="65">
        <v>12</v>
      </c>
    </row>
    <row r="916" spans="1:4">
      <c r="A916" s="66" t="s">
        <v>647</v>
      </c>
      <c r="B916" s="65">
        <v>110479</v>
      </c>
      <c r="C916" s="65">
        <v>146</v>
      </c>
      <c r="D916" s="65">
        <v>12</v>
      </c>
    </row>
    <row r="917" spans="1:4">
      <c r="A917" s="66" t="s">
        <v>642</v>
      </c>
      <c r="B917" s="65">
        <v>26459</v>
      </c>
      <c r="C917" s="65">
        <v>650</v>
      </c>
      <c r="D917" s="65">
        <v>12</v>
      </c>
    </row>
    <row r="918" spans="1:4">
      <c r="A918" s="66" t="s">
        <v>500</v>
      </c>
      <c r="B918" s="65">
        <v>18557</v>
      </c>
      <c r="C918" s="65">
        <v>355</v>
      </c>
      <c r="D918" s="65">
        <v>12</v>
      </c>
    </row>
    <row r="919" spans="1:4">
      <c r="A919" s="66" t="s">
        <v>1201</v>
      </c>
      <c r="B919" s="65">
        <v>11895</v>
      </c>
      <c r="C919" s="65">
        <v>312</v>
      </c>
      <c r="D919" s="65">
        <v>12</v>
      </c>
    </row>
    <row r="920" spans="1:4">
      <c r="A920" s="66" t="s">
        <v>1267</v>
      </c>
      <c r="B920" s="65">
        <v>1495</v>
      </c>
      <c r="C920" s="65">
        <v>1700</v>
      </c>
      <c r="D920" s="65">
        <v>12</v>
      </c>
    </row>
    <row r="921" spans="1:4">
      <c r="A921" s="66" t="s">
        <v>989</v>
      </c>
      <c r="B921" s="65">
        <v>100733</v>
      </c>
      <c r="C921" s="65">
        <v>52</v>
      </c>
      <c r="D921" s="65">
        <v>12</v>
      </c>
    </row>
    <row r="922" spans="1:4">
      <c r="A922" s="66" t="s">
        <v>1127</v>
      </c>
      <c r="B922" s="65">
        <v>108956</v>
      </c>
      <c r="C922" s="65">
        <v>45</v>
      </c>
      <c r="D922" s="65">
        <v>12</v>
      </c>
    </row>
    <row r="923" spans="1:4">
      <c r="A923" s="66" t="s">
        <v>858</v>
      </c>
      <c r="B923" s="65">
        <v>61388</v>
      </c>
      <c r="C923" s="65">
        <v>135</v>
      </c>
      <c r="D923" s="65">
        <v>12</v>
      </c>
    </row>
    <row r="924" spans="1:4">
      <c r="A924" s="66" t="s">
        <v>1350</v>
      </c>
      <c r="B924" s="65">
        <v>157616</v>
      </c>
      <c r="C924" s="65">
        <v>40</v>
      </c>
      <c r="D924" s="65">
        <v>12</v>
      </c>
    </row>
    <row r="925" spans="1:4">
      <c r="A925" s="66" t="s">
        <v>1334</v>
      </c>
      <c r="B925" s="65">
        <v>18737</v>
      </c>
      <c r="C925" s="65">
        <v>34</v>
      </c>
      <c r="D925" s="65">
        <v>12</v>
      </c>
    </row>
    <row r="926" spans="1:4">
      <c r="A926" s="66" t="s">
        <v>1893</v>
      </c>
      <c r="B926" s="65">
        <v>143801</v>
      </c>
      <c r="C926" s="65">
        <v>76</v>
      </c>
      <c r="D926" s="65">
        <v>12</v>
      </c>
    </row>
    <row r="927" spans="1:4">
      <c r="A927" s="66" t="s">
        <v>1878</v>
      </c>
      <c r="B927" s="65">
        <v>91359</v>
      </c>
      <c r="C927" s="65">
        <v>57</v>
      </c>
      <c r="D927" s="65">
        <v>12</v>
      </c>
    </row>
    <row r="928" spans="1:4">
      <c r="A928" s="66" t="s">
        <v>1392</v>
      </c>
      <c r="B928" s="65">
        <v>155945</v>
      </c>
      <c r="C928" s="65">
        <v>345</v>
      </c>
      <c r="D928" s="65">
        <v>12</v>
      </c>
    </row>
    <row r="929" spans="1:4">
      <c r="A929" s="66" t="s">
        <v>1595</v>
      </c>
      <c r="B929" s="65">
        <v>126523</v>
      </c>
      <c r="C929" s="65">
        <v>167</v>
      </c>
      <c r="D929" s="65">
        <v>12</v>
      </c>
    </row>
    <row r="930" spans="1:4">
      <c r="A930" s="66" t="s">
        <v>1471</v>
      </c>
      <c r="B930" s="65">
        <v>114075</v>
      </c>
      <c r="C930" s="65">
        <v>1220</v>
      </c>
      <c r="D930" s="65">
        <v>12</v>
      </c>
    </row>
    <row r="931" spans="1:4">
      <c r="A931" s="66" t="s">
        <v>1568</v>
      </c>
      <c r="B931" s="65">
        <v>31007</v>
      </c>
      <c r="C931" s="65">
        <v>92</v>
      </c>
      <c r="D931" s="65">
        <v>12</v>
      </c>
    </row>
    <row r="932" spans="1:4">
      <c r="A932" s="66" t="s">
        <v>1732</v>
      </c>
      <c r="B932" s="65">
        <v>76893</v>
      </c>
      <c r="C932" s="65">
        <v>792</v>
      </c>
      <c r="D932" s="65">
        <v>12</v>
      </c>
    </row>
    <row r="933" spans="1:4">
      <c r="A933" s="66" t="s">
        <v>1685</v>
      </c>
      <c r="B933" s="65">
        <v>9124</v>
      </c>
      <c r="C933" s="65">
        <v>90</v>
      </c>
      <c r="D933" s="65">
        <v>12</v>
      </c>
    </row>
    <row r="934" spans="1:4">
      <c r="A934" s="66" t="s">
        <v>2400</v>
      </c>
      <c r="B934" s="65">
        <v>112427</v>
      </c>
      <c r="C934" s="65">
        <v>48</v>
      </c>
      <c r="D934" s="65">
        <v>12</v>
      </c>
    </row>
    <row r="935" spans="1:4">
      <c r="A935" s="66" t="s">
        <v>2381</v>
      </c>
      <c r="B935" s="65">
        <v>103106</v>
      </c>
      <c r="C935" s="65">
        <v>36</v>
      </c>
      <c r="D935" s="65">
        <v>12</v>
      </c>
    </row>
    <row r="936" spans="1:4">
      <c r="A936" s="66" t="s">
        <v>2384</v>
      </c>
      <c r="B936" s="65">
        <v>25535</v>
      </c>
      <c r="C936" s="65">
        <v>3200</v>
      </c>
      <c r="D936" s="65">
        <v>12</v>
      </c>
    </row>
    <row r="937" spans="1:4">
      <c r="A937" s="66" t="s">
        <v>2396</v>
      </c>
      <c r="B937" s="65">
        <v>112478</v>
      </c>
      <c r="C937" s="65">
        <v>388</v>
      </c>
      <c r="D937" s="65">
        <v>12</v>
      </c>
    </row>
    <row r="938" spans="1:4">
      <c r="A938" s="66" t="s">
        <v>2332</v>
      </c>
      <c r="B938" s="65">
        <v>138667</v>
      </c>
      <c r="C938" s="65">
        <v>1750</v>
      </c>
      <c r="D938" s="65">
        <v>12</v>
      </c>
    </row>
    <row r="939" spans="1:4">
      <c r="A939" s="66" t="s">
        <v>2271</v>
      </c>
      <c r="B939" s="65">
        <v>121260</v>
      </c>
      <c r="C939" s="65">
        <v>4300</v>
      </c>
      <c r="D939" s="65">
        <v>12</v>
      </c>
    </row>
    <row r="940" spans="1:4">
      <c r="A940" s="66" t="s">
        <v>1968</v>
      </c>
      <c r="B940" s="65">
        <v>159176</v>
      </c>
      <c r="C940" s="65">
        <v>68</v>
      </c>
      <c r="D940" s="65">
        <v>12</v>
      </c>
    </row>
    <row r="941" spans="1:4">
      <c r="A941" s="66" t="s">
        <v>351</v>
      </c>
      <c r="B941" s="65">
        <v>138557</v>
      </c>
      <c r="C941" s="65">
        <v>2600</v>
      </c>
      <c r="D941" s="65">
        <v>11</v>
      </c>
    </row>
    <row r="942" spans="1:4">
      <c r="A942" s="66" t="s">
        <v>462</v>
      </c>
      <c r="B942" s="65">
        <v>139776</v>
      </c>
      <c r="C942" s="65">
        <v>1900</v>
      </c>
      <c r="D942" s="65">
        <v>11</v>
      </c>
    </row>
    <row r="943" spans="1:4">
      <c r="A943" s="66" t="s">
        <v>562</v>
      </c>
      <c r="B943" s="65">
        <v>132789</v>
      </c>
      <c r="C943" s="65">
        <v>145</v>
      </c>
      <c r="D943" s="65">
        <v>11</v>
      </c>
    </row>
    <row r="944" spans="1:4">
      <c r="A944" s="66" t="s">
        <v>282</v>
      </c>
      <c r="B944" s="65">
        <v>176789</v>
      </c>
      <c r="C944" s="65">
        <v>93</v>
      </c>
      <c r="D944" s="65">
        <v>11</v>
      </c>
    </row>
    <row r="945" spans="1:4">
      <c r="A945" s="66" t="s">
        <v>58</v>
      </c>
      <c r="B945" s="65">
        <v>113488</v>
      </c>
      <c r="C945" s="65">
        <v>153</v>
      </c>
      <c r="D945" s="65">
        <v>11</v>
      </c>
    </row>
    <row r="946" spans="1:4">
      <c r="A946" s="66" t="s">
        <v>313</v>
      </c>
      <c r="B946" s="65">
        <v>335</v>
      </c>
      <c r="C946" s="65">
        <v>19</v>
      </c>
      <c r="D946" s="65">
        <v>11</v>
      </c>
    </row>
    <row r="947" spans="1:4">
      <c r="A947" s="66" t="s">
        <v>40</v>
      </c>
      <c r="B947" s="65">
        <v>25961</v>
      </c>
      <c r="C947" s="65">
        <v>23</v>
      </c>
      <c r="D947" s="65">
        <v>11</v>
      </c>
    </row>
    <row r="948" spans="1:4">
      <c r="A948" s="66" t="s">
        <v>415</v>
      </c>
      <c r="B948" s="65">
        <v>100567</v>
      </c>
      <c r="C948" s="65">
        <v>550</v>
      </c>
      <c r="D948" s="65">
        <v>11</v>
      </c>
    </row>
    <row r="949" spans="1:4">
      <c r="A949" s="66" t="s">
        <v>640</v>
      </c>
      <c r="B949" s="65">
        <v>138804</v>
      </c>
      <c r="C949" s="65">
        <v>98</v>
      </c>
      <c r="D949" s="65">
        <v>11</v>
      </c>
    </row>
    <row r="950" spans="1:4">
      <c r="A950" s="66" t="s">
        <v>599</v>
      </c>
      <c r="B950" s="65">
        <v>177046</v>
      </c>
      <c r="C950" s="65">
        <v>488</v>
      </c>
      <c r="D950" s="65">
        <v>11</v>
      </c>
    </row>
    <row r="951" spans="1:4">
      <c r="A951" s="66" t="s">
        <v>979</v>
      </c>
      <c r="B951" s="65">
        <v>19671</v>
      </c>
      <c r="C951" s="65">
        <v>141</v>
      </c>
      <c r="D951" s="65">
        <v>11</v>
      </c>
    </row>
    <row r="952" spans="1:4">
      <c r="A952" s="66" t="s">
        <v>1089</v>
      </c>
      <c r="B952" s="65">
        <v>12645</v>
      </c>
      <c r="C952" s="65">
        <v>220</v>
      </c>
      <c r="D952" s="65">
        <v>11</v>
      </c>
    </row>
    <row r="953" spans="1:4">
      <c r="A953" s="66" t="s">
        <v>1215</v>
      </c>
      <c r="B953" s="65">
        <v>157513</v>
      </c>
      <c r="C953" s="65">
        <v>160</v>
      </c>
      <c r="D953" s="65">
        <v>11</v>
      </c>
    </row>
    <row r="954" spans="1:4">
      <c r="A954" s="66" t="s">
        <v>1042</v>
      </c>
      <c r="B954" s="65">
        <v>226136</v>
      </c>
      <c r="C954" s="65">
        <v>30</v>
      </c>
      <c r="D954" s="65">
        <v>11</v>
      </c>
    </row>
    <row r="955" spans="1:4">
      <c r="A955" s="66" t="s">
        <v>1067</v>
      </c>
      <c r="B955" s="65">
        <v>138816</v>
      </c>
      <c r="C955" s="65">
        <v>2910</v>
      </c>
      <c r="D955" s="65">
        <v>11</v>
      </c>
    </row>
    <row r="956" spans="1:4">
      <c r="A956" s="66" t="s">
        <v>1185</v>
      </c>
      <c r="B956" s="65">
        <v>129855</v>
      </c>
      <c r="C956" s="65">
        <v>1980</v>
      </c>
      <c r="D956" s="65">
        <v>11</v>
      </c>
    </row>
    <row r="957" spans="1:4">
      <c r="A957" s="66" t="s">
        <v>1073</v>
      </c>
      <c r="B957" s="65">
        <v>132786</v>
      </c>
      <c r="C957" s="65">
        <v>60</v>
      </c>
      <c r="D957" s="65">
        <v>11</v>
      </c>
    </row>
    <row r="958" spans="1:4">
      <c r="A958" s="66" t="s">
        <v>1303</v>
      </c>
      <c r="B958" s="65">
        <v>274</v>
      </c>
      <c r="C958" s="65">
        <v>22</v>
      </c>
      <c r="D958" s="65">
        <v>11</v>
      </c>
    </row>
    <row r="959" spans="1:4">
      <c r="A959" s="66" t="s">
        <v>1236</v>
      </c>
      <c r="B959" s="65">
        <v>82522</v>
      </c>
      <c r="C959" s="65">
        <v>29</v>
      </c>
      <c r="D959" s="65">
        <v>11</v>
      </c>
    </row>
    <row r="960" spans="1:4">
      <c r="A960" s="66" t="s">
        <v>737</v>
      </c>
      <c r="B960" s="65">
        <v>95111</v>
      </c>
      <c r="C960" s="65">
        <v>77</v>
      </c>
      <c r="D960" s="65">
        <v>11</v>
      </c>
    </row>
    <row r="961" spans="1:4">
      <c r="A961" s="66" t="s">
        <v>750</v>
      </c>
      <c r="B961" s="65">
        <v>118618</v>
      </c>
      <c r="C961" s="65">
        <v>206</v>
      </c>
      <c r="D961" s="65">
        <v>11</v>
      </c>
    </row>
    <row r="962" spans="1:4">
      <c r="A962" s="66" t="s">
        <v>907</v>
      </c>
      <c r="B962" s="65">
        <v>66750</v>
      </c>
      <c r="C962" s="65">
        <v>310</v>
      </c>
      <c r="D962" s="65">
        <v>11</v>
      </c>
    </row>
    <row r="963" spans="1:4">
      <c r="A963" s="66" t="s">
        <v>1566</v>
      </c>
      <c r="B963" s="65">
        <v>132832</v>
      </c>
      <c r="C963" s="65">
        <v>180</v>
      </c>
      <c r="D963" s="65">
        <v>11</v>
      </c>
    </row>
    <row r="964" spans="1:4">
      <c r="A964" s="66" t="s">
        <v>1665</v>
      </c>
      <c r="B964" s="65">
        <v>139049</v>
      </c>
      <c r="C964" s="65">
        <v>49</v>
      </c>
      <c r="D964" s="65">
        <v>11</v>
      </c>
    </row>
    <row r="965" spans="1:4">
      <c r="A965" s="66" t="s">
        <v>1391</v>
      </c>
      <c r="B965" s="65">
        <v>127137</v>
      </c>
      <c r="C965" s="65">
        <v>40</v>
      </c>
      <c r="D965" s="65">
        <v>11</v>
      </c>
    </row>
    <row r="966" spans="1:4">
      <c r="A966" s="66" t="s">
        <v>1588</v>
      </c>
      <c r="B966" s="65">
        <v>35123</v>
      </c>
      <c r="C966" s="65">
        <v>50</v>
      </c>
      <c r="D966" s="65">
        <v>11</v>
      </c>
    </row>
    <row r="967" spans="1:4">
      <c r="A967" s="66" t="s">
        <v>1462</v>
      </c>
      <c r="B967" s="65">
        <v>140577</v>
      </c>
      <c r="C967" s="65">
        <v>187</v>
      </c>
      <c r="D967" s="65">
        <v>11</v>
      </c>
    </row>
    <row r="968" spans="1:4">
      <c r="A968" s="66" t="s">
        <v>2445</v>
      </c>
      <c r="B968" s="65">
        <v>206563</v>
      </c>
      <c r="C968" s="65">
        <v>450</v>
      </c>
      <c r="D968" s="65">
        <v>11</v>
      </c>
    </row>
    <row r="969" spans="1:4">
      <c r="A969" s="66" t="s">
        <v>2388</v>
      </c>
      <c r="B969" s="65">
        <v>96317</v>
      </c>
      <c r="C969" s="65">
        <v>24</v>
      </c>
      <c r="D969" s="65">
        <v>11</v>
      </c>
    </row>
    <row r="970" spans="1:4">
      <c r="A970" s="66" t="s">
        <v>2448</v>
      </c>
      <c r="B970" s="65">
        <v>88439</v>
      </c>
      <c r="C970" s="65">
        <v>160</v>
      </c>
      <c r="D970" s="65">
        <v>11</v>
      </c>
    </row>
    <row r="971" spans="1:4">
      <c r="A971" s="66" t="s">
        <v>2577</v>
      </c>
      <c r="B971" s="65">
        <v>31450</v>
      </c>
      <c r="C971" s="65">
        <v>35</v>
      </c>
      <c r="D971" s="65">
        <v>11</v>
      </c>
    </row>
    <row r="972" spans="1:4">
      <c r="A972" s="66" t="s">
        <v>2367</v>
      </c>
      <c r="B972" s="65">
        <v>86625</v>
      </c>
      <c r="C972" s="65">
        <v>95</v>
      </c>
      <c r="D972" s="65">
        <v>11</v>
      </c>
    </row>
    <row r="973" spans="1:4">
      <c r="A973" s="66" t="s">
        <v>2143</v>
      </c>
      <c r="B973" s="65">
        <v>69237</v>
      </c>
      <c r="C973" s="65">
        <v>83</v>
      </c>
      <c r="D973" s="65">
        <v>11</v>
      </c>
    </row>
    <row r="974" spans="1:4">
      <c r="A974" s="66" t="s">
        <v>2514</v>
      </c>
      <c r="B974" s="65">
        <v>112423</v>
      </c>
      <c r="C974" s="65">
        <v>78</v>
      </c>
      <c r="D974" s="65">
        <v>11</v>
      </c>
    </row>
    <row r="975" spans="1:4">
      <c r="A975" s="66" t="s">
        <v>2297</v>
      </c>
      <c r="B975" s="65">
        <v>138950</v>
      </c>
      <c r="C975" s="65">
        <v>64</v>
      </c>
      <c r="D975" s="65">
        <v>11</v>
      </c>
    </row>
    <row r="976" spans="1:4">
      <c r="A976" s="66" t="s">
        <v>2068</v>
      </c>
      <c r="B976" s="65">
        <v>178338</v>
      </c>
      <c r="C976" s="65">
        <v>331</v>
      </c>
      <c r="D976" s="65">
        <v>11</v>
      </c>
    </row>
    <row r="977" spans="1:4">
      <c r="A977" s="66" t="s">
        <v>2072</v>
      </c>
      <c r="B977" s="65">
        <v>107025</v>
      </c>
      <c r="C977" s="65">
        <v>330</v>
      </c>
      <c r="D977" s="65">
        <v>11</v>
      </c>
    </row>
    <row r="978" spans="1:4">
      <c r="A978" s="66" t="s">
        <v>2188</v>
      </c>
      <c r="B978" s="65">
        <v>63423</v>
      </c>
      <c r="C978" s="65">
        <v>34</v>
      </c>
      <c r="D978" s="65">
        <v>11</v>
      </c>
    </row>
    <row r="979" spans="1:4">
      <c r="A979" s="66" t="s">
        <v>4</v>
      </c>
      <c r="B979" s="65">
        <v>60044</v>
      </c>
      <c r="C979" s="65">
        <v>48</v>
      </c>
      <c r="D979" s="65">
        <v>10</v>
      </c>
    </row>
    <row r="980" spans="1:4">
      <c r="A980" s="66" t="s">
        <v>359</v>
      </c>
      <c r="B980" s="65">
        <v>91603</v>
      </c>
      <c r="C980" s="65">
        <v>24</v>
      </c>
      <c r="D980" s="65">
        <v>10</v>
      </c>
    </row>
    <row r="981" spans="1:4">
      <c r="A981" s="66" t="s">
        <v>574</v>
      </c>
      <c r="B981" s="65">
        <v>119935</v>
      </c>
      <c r="C981" s="65">
        <v>90</v>
      </c>
      <c r="D981" s="65">
        <v>10</v>
      </c>
    </row>
    <row r="982" spans="1:4">
      <c r="A982" s="66" t="s">
        <v>109</v>
      </c>
      <c r="B982" s="65">
        <v>35196</v>
      </c>
      <c r="C982" s="65">
        <v>531</v>
      </c>
      <c r="D982" s="65">
        <v>10</v>
      </c>
    </row>
    <row r="983" spans="1:4">
      <c r="A983" s="66" t="s">
        <v>219</v>
      </c>
      <c r="B983" s="65">
        <v>65803</v>
      </c>
      <c r="C983" s="65">
        <v>192</v>
      </c>
      <c r="D983" s="65">
        <v>10</v>
      </c>
    </row>
    <row r="984" spans="1:4">
      <c r="A984" s="66" t="s">
        <v>59</v>
      </c>
      <c r="B984" s="65">
        <v>225876</v>
      </c>
      <c r="C984" s="65">
        <v>55</v>
      </c>
      <c r="D984" s="65">
        <v>10</v>
      </c>
    </row>
    <row r="985" spans="1:4">
      <c r="A985" s="66" t="s">
        <v>270</v>
      </c>
      <c r="B985" s="65">
        <v>118835</v>
      </c>
      <c r="C985" s="65">
        <v>269</v>
      </c>
      <c r="D985" s="65">
        <v>10</v>
      </c>
    </row>
    <row r="986" spans="1:4">
      <c r="A986" s="66" t="s">
        <v>164</v>
      </c>
      <c r="B986" s="65">
        <v>27272</v>
      </c>
      <c r="C986" s="65">
        <v>84</v>
      </c>
      <c r="D986" s="65">
        <v>10</v>
      </c>
    </row>
    <row r="987" spans="1:4">
      <c r="A987" s="66" t="s">
        <v>154</v>
      </c>
      <c r="B987" s="65">
        <v>157511</v>
      </c>
      <c r="C987" s="65">
        <v>104</v>
      </c>
      <c r="D987" s="65">
        <v>10</v>
      </c>
    </row>
    <row r="988" spans="1:4">
      <c r="A988" s="66" t="s">
        <v>155</v>
      </c>
      <c r="B988" s="65">
        <v>159040</v>
      </c>
      <c r="C988" s="65">
        <v>1810</v>
      </c>
      <c r="D988" s="65">
        <v>10</v>
      </c>
    </row>
    <row r="989" spans="1:4">
      <c r="A989" s="66" t="s">
        <v>1066</v>
      </c>
      <c r="B989" s="65">
        <v>59358</v>
      </c>
      <c r="C989" s="65">
        <v>43</v>
      </c>
      <c r="D989" s="65">
        <v>10</v>
      </c>
    </row>
    <row r="990" spans="1:4">
      <c r="A990" s="66" t="s">
        <v>810</v>
      </c>
      <c r="B990" s="65">
        <v>223610</v>
      </c>
      <c r="C990" s="65">
        <v>3600</v>
      </c>
      <c r="D990" s="65">
        <v>10</v>
      </c>
    </row>
    <row r="991" spans="1:4">
      <c r="A991" s="66" t="s">
        <v>1079</v>
      </c>
      <c r="B991" s="65">
        <v>72322</v>
      </c>
      <c r="C991" s="65">
        <v>15</v>
      </c>
      <c r="D991" s="65">
        <v>10</v>
      </c>
    </row>
    <row r="992" spans="1:4">
      <c r="A992" s="66" t="s">
        <v>1010</v>
      </c>
      <c r="B992" s="65">
        <v>209</v>
      </c>
      <c r="C992" s="65">
        <v>240</v>
      </c>
      <c r="D992" s="65">
        <v>10</v>
      </c>
    </row>
    <row r="993" spans="1:4">
      <c r="A993" s="66" t="s">
        <v>1019</v>
      </c>
      <c r="B993" s="65">
        <v>319</v>
      </c>
      <c r="C993" s="65">
        <v>30</v>
      </c>
      <c r="D993" s="65">
        <v>10</v>
      </c>
    </row>
    <row r="994" spans="1:4">
      <c r="A994" s="66" t="s">
        <v>1561</v>
      </c>
      <c r="B994" s="65">
        <v>328</v>
      </c>
      <c r="C994" s="65">
        <v>49</v>
      </c>
      <c r="D994" s="65">
        <v>10</v>
      </c>
    </row>
    <row r="995" spans="1:4">
      <c r="A995" s="66" t="s">
        <v>1539</v>
      </c>
      <c r="B995" s="65">
        <v>35073</v>
      </c>
      <c r="C995" s="65">
        <v>238</v>
      </c>
      <c r="D995" s="65">
        <v>10</v>
      </c>
    </row>
    <row r="996" spans="1:4">
      <c r="A996" s="66" t="s">
        <v>1669</v>
      </c>
      <c r="B996" s="65">
        <v>127136</v>
      </c>
      <c r="C996" s="65">
        <v>150</v>
      </c>
      <c r="D996" s="65">
        <v>10</v>
      </c>
    </row>
    <row r="997" spans="1:4">
      <c r="A997" s="66" t="s">
        <v>1668</v>
      </c>
      <c r="B997" s="65">
        <v>82460</v>
      </c>
      <c r="C997" s="65">
        <v>250</v>
      </c>
      <c r="D997" s="65">
        <v>10</v>
      </c>
    </row>
    <row r="998" spans="1:4">
      <c r="A998" s="66" t="s">
        <v>1660</v>
      </c>
      <c r="B998" s="65">
        <v>137612</v>
      </c>
      <c r="C998" s="65">
        <v>128</v>
      </c>
      <c r="D998" s="65">
        <v>10</v>
      </c>
    </row>
    <row r="999" spans="1:4">
      <c r="A999" s="66" t="s">
        <v>1884</v>
      </c>
      <c r="B999" s="65">
        <v>101422</v>
      </c>
      <c r="C999" s="65">
        <v>280</v>
      </c>
      <c r="D999" s="65">
        <v>10</v>
      </c>
    </row>
    <row r="1000" spans="1:4">
      <c r="A1000" s="66" t="s">
        <v>1653</v>
      </c>
      <c r="B1000" s="65">
        <v>156331</v>
      </c>
      <c r="C1000" s="65">
        <v>11</v>
      </c>
      <c r="D1000" s="65">
        <v>10</v>
      </c>
    </row>
    <row r="1001" spans="1:4">
      <c r="A1001" s="66" t="s">
        <v>1763</v>
      </c>
      <c r="B1001" s="65">
        <v>1725</v>
      </c>
      <c r="C1001" s="65">
        <v>17</v>
      </c>
      <c r="D1001" s="65">
        <v>10</v>
      </c>
    </row>
    <row r="1002" spans="1:4">
      <c r="A1002" s="66" t="s">
        <v>1873</v>
      </c>
      <c r="B1002" s="65">
        <v>336</v>
      </c>
      <c r="C1002" s="65">
        <v>34</v>
      </c>
      <c r="D1002" s="65">
        <v>10</v>
      </c>
    </row>
    <row r="1003" spans="1:4">
      <c r="A1003" s="66" t="s">
        <v>2170</v>
      </c>
      <c r="B1003" s="65">
        <v>79504</v>
      </c>
      <c r="C1003" s="65">
        <v>25</v>
      </c>
      <c r="D1003" s="65">
        <v>10</v>
      </c>
    </row>
    <row r="1004" spans="1:4">
      <c r="A1004" s="66" t="s">
        <v>2022</v>
      </c>
      <c r="B1004" s="65">
        <v>142311</v>
      </c>
      <c r="C1004" s="65">
        <v>49</v>
      </c>
      <c r="D1004" s="65">
        <v>10</v>
      </c>
    </row>
    <row r="1005" spans="1:4">
      <c r="A1005" s="66" t="s">
        <v>2024</v>
      </c>
      <c r="B1005" s="65">
        <v>79428</v>
      </c>
      <c r="C1005" s="65">
        <v>45</v>
      </c>
      <c r="D1005" s="65">
        <v>10</v>
      </c>
    </row>
    <row r="1006" spans="1:4">
      <c r="A1006" s="66" t="s">
        <v>2138</v>
      </c>
      <c r="B1006" s="65">
        <v>96046</v>
      </c>
      <c r="C1006" s="65">
        <v>380</v>
      </c>
      <c r="D1006" s="65">
        <v>10</v>
      </c>
    </row>
    <row r="1007" spans="1:4">
      <c r="A1007" s="66" t="s">
        <v>2382</v>
      </c>
      <c r="B1007" s="65">
        <v>6236</v>
      </c>
      <c r="C1007" s="65">
        <v>43</v>
      </c>
      <c r="D1007" s="65">
        <v>10</v>
      </c>
    </row>
    <row r="1008" spans="1:4">
      <c r="A1008" s="66" t="s">
        <v>2415</v>
      </c>
      <c r="B1008" s="65">
        <v>101413</v>
      </c>
      <c r="C1008" s="65">
        <v>10</v>
      </c>
      <c r="D1008" s="65">
        <v>10</v>
      </c>
    </row>
    <row r="1009" spans="1:4">
      <c r="A1009" s="66" t="s">
        <v>2548</v>
      </c>
      <c r="B1009" s="65">
        <v>111375</v>
      </c>
      <c r="C1009" s="65">
        <v>231</v>
      </c>
      <c r="D1009" s="65">
        <v>10</v>
      </c>
    </row>
    <row r="1010" spans="1:4">
      <c r="A1010" s="66" t="s">
        <v>1961</v>
      </c>
      <c r="B1010" s="65">
        <v>20674</v>
      </c>
      <c r="C1010" s="65">
        <v>140</v>
      </c>
      <c r="D1010" s="65">
        <v>10</v>
      </c>
    </row>
    <row r="1011" spans="1:4">
      <c r="A1011" s="66" t="s">
        <v>2167</v>
      </c>
      <c r="B1011" s="65">
        <v>1929</v>
      </c>
      <c r="C1011" s="65">
        <v>99</v>
      </c>
      <c r="D1011" s="65">
        <v>10</v>
      </c>
    </row>
    <row r="1012" spans="1:4">
      <c r="A1012" s="66" t="s">
        <v>1993</v>
      </c>
      <c r="B1012" s="65">
        <v>121693</v>
      </c>
      <c r="C1012" s="65">
        <v>63</v>
      </c>
      <c r="D1012" s="65">
        <v>10</v>
      </c>
    </row>
    <row r="1013" spans="1:4">
      <c r="A1013" s="66" t="s">
        <v>228</v>
      </c>
      <c r="B1013" s="65">
        <v>139736</v>
      </c>
      <c r="C1013" s="65">
        <v>66</v>
      </c>
      <c r="D1013" s="65">
        <v>9</v>
      </c>
    </row>
    <row r="1014" spans="1:4">
      <c r="A1014" s="66" t="s">
        <v>585</v>
      </c>
      <c r="B1014" s="65">
        <v>126007</v>
      </c>
      <c r="C1014" s="65">
        <v>58</v>
      </c>
      <c r="D1014" s="65">
        <v>9</v>
      </c>
    </row>
    <row r="1015" spans="1:4">
      <c r="A1015" s="66" t="s">
        <v>347</v>
      </c>
      <c r="B1015" s="65">
        <v>125447</v>
      </c>
      <c r="C1015" s="65">
        <v>9</v>
      </c>
      <c r="D1015" s="65">
        <v>9</v>
      </c>
    </row>
    <row r="1016" spans="1:4">
      <c r="A1016" s="66" t="s">
        <v>340</v>
      </c>
      <c r="B1016" s="65">
        <v>77307</v>
      </c>
      <c r="C1016" s="65">
        <v>37</v>
      </c>
      <c r="D1016" s="65">
        <v>9</v>
      </c>
    </row>
    <row r="1017" spans="1:4">
      <c r="A1017" s="66" t="s">
        <v>319</v>
      </c>
      <c r="B1017" s="65">
        <v>28728</v>
      </c>
      <c r="C1017" s="65">
        <v>130</v>
      </c>
      <c r="D1017" s="65">
        <v>9</v>
      </c>
    </row>
    <row r="1018" spans="1:4">
      <c r="A1018" s="66" t="s">
        <v>289</v>
      </c>
      <c r="B1018" s="65">
        <v>4531</v>
      </c>
      <c r="C1018" s="65">
        <v>102</v>
      </c>
      <c r="D1018" s="65">
        <v>9</v>
      </c>
    </row>
    <row r="1019" spans="1:4">
      <c r="A1019" s="66" t="s">
        <v>70</v>
      </c>
      <c r="B1019" s="65">
        <v>138956</v>
      </c>
      <c r="C1019" s="65">
        <v>30</v>
      </c>
      <c r="D1019" s="65">
        <v>9</v>
      </c>
    </row>
    <row r="1020" spans="1:4">
      <c r="A1020" s="66" t="s">
        <v>169</v>
      </c>
      <c r="B1020" s="65">
        <v>392</v>
      </c>
      <c r="C1020" s="65">
        <v>42</v>
      </c>
      <c r="D1020" s="65">
        <v>9</v>
      </c>
    </row>
    <row r="1021" spans="1:4">
      <c r="A1021" s="66" t="s">
        <v>546</v>
      </c>
      <c r="B1021" s="65">
        <v>96259</v>
      </c>
      <c r="C1021" s="65">
        <v>102</v>
      </c>
      <c r="D1021" s="65">
        <v>9</v>
      </c>
    </row>
    <row r="1022" spans="1:4">
      <c r="A1022" s="66" t="s">
        <v>426</v>
      </c>
      <c r="B1022" s="65">
        <v>365</v>
      </c>
      <c r="C1022" s="65">
        <v>36</v>
      </c>
      <c r="D1022" s="65">
        <v>9</v>
      </c>
    </row>
    <row r="1023" spans="1:4">
      <c r="A1023" s="66" t="s">
        <v>526</v>
      </c>
      <c r="B1023" s="65">
        <v>27574</v>
      </c>
      <c r="C1023" s="65">
        <v>112</v>
      </c>
      <c r="D1023" s="65">
        <v>9</v>
      </c>
    </row>
    <row r="1024" spans="1:4">
      <c r="A1024" s="66" t="s">
        <v>389</v>
      </c>
      <c r="B1024" s="65">
        <v>130155</v>
      </c>
      <c r="C1024" s="65">
        <v>4080</v>
      </c>
      <c r="D1024" s="65">
        <v>9</v>
      </c>
    </row>
    <row r="1025" spans="1:4">
      <c r="A1025" s="66" t="s">
        <v>550</v>
      </c>
      <c r="B1025" s="65">
        <v>363</v>
      </c>
      <c r="C1025" s="65">
        <v>144</v>
      </c>
      <c r="D1025" s="65">
        <v>9</v>
      </c>
    </row>
    <row r="1026" spans="1:4">
      <c r="A1026" s="66" t="s">
        <v>1261</v>
      </c>
      <c r="B1026" s="65">
        <v>17489</v>
      </c>
      <c r="C1026" s="65">
        <v>30</v>
      </c>
      <c r="D1026" s="65">
        <v>9</v>
      </c>
    </row>
    <row r="1027" spans="1:4">
      <c r="A1027" s="66" t="s">
        <v>1100</v>
      </c>
      <c r="B1027" s="65">
        <v>18603</v>
      </c>
      <c r="C1027" s="65">
        <v>18</v>
      </c>
      <c r="D1027" s="65">
        <v>9</v>
      </c>
    </row>
    <row r="1028" spans="1:4">
      <c r="A1028" s="66" t="s">
        <v>1168</v>
      </c>
      <c r="B1028" s="65">
        <v>96863</v>
      </c>
      <c r="C1028" s="65">
        <v>450</v>
      </c>
      <c r="D1028" s="65">
        <v>9</v>
      </c>
    </row>
    <row r="1029" spans="1:4">
      <c r="A1029" s="66" t="s">
        <v>802</v>
      </c>
      <c r="B1029" s="65">
        <v>91</v>
      </c>
      <c r="C1029" s="65">
        <v>3200</v>
      </c>
      <c r="D1029" s="65">
        <v>9</v>
      </c>
    </row>
    <row r="1030" spans="1:4">
      <c r="A1030" s="66" t="s">
        <v>710</v>
      </c>
      <c r="B1030" s="65">
        <v>59688</v>
      </c>
      <c r="C1030" s="65">
        <v>23</v>
      </c>
      <c r="D1030" s="65">
        <v>9</v>
      </c>
    </row>
    <row r="1031" spans="1:4">
      <c r="A1031" s="66" t="s">
        <v>712</v>
      </c>
      <c r="B1031" s="65">
        <v>157034</v>
      </c>
      <c r="C1031" s="65">
        <v>2880</v>
      </c>
      <c r="D1031" s="65">
        <v>9</v>
      </c>
    </row>
    <row r="1032" spans="1:4">
      <c r="A1032" s="66" t="s">
        <v>1092</v>
      </c>
      <c r="B1032" s="65">
        <v>82527</v>
      </c>
      <c r="C1032" s="65">
        <v>16</v>
      </c>
      <c r="D1032" s="65">
        <v>9</v>
      </c>
    </row>
    <row r="1033" spans="1:4">
      <c r="A1033" s="66" t="s">
        <v>1083</v>
      </c>
      <c r="B1033" s="65">
        <v>114613</v>
      </c>
      <c r="C1033" s="65">
        <v>100</v>
      </c>
      <c r="D1033" s="65">
        <v>9</v>
      </c>
    </row>
    <row r="1034" spans="1:4">
      <c r="A1034" s="66" t="s">
        <v>1096</v>
      </c>
      <c r="B1034" s="65">
        <v>117154</v>
      </c>
      <c r="C1034" s="65">
        <v>68</v>
      </c>
      <c r="D1034" s="65">
        <v>9</v>
      </c>
    </row>
    <row r="1035" spans="1:4">
      <c r="A1035" s="66" t="s">
        <v>1017</v>
      </c>
      <c r="B1035" s="65">
        <v>223457</v>
      </c>
      <c r="C1035" s="65">
        <v>144</v>
      </c>
      <c r="D1035" s="65">
        <v>9</v>
      </c>
    </row>
    <row r="1036" spans="1:4">
      <c r="A1036" s="66" t="s">
        <v>868</v>
      </c>
      <c r="B1036" s="65">
        <v>24700</v>
      </c>
      <c r="C1036" s="65">
        <v>1050</v>
      </c>
      <c r="D1036" s="65">
        <v>9</v>
      </c>
    </row>
    <row r="1037" spans="1:4">
      <c r="A1037" s="66" t="s">
        <v>955</v>
      </c>
      <c r="B1037" s="65">
        <v>62296</v>
      </c>
      <c r="C1037" s="65">
        <v>23</v>
      </c>
      <c r="D1037" s="65">
        <v>9</v>
      </c>
    </row>
    <row r="1038" spans="1:4">
      <c r="A1038" s="66" t="s">
        <v>889</v>
      </c>
      <c r="B1038" s="65">
        <v>110814</v>
      </c>
      <c r="C1038" s="65">
        <v>37</v>
      </c>
      <c r="D1038" s="65">
        <v>9</v>
      </c>
    </row>
    <row r="1039" spans="1:4">
      <c r="A1039" s="66" t="s">
        <v>1458</v>
      </c>
      <c r="B1039" s="65">
        <v>157434</v>
      </c>
      <c r="C1039" s="65">
        <v>732</v>
      </c>
      <c r="D1039" s="65">
        <v>9</v>
      </c>
    </row>
    <row r="1040" spans="1:4">
      <c r="A1040" s="66" t="s">
        <v>1560</v>
      </c>
      <c r="B1040" s="65">
        <v>112793</v>
      </c>
      <c r="C1040" s="65">
        <v>789</v>
      </c>
      <c r="D1040" s="65">
        <v>9</v>
      </c>
    </row>
    <row r="1041" spans="1:4">
      <c r="A1041" s="66" t="s">
        <v>1535</v>
      </c>
      <c r="B1041" s="65">
        <v>62450</v>
      </c>
      <c r="C1041" s="65">
        <v>42</v>
      </c>
      <c r="D1041" s="65">
        <v>9</v>
      </c>
    </row>
    <row r="1042" spans="1:4">
      <c r="A1042" s="66" t="s">
        <v>1792</v>
      </c>
      <c r="B1042" s="65">
        <v>159181</v>
      </c>
      <c r="C1042" s="65">
        <v>88</v>
      </c>
      <c r="D1042" s="65">
        <v>9</v>
      </c>
    </row>
    <row r="1043" spans="1:4">
      <c r="A1043" s="66" t="s">
        <v>1785</v>
      </c>
      <c r="B1043" s="65">
        <v>109264</v>
      </c>
      <c r="C1043" s="65">
        <v>262</v>
      </c>
      <c r="D1043" s="65">
        <v>9</v>
      </c>
    </row>
    <row r="1044" spans="1:4">
      <c r="A1044" s="66" t="s">
        <v>1628</v>
      </c>
      <c r="B1044" s="65">
        <v>141030</v>
      </c>
      <c r="C1044" s="65">
        <v>372</v>
      </c>
      <c r="D1044" s="65">
        <v>9</v>
      </c>
    </row>
    <row r="1045" spans="1:4">
      <c r="A1045" s="66" t="s">
        <v>1487</v>
      </c>
      <c r="B1045" s="65">
        <v>39737</v>
      </c>
      <c r="C1045" s="65">
        <v>106</v>
      </c>
      <c r="D1045" s="65">
        <v>9</v>
      </c>
    </row>
    <row r="1046" spans="1:4">
      <c r="A1046" s="66" t="s">
        <v>1580</v>
      </c>
      <c r="B1046" s="65">
        <v>105914</v>
      </c>
      <c r="C1046" s="65">
        <v>1200</v>
      </c>
      <c r="D1046" s="65">
        <v>9</v>
      </c>
    </row>
    <row r="1047" spans="1:4">
      <c r="A1047" s="66" t="s">
        <v>1360</v>
      </c>
      <c r="B1047" s="65">
        <v>14995</v>
      </c>
      <c r="C1047" s="65">
        <v>204</v>
      </c>
      <c r="D1047" s="65">
        <v>9</v>
      </c>
    </row>
    <row r="1048" spans="1:4">
      <c r="A1048" s="66" t="s">
        <v>1359</v>
      </c>
      <c r="B1048" s="65">
        <v>9720</v>
      </c>
      <c r="C1048" s="65">
        <v>15</v>
      </c>
      <c r="D1048" s="65">
        <v>9</v>
      </c>
    </row>
    <row r="1049" spans="1:4">
      <c r="A1049" s="66" t="s">
        <v>1729</v>
      </c>
      <c r="B1049" s="65">
        <v>5798</v>
      </c>
      <c r="C1049" s="65">
        <v>144</v>
      </c>
      <c r="D1049" s="65">
        <v>9</v>
      </c>
    </row>
    <row r="1050" spans="1:4">
      <c r="A1050" s="66" t="s">
        <v>1842</v>
      </c>
      <c r="B1050" s="65">
        <v>1510</v>
      </c>
      <c r="C1050" s="65">
        <v>936</v>
      </c>
      <c r="D1050" s="65">
        <v>9</v>
      </c>
    </row>
    <row r="1051" spans="1:4">
      <c r="A1051" s="66" t="s">
        <v>1744</v>
      </c>
      <c r="B1051" s="65">
        <v>141031</v>
      </c>
      <c r="C1051" s="65">
        <v>360</v>
      </c>
      <c r="D1051" s="65">
        <v>9</v>
      </c>
    </row>
    <row r="1052" spans="1:4">
      <c r="A1052" s="66" t="s">
        <v>1843</v>
      </c>
      <c r="B1052" s="65">
        <v>74603</v>
      </c>
      <c r="C1052" s="65">
        <v>540</v>
      </c>
      <c r="D1052" s="65">
        <v>9</v>
      </c>
    </row>
    <row r="1053" spans="1:4">
      <c r="A1053" s="66" t="s">
        <v>1948</v>
      </c>
      <c r="B1053" s="65">
        <v>138958</v>
      </c>
      <c r="C1053" s="65">
        <v>54</v>
      </c>
      <c r="D1053" s="65">
        <v>9</v>
      </c>
    </row>
    <row r="1054" spans="1:4">
      <c r="A1054" s="66" t="s">
        <v>1748</v>
      </c>
      <c r="B1054" s="65">
        <v>83900</v>
      </c>
      <c r="C1054" s="65">
        <v>684</v>
      </c>
      <c r="D1054" s="65">
        <v>9</v>
      </c>
    </row>
    <row r="1055" spans="1:4">
      <c r="A1055" s="66" t="s">
        <v>1751</v>
      </c>
      <c r="B1055" s="65">
        <v>158011</v>
      </c>
      <c r="C1055" s="65">
        <v>41</v>
      </c>
      <c r="D1055" s="65">
        <v>9</v>
      </c>
    </row>
    <row r="1056" spans="1:4">
      <c r="A1056" s="66" t="s">
        <v>2586</v>
      </c>
      <c r="B1056" s="65">
        <v>80419</v>
      </c>
      <c r="C1056" s="65">
        <v>44</v>
      </c>
      <c r="D1056" s="65">
        <v>9</v>
      </c>
    </row>
    <row r="1057" spans="1:4">
      <c r="A1057" s="66" t="s">
        <v>2052</v>
      </c>
      <c r="B1057" s="65">
        <v>35254</v>
      </c>
      <c r="C1057" s="65">
        <v>19</v>
      </c>
      <c r="D1057" s="65">
        <v>9</v>
      </c>
    </row>
    <row r="1058" spans="1:4">
      <c r="A1058" s="66" t="s">
        <v>2161</v>
      </c>
      <c r="B1058" s="65">
        <v>36992</v>
      </c>
      <c r="C1058" s="65">
        <v>48</v>
      </c>
      <c r="D1058" s="65">
        <v>9</v>
      </c>
    </row>
    <row r="1059" spans="1:4">
      <c r="A1059" s="66" t="s">
        <v>2221</v>
      </c>
      <c r="B1059" s="65">
        <v>156347</v>
      </c>
      <c r="C1059" s="65">
        <v>115</v>
      </c>
      <c r="D1059" s="65">
        <v>9</v>
      </c>
    </row>
    <row r="1060" spans="1:4">
      <c r="A1060" s="66" t="s">
        <v>2232</v>
      </c>
      <c r="B1060" s="65">
        <v>132822</v>
      </c>
      <c r="C1060" s="65">
        <v>29</v>
      </c>
      <c r="D1060" s="65">
        <v>9</v>
      </c>
    </row>
    <row r="1061" spans="1:4">
      <c r="A1061" s="66" t="s">
        <v>2026</v>
      </c>
      <c r="B1061" s="65">
        <v>56</v>
      </c>
      <c r="C1061" s="65">
        <v>12</v>
      </c>
      <c r="D1061" s="65">
        <v>9</v>
      </c>
    </row>
    <row r="1062" spans="1:4">
      <c r="A1062" s="66" t="s">
        <v>2038</v>
      </c>
      <c r="B1062" s="65">
        <v>137618</v>
      </c>
      <c r="C1062" s="65">
        <v>20</v>
      </c>
      <c r="D1062" s="65">
        <v>9</v>
      </c>
    </row>
    <row r="1063" spans="1:4">
      <c r="A1063" s="66" t="s">
        <v>2504</v>
      </c>
      <c r="B1063" s="65">
        <v>64024</v>
      </c>
      <c r="C1063" s="65">
        <v>126</v>
      </c>
      <c r="D1063" s="65">
        <v>9</v>
      </c>
    </row>
    <row r="1064" spans="1:4">
      <c r="A1064" s="66" t="s">
        <v>2300</v>
      </c>
      <c r="B1064" s="65">
        <v>110682</v>
      </c>
      <c r="C1064" s="65">
        <v>200</v>
      </c>
      <c r="D1064" s="65">
        <v>9</v>
      </c>
    </row>
    <row r="1065" spans="1:4">
      <c r="A1065" s="66" t="s">
        <v>2416</v>
      </c>
      <c r="B1065" s="65">
        <v>110505</v>
      </c>
      <c r="C1065" s="65">
        <v>67</v>
      </c>
      <c r="D1065" s="65">
        <v>9</v>
      </c>
    </row>
    <row r="1066" spans="1:4">
      <c r="A1066" s="66" t="s">
        <v>2330</v>
      </c>
      <c r="B1066" s="65">
        <v>177695</v>
      </c>
      <c r="C1066" s="65">
        <v>120</v>
      </c>
      <c r="D1066" s="65">
        <v>9</v>
      </c>
    </row>
    <row r="1067" spans="1:4">
      <c r="A1067" s="66" t="s">
        <v>2067</v>
      </c>
      <c r="B1067" s="65">
        <v>126112</v>
      </c>
      <c r="C1067" s="65">
        <v>32</v>
      </c>
      <c r="D1067" s="65">
        <v>9</v>
      </c>
    </row>
    <row r="1068" spans="1:4">
      <c r="A1068" s="66" t="s">
        <v>1960</v>
      </c>
      <c r="B1068" s="65">
        <v>160091</v>
      </c>
      <c r="C1068" s="65">
        <v>9576</v>
      </c>
      <c r="D1068" s="65">
        <v>9</v>
      </c>
    </row>
    <row r="1069" spans="1:4">
      <c r="A1069" s="66" t="s">
        <v>237</v>
      </c>
      <c r="B1069" s="65">
        <v>68068</v>
      </c>
      <c r="C1069" s="65">
        <v>128</v>
      </c>
      <c r="D1069" s="65">
        <v>8</v>
      </c>
    </row>
    <row r="1070" spans="1:4">
      <c r="A1070" s="66" t="s">
        <v>125</v>
      </c>
      <c r="B1070" s="65">
        <v>106380</v>
      </c>
      <c r="C1070" s="65">
        <v>440</v>
      </c>
      <c r="D1070" s="65">
        <v>8</v>
      </c>
    </row>
    <row r="1071" spans="1:4">
      <c r="A1071" s="66" t="s">
        <v>124</v>
      </c>
      <c r="B1071" s="65">
        <v>104614</v>
      </c>
      <c r="C1071" s="65">
        <v>26</v>
      </c>
      <c r="D1071" s="65">
        <v>8</v>
      </c>
    </row>
    <row r="1072" spans="1:4">
      <c r="A1072" s="66" t="s">
        <v>19</v>
      </c>
      <c r="B1072" s="65">
        <v>80793</v>
      </c>
      <c r="C1072" s="65">
        <v>200</v>
      </c>
      <c r="D1072" s="65">
        <v>8</v>
      </c>
    </row>
    <row r="1073" spans="1:4">
      <c r="A1073" s="66" t="s">
        <v>3</v>
      </c>
      <c r="B1073" s="65">
        <v>90495</v>
      </c>
      <c r="C1073" s="65">
        <v>140</v>
      </c>
      <c r="D1073" s="65">
        <v>8</v>
      </c>
    </row>
    <row r="1074" spans="1:4">
      <c r="A1074" s="66" t="s">
        <v>485</v>
      </c>
      <c r="B1074" s="65">
        <v>1822</v>
      </c>
      <c r="C1074" s="65">
        <v>68</v>
      </c>
      <c r="D1074" s="65">
        <v>8</v>
      </c>
    </row>
    <row r="1075" spans="1:4">
      <c r="A1075" s="66" t="s">
        <v>597</v>
      </c>
      <c r="B1075" s="65">
        <v>142566</v>
      </c>
      <c r="C1075" s="65">
        <v>2000</v>
      </c>
      <c r="D1075" s="65">
        <v>8</v>
      </c>
    </row>
    <row r="1076" spans="1:4">
      <c r="A1076" s="66" t="s">
        <v>575</v>
      </c>
      <c r="B1076" s="65">
        <v>178082</v>
      </c>
      <c r="C1076" s="65">
        <v>278</v>
      </c>
      <c r="D1076" s="65">
        <v>8</v>
      </c>
    </row>
    <row r="1077" spans="1:4">
      <c r="A1077" s="66" t="s">
        <v>573</v>
      </c>
      <c r="B1077" s="65">
        <v>172870</v>
      </c>
      <c r="C1077" s="65">
        <v>94</v>
      </c>
      <c r="D1077" s="65">
        <v>8</v>
      </c>
    </row>
    <row r="1078" spans="1:4">
      <c r="A1078" s="66" t="s">
        <v>567</v>
      </c>
      <c r="B1078" s="65">
        <v>468</v>
      </c>
      <c r="C1078" s="65">
        <v>19</v>
      </c>
      <c r="D1078" s="65">
        <v>8</v>
      </c>
    </row>
    <row r="1079" spans="1:4">
      <c r="A1079" s="66" t="s">
        <v>85</v>
      </c>
      <c r="B1079" s="65">
        <v>95802</v>
      </c>
      <c r="C1079" s="65">
        <v>66</v>
      </c>
      <c r="D1079" s="65">
        <v>8</v>
      </c>
    </row>
    <row r="1080" spans="1:4">
      <c r="A1080" s="66" t="s">
        <v>302</v>
      </c>
      <c r="B1080" s="65">
        <v>11552</v>
      </c>
      <c r="C1080" s="65">
        <v>95</v>
      </c>
      <c r="D1080" s="65">
        <v>8</v>
      </c>
    </row>
    <row r="1081" spans="1:4">
      <c r="A1081" s="66" t="s">
        <v>277</v>
      </c>
      <c r="B1081" s="65">
        <v>77273</v>
      </c>
      <c r="C1081" s="65">
        <v>59</v>
      </c>
      <c r="D1081" s="65">
        <v>8</v>
      </c>
    </row>
    <row r="1082" spans="1:4">
      <c r="A1082" s="66" t="s">
        <v>160</v>
      </c>
      <c r="B1082" s="65">
        <v>37932</v>
      </c>
      <c r="C1082" s="65">
        <v>22</v>
      </c>
      <c r="D1082" s="65">
        <v>8</v>
      </c>
    </row>
    <row r="1083" spans="1:4">
      <c r="A1083" s="66" t="s">
        <v>196</v>
      </c>
      <c r="B1083" s="65">
        <v>1963</v>
      </c>
      <c r="C1083" s="65">
        <v>192</v>
      </c>
      <c r="D1083" s="65">
        <v>8</v>
      </c>
    </row>
    <row r="1084" spans="1:4">
      <c r="A1084" s="66" t="s">
        <v>261</v>
      </c>
      <c r="B1084" s="65">
        <v>903</v>
      </c>
      <c r="C1084" s="65">
        <v>39</v>
      </c>
      <c r="D1084" s="65">
        <v>8</v>
      </c>
    </row>
    <row r="1085" spans="1:4">
      <c r="A1085" s="66" t="s">
        <v>91</v>
      </c>
      <c r="B1085" s="65">
        <v>129566</v>
      </c>
      <c r="C1085" s="65">
        <v>44</v>
      </c>
      <c r="D1085" s="65">
        <v>8</v>
      </c>
    </row>
    <row r="1086" spans="1:4">
      <c r="A1086" s="66" t="s">
        <v>42</v>
      </c>
      <c r="B1086" s="65">
        <v>176171</v>
      </c>
      <c r="C1086" s="65">
        <v>3750</v>
      </c>
      <c r="D1086" s="65">
        <v>8</v>
      </c>
    </row>
    <row r="1087" spans="1:4">
      <c r="A1087" s="66" t="s">
        <v>549</v>
      </c>
      <c r="B1087" s="65">
        <v>134069</v>
      </c>
      <c r="C1087" s="65">
        <v>54</v>
      </c>
      <c r="D1087" s="65">
        <v>8</v>
      </c>
    </row>
    <row r="1088" spans="1:4">
      <c r="A1088" s="66" t="s">
        <v>499</v>
      </c>
      <c r="B1088" s="65">
        <v>127300</v>
      </c>
      <c r="C1088" s="65">
        <v>200</v>
      </c>
      <c r="D1088" s="65">
        <v>8</v>
      </c>
    </row>
    <row r="1089" spans="1:4">
      <c r="A1089" s="66" t="s">
        <v>335</v>
      </c>
      <c r="B1089" s="65">
        <v>4133</v>
      </c>
      <c r="C1089" s="65">
        <v>70</v>
      </c>
      <c r="D1089" s="65">
        <v>8</v>
      </c>
    </row>
    <row r="1090" spans="1:4">
      <c r="A1090" s="66" t="s">
        <v>488</v>
      </c>
      <c r="B1090" s="65">
        <v>39346</v>
      </c>
      <c r="C1090" s="65">
        <v>1600</v>
      </c>
      <c r="D1090" s="65">
        <v>8</v>
      </c>
    </row>
    <row r="1091" spans="1:4">
      <c r="A1091" s="66" t="s">
        <v>1147</v>
      </c>
      <c r="B1091" s="65">
        <v>118836</v>
      </c>
      <c r="C1091" s="65">
        <v>228</v>
      </c>
      <c r="D1091" s="65">
        <v>8</v>
      </c>
    </row>
    <row r="1092" spans="1:4">
      <c r="A1092" s="66" t="s">
        <v>1263</v>
      </c>
      <c r="B1092" s="65">
        <v>110040</v>
      </c>
      <c r="C1092" s="65">
        <v>230</v>
      </c>
      <c r="D1092" s="65">
        <v>8</v>
      </c>
    </row>
    <row r="1093" spans="1:4">
      <c r="A1093" s="66" t="s">
        <v>1175</v>
      </c>
      <c r="B1093" s="65">
        <v>132827</v>
      </c>
      <c r="C1093" s="65">
        <v>240</v>
      </c>
      <c r="D1093" s="65">
        <v>8</v>
      </c>
    </row>
    <row r="1094" spans="1:4">
      <c r="A1094" s="66" t="s">
        <v>1074</v>
      </c>
      <c r="B1094" s="65">
        <v>131495</v>
      </c>
      <c r="C1094" s="65">
        <v>14</v>
      </c>
      <c r="D1094" s="65">
        <v>8</v>
      </c>
    </row>
    <row r="1095" spans="1:4">
      <c r="A1095" s="66" t="s">
        <v>1189</v>
      </c>
      <c r="B1095" s="65">
        <v>453</v>
      </c>
      <c r="C1095" s="65">
        <v>26</v>
      </c>
      <c r="D1095" s="65">
        <v>8</v>
      </c>
    </row>
    <row r="1096" spans="1:4">
      <c r="A1096" s="66" t="s">
        <v>804</v>
      </c>
      <c r="B1096" s="65">
        <v>84777</v>
      </c>
      <c r="C1096" s="65">
        <v>40</v>
      </c>
      <c r="D1096" s="65">
        <v>8</v>
      </c>
    </row>
    <row r="1097" spans="1:4">
      <c r="A1097" s="66" t="s">
        <v>937</v>
      </c>
      <c r="B1097" s="65">
        <v>110683</v>
      </c>
      <c r="C1097" s="65">
        <v>144</v>
      </c>
      <c r="D1097" s="65">
        <v>8</v>
      </c>
    </row>
    <row r="1098" spans="1:4">
      <c r="A1098" s="66" t="s">
        <v>837</v>
      </c>
      <c r="B1098" s="65">
        <v>156826</v>
      </c>
      <c r="C1098" s="65">
        <v>26</v>
      </c>
      <c r="D1098" s="65">
        <v>8</v>
      </c>
    </row>
    <row r="1099" spans="1:4">
      <c r="A1099" s="66" t="s">
        <v>991</v>
      </c>
      <c r="B1099" s="65">
        <v>95801</v>
      </c>
      <c r="C1099" s="65">
        <v>54</v>
      </c>
      <c r="D1099" s="65">
        <v>8</v>
      </c>
    </row>
    <row r="1100" spans="1:4">
      <c r="A1100" s="66" t="s">
        <v>1223</v>
      </c>
      <c r="B1100" s="65">
        <v>156854</v>
      </c>
      <c r="C1100" s="65">
        <v>114</v>
      </c>
      <c r="D1100" s="65">
        <v>8</v>
      </c>
    </row>
    <row r="1101" spans="1:4">
      <c r="A1101" s="66" t="s">
        <v>861</v>
      </c>
      <c r="B1101" s="65">
        <v>27863</v>
      </c>
      <c r="C1101" s="65">
        <v>108</v>
      </c>
      <c r="D1101" s="65">
        <v>8</v>
      </c>
    </row>
    <row r="1102" spans="1:4">
      <c r="A1102" s="66" t="s">
        <v>1333</v>
      </c>
      <c r="B1102" s="65">
        <v>190</v>
      </c>
      <c r="C1102" s="65">
        <v>26</v>
      </c>
      <c r="D1102" s="65">
        <v>8</v>
      </c>
    </row>
    <row r="1103" spans="1:4">
      <c r="A1103" s="66" t="s">
        <v>1773</v>
      </c>
      <c r="B1103" s="65">
        <v>159028</v>
      </c>
      <c r="C1103" s="65">
        <v>80</v>
      </c>
      <c r="D1103" s="65">
        <v>8</v>
      </c>
    </row>
    <row r="1104" spans="1:4">
      <c r="A1104" s="66" t="s">
        <v>1769</v>
      </c>
      <c r="B1104" s="65">
        <v>35140</v>
      </c>
      <c r="C1104" s="65">
        <v>11</v>
      </c>
      <c r="D1104" s="65">
        <v>8</v>
      </c>
    </row>
    <row r="1105" spans="1:4">
      <c r="A1105" s="66" t="s">
        <v>1607</v>
      </c>
      <c r="B1105" s="65">
        <v>93438</v>
      </c>
      <c r="C1105" s="65">
        <v>140</v>
      </c>
      <c r="D1105" s="65">
        <v>8</v>
      </c>
    </row>
    <row r="1106" spans="1:4">
      <c r="A1106" s="66" t="s">
        <v>1468</v>
      </c>
      <c r="B1106" s="65">
        <v>30233</v>
      </c>
      <c r="C1106" s="65">
        <v>168</v>
      </c>
      <c r="D1106" s="65">
        <v>8</v>
      </c>
    </row>
    <row r="1107" spans="1:4">
      <c r="A1107" s="66" t="s">
        <v>1419</v>
      </c>
      <c r="B1107" s="65">
        <v>140939</v>
      </c>
      <c r="C1107" s="65">
        <v>432</v>
      </c>
      <c r="D1107" s="65">
        <v>8</v>
      </c>
    </row>
    <row r="1108" spans="1:4">
      <c r="A1108" s="66" t="s">
        <v>1642</v>
      </c>
      <c r="B1108" s="65">
        <v>8001</v>
      </c>
      <c r="C1108" s="65">
        <v>108</v>
      </c>
      <c r="D1108" s="65">
        <v>8</v>
      </c>
    </row>
    <row r="1109" spans="1:4">
      <c r="A1109" s="66" t="s">
        <v>1684</v>
      </c>
      <c r="B1109" s="65">
        <v>138566</v>
      </c>
      <c r="C1109" s="65">
        <v>108</v>
      </c>
      <c r="D1109" s="65">
        <v>8</v>
      </c>
    </row>
    <row r="1110" spans="1:4">
      <c r="A1110" s="66" t="s">
        <v>2336</v>
      </c>
      <c r="B1110" s="65">
        <v>78468</v>
      </c>
      <c r="C1110" s="65">
        <v>1345</v>
      </c>
      <c r="D1110" s="65">
        <v>8</v>
      </c>
    </row>
    <row r="1111" spans="1:4">
      <c r="A1111" s="66" t="s">
        <v>2390</v>
      </c>
      <c r="B1111" s="65">
        <v>73351</v>
      </c>
      <c r="C1111" s="65">
        <v>70</v>
      </c>
      <c r="D1111" s="65">
        <v>8</v>
      </c>
    </row>
    <row r="1112" spans="1:4">
      <c r="A1112" s="66" t="s">
        <v>2585</v>
      </c>
      <c r="B1112" s="65">
        <v>626</v>
      </c>
      <c r="C1112" s="65">
        <v>264</v>
      </c>
      <c r="D1112" s="65">
        <v>8</v>
      </c>
    </row>
    <row r="1113" spans="1:4">
      <c r="A1113" s="66" t="s">
        <v>2600</v>
      </c>
      <c r="B1113" s="65">
        <v>97208</v>
      </c>
      <c r="C1113" s="65">
        <v>31</v>
      </c>
      <c r="D1113" s="65">
        <v>8</v>
      </c>
    </row>
    <row r="1114" spans="1:4">
      <c r="A1114" s="66" t="s">
        <v>2169</v>
      </c>
      <c r="B1114" s="65">
        <v>123944</v>
      </c>
      <c r="C1114" s="65">
        <v>80</v>
      </c>
      <c r="D1114" s="65">
        <v>8</v>
      </c>
    </row>
    <row r="1115" spans="1:4">
      <c r="A1115" s="66" t="s">
        <v>2216</v>
      </c>
      <c r="B1115" s="65">
        <v>63520</v>
      </c>
      <c r="C1115" s="65">
        <v>54</v>
      </c>
      <c r="D1115" s="65">
        <v>8</v>
      </c>
    </row>
    <row r="1116" spans="1:4">
      <c r="A1116" s="66" t="s">
        <v>2162</v>
      </c>
      <c r="B1116" s="65">
        <v>8366</v>
      </c>
      <c r="C1116" s="65">
        <v>69</v>
      </c>
      <c r="D1116" s="65">
        <v>8</v>
      </c>
    </row>
    <row r="1117" spans="1:4">
      <c r="A1117" s="66" t="s">
        <v>2267</v>
      </c>
      <c r="B1117" s="65">
        <v>59364</v>
      </c>
      <c r="C1117" s="65">
        <v>30</v>
      </c>
      <c r="D1117" s="65">
        <v>8</v>
      </c>
    </row>
    <row r="1118" spans="1:4">
      <c r="A1118" s="66" t="s">
        <v>2016</v>
      </c>
      <c r="B1118" s="65">
        <v>12158</v>
      </c>
      <c r="C1118" s="65">
        <v>66</v>
      </c>
      <c r="D1118" s="65">
        <v>8</v>
      </c>
    </row>
    <row r="1119" spans="1:4">
      <c r="A1119" s="66" t="s">
        <v>2253</v>
      </c>
      <c r="B1119" s="65">
        <v>139710</v>
      </c>
      <c r="C1119" s="65">
        <v>27</v>
      </c>
      <c r="D1119" s="65">
        <v>8</v>
      </c>
    </row>
    <row r="1120" spans="1:4">
      <c r="A1120" s="66" t="s">
        <v>2255</v>
      </c>
      <c r="B1120" s="65">
        <v>106356</v>
      </c>
      <c r="C1120" s="65">
        <v>13</v>
      </c>
      <c r="D1120" s="65">
        <v>8</v>
      </c>
    </row>
    <row r="1121" spans="1:4">
      <c r="A1121" s="66" t="s">
        <v>2380</v>
      </c>
      <c r="B1121" s="65">
        <v>27576</v>
      </c>
      <c r="C1121" s="65">
        <v>320</v>
      </c>
      <c r="D1121" s="65">
        <v>8</v>
      </c>
    </row>
    <row r="1122" spans="1:4">
      <c r="A1122" s="66" t="s">
        <v>2394</v>
      </c>
      <c r="B1122" s="65">
        <v>35399</v>
      </c>
      <c r="C1122" s="65">
        <v>80</v>
      </c>
      <c r="D1122" s="65">
        <v>8</v>
      </c>
    </row>
    <row r="1123" spans="1:4">
      <c r="A1123" s="66" t="s">
        <v>2493</v>
      </c>
      <c r="B1123" s="65">
        <v>112434</v>
      </c>
      <c r="C1123" s="65">
        <v>32</v>
      </c>
      <c r="D1123" s="65">
        <v>8</v>
      </c>
    </row>
    <row r="1124" spans="1:4">
      <c r="A1124" s="66" t="s">
        <v>2286</v>
      </c>
      <c r="B1124" s="65">
        <v>95450</v>
      </c>
      <c r="C1124" s="65">
        <v>52</v>
      </c>
      <c r="D1124" s="65">
        <v>8</v>
      </c>
    </row>
    <row r="1125" spans="1:4">
      <c r="A1125" s="66" t="s">
        <v>2518</v>
      </c>
      <c r="B1125" s="65">
        <v>105327</v>
      </c>
      <c r="C1125" s="65">
        <v>105</v>
      </c>
      <c r="D1125" s="65">
        <v>8</v>
      </c>
    </row>
    <row r="1126" spans="1:4">
      <c r="A1126" s="66" t="s">
        <v>2621</v>
      </c>
      <c r="B1126" s="65">
        <v>156931</v>
      </c>
      <c r="C1126" s="65">
        <v>55</v>
      </c>
      <c r="D1126" s="65">
        <v>8</v>
      </c>
    </row>
    <row r="1127" spans="1:4">
      <c r="A1127" s="66" t="s">
        <v>130</v>
      </c>
      <c r="B1127" s="65">
        <v>20032</v>
      </c>
      <c r="C1127" s="65">
        <v>60</v>
      </c>
      <c r="D1127" s="65">
        <v>7</v>
      </c>
    </row>
    <row r="1128" spans="1:4">
      <c r="A1128" s="66" t="s">
        <v>236</v>
      </c>
      <c r="B1128" s="65">
        <v>124940</v>
      </c>
      <c r="C1128" s="65">
        <v>296</v>
      </c>
      <c r="D1128" s="65">
        <v>7</v>
      </c>
    </row>
    <row r="1129" spans="1:4">
      <c r="A1129" s="66" t="s">
        <v>363</v>
      </c>
      <c r="B1129" s="65">
        <v>27578</v>
      </c>
      <c r="C1129" s="65">
        <v>100</v>
      </c>
      <c r="D1129" s="65">
        <v>7</v>
      </c>
    </row>
    <row r="1130" spans="1:4">
      <c r="A1130" s="66" t="s">
        <v>349</v>
      </c>
      <c r="B1130" s="65">
        <v>123233</v>
      </c>
      <c r="C1130" s="65">
        <v>162</v>
      </c>
      <c r="D1130" s="65">
        <v>7</v>
      </c>
    </row>
    <row r="1131" spans="1:4">
      <c r="A1131" s="66" t="s">
        <v>565</v>
      </c>
      <c r="B1131" s="65">
        <v>77270</v>
      </c>
      <c r="C1131" s="65">
        <v>18</v>
      </c>
      <c r="D1131" s="65">
        <v>7</v>
      </c>
    </row>
    <row r="1132" spans="1:4">
      <c r="A1132" s="66" t="s">
        <v>297</v>
      </c>
      <c r="B1132" s="65">
        <v>65257</v>
      </c>
      <c r="C1132" s="65">
        <v>90</v>
      </c>
      <c r="D1132" s="65">
        <v>7</v>
      </c>
    </row>
    <row r="1133" spans="1:4">
      <c r="A1133" s="66" t="s">
        <v>203</v>
      </c>
      <c r="B1133" s="65">
        <v>192</v>
      </c>
      <c r="C1133" s="65">
        <v>43</v>
      </c>
      <c r="D1133" s="65">
        <v>7</v>
      </c>
    </row>
    <row r="1134" spans="1:4">
      <c r="A1134" s="66" t="s">
        <v>311</v>
      </c>
      <c r="B1134" s="65">
        <v>1428</v>
      </c>
      <c r="C1134" s="65">
        <v>27</v>
      </c>
      <c r="D1134" s="65">
        <v>7</v>
      </c>
    </row>
    <row r="1135" spans="1:4">
      <c r="A1135" s="66" t="s">
        <v>293</v>
      </c>
      <c r="B1135" s="65">
        <v>108438</v>
      </c>
      <c r="C1135" s="65">
        <v>78</v>
      </c>
      <c r="D1135" s="65">
        <v>7</v>
      </c>
    </row>
    <row r="1136" spans="1:4">
      <c r="A1136" s="66" t="s">
        <v>44</v>
      </c>
      <c r="B1136" s="65">
        <v>119209</v>
      </c>
      <c r="C1136" s="65">
        <v>445</v>
      </c>
      <c r="D1136" s="65">
        <v>7</v>
      </c>
    </row>
    <row r="1137" spans="1:4">
      <c r="A1137" s="66" t="s">
        <v>559</v>
      </c>
      <c r="B1137" s="65">
        <v>9385</v>
      </c>
      <c r="C1137" s="65">
        <v>80</v>
      </c>
      <c r="D1137" s="65">
        <v>7</v>
      </c>
    </row>
    <row r="1138" spans="1:4">
      <c r="A1138" s="66" t="s">
        <v>501</v>
      </c>
      <c r="B1138" s="65">
        <v>37456</v>
      </c>
      <c r="C1138" s="65">
        <v>54</v>
      </c>
      <c r="D1138" s="65">
        <v>7</v>
      </c>
    </row>
    <row r="1139" spans="1:4">
      <c r="A1139" s="66" t="s">
        <v>376</v>
      </c>
      <c r="B1139" s="65">
        <v>139159</v>
      </c>
      <c r="C1139" s="65">
        <v>288</v>
      </c>
      <c r="D1139" s="65">
        <v>7</v>
      </c>
    </row>
    <row r="1140" spans="1:4">
      <c r="A1140" s="66" t="s">
        <v>1034</v>
      </c>
      <c r="B1140" s="65">
        <v>95216</v>
      </c>
      <c r="C1140" s="65">
        <v>40</v>
      </c>
      <c r="D1140" s="65">
        <v>7</v>
      </c>
    </row>
    <row r="1141" spans="1:4">
      <c r="A1141" s="66" t="s">
        <v>1149</v>
      </c>
      <c r="B1141" s="65">
        <v>9437</v>
      </c>
      <c r="C1141" s="65">
        <v>24</v>
      </c>
      <c r="D1141" s="65">
        <v>7</v>
      </c>
    </row>
    <row r="1142" spans="1:4">
      <c r="A1142" s="66" t="s">
        <v>1150</v>
      </c>
      <c r="B1142" s="65">
        <v>37918</v>
      </c>
      <c r="C1142" s="65">
        <v>31</v>
      </c>
      <c r="D1142" s="65">
        <v>7</v>
      </c>
    </row>
    <row r="1143" spans="1:4">
      <c r="A1143" s="66" t="s">
        <v>1204</v>
      </c>
      <c r="B1143" s="65">
        <v>337</v>
      </c>
      <c r="C1143" s="65">
        <v>18</v>
      </c>
      <c r="D1143" s="65">
        <v>7</v>
      </c>
    </row>
    <row r="1144" spans="1:4">
      <c r="A1144" s="66" t="s">
        <v>1075</v>
      </c>
      <c r="B1144" s="65">
        <v>157775</v>
      </c>
      <c r="C1144" s="65">
        <v>56</v>
      </c>
      <c r="D1144" s="65">
        <v>7</v>
      </c>
    </row>
    <row r="1145" spans="1:4">
      <c r="A1145" s="66" t="s">
        <v>744</v>
      </c>
      <c r="B1145" s="65">
        <v>87497</v>
      </c>
      <c r="C1145" s="65">
        <v>22</v>
      </c>
      <c r="D1145" s="65">
        <v>7</v>
      </c>
    </row>
    <row r="1146" spans="1:4">
      <c r="A1146" s="66" t="s">
        <v>803</v>
      </c>
      <c r="B1146" s="65">
        <v>2948</v>
      </c>
      <c r="C1146" s="65">
        <v>100</v>
      </c>
      <c r="D1146" s="65">
        <v>7</v>
      </c>
    </row>
    <row r="1147" spans="1:4">
      <c r="A1147" s="66" t="s">
        <v>746</v>
      </c>
      <c r="B1147" s="65">
        <v>9662</v>
      </c>
      <c r="C1147" s="65">
        <v>74</v>
      </c>
      <c r="D1147" s="65">
        <v>7</v>
      </c>
    </row>
    <row r="1148" spans="1:4">
      <c r="A1148" s="66" t="s">
        <v>1152</v>
      </c>
      <c r="B1148" s="65">
        <v>244</v>
      </c>
      <c r="C1148" s="65">
        <v>271</v>
      </c>
      <c r="D1148" s="65">
        <v>7</v>
      </c>
    </row>
    <row r="1149" spans="1:4">
      <c r="A1149" s="66" t="s">
        <v>1194</v>
      </c>
      <c r="B1149" s="65">
        <v>19489</v>
      </c>
      <c r="C1149" s="65">
        <v>51</v>
      </c>
      <c r="D1149" s="65">
        <v>7</v>
      </c>
    </row>
    <row r="1150" spans="1:4">
      <c r="A1150" s="66" t="s">
        <v>1196</v>
      </c>
      <c r="B1150" s="65">
        <v>60169</v>
      </c>
      <c r="C1150" s="65">
        <v>36</v>
      </c>
      <c r="D1150" s="65">
        <v>7</v>
      </c>
    </row>
    <row r="1151" spans="1:4">
      <c r="A1151" s="66" t="s">
        <v>1238</v>
      </c>
      <c r="B1151" s="65">
        <v>132797</v>
      </c>
      <c r="C1151" s="65">
        <v>11</v>
      </c>
      <c r="D1151" s="65">
        <v>7</v>
      </c>
    </row>
    <row r="1152" spans="1:4">
      <c r="A1152" s="66" t="s">
        <v>1018</v>
      </c>
      <c r="B1152" s="65">
        <v>138959</v>
      </c>
      <c r="C1152" s="65">
        <v>21</v>
      </c>
      <c r="D1152" s="65">
        <v>7</v>
      </c>
    </row>
    <row r="1153" spans="1:4">
      <c r="A1153" s="66" t="s">
        <v>650</v>
      </c>
      <c r="B1153" s="65">
        <v>96428</v>
      </c>
      <c r="C1153" s="65">
        <v>22</v>
      </c>
      <c r="D1153" s="65">
        <v>7</v>
      </c>
    </row>
    <row r="1154" spans="1:4">
      <c r="A1154" s="66" t="s">
        <v>671</v>
      </c>
      <c r="B1154" s="65">
        <v>60671</v>
      </c>
      <c r="C1154" s="65">
        <v>400</v>
      </c>
      <c r="D1154" s="65">
        <v>7</v>
      </c>
    </row>
    <row r="1155" spans="1:4">
      <c r="A1155" s="66" t="s">
        <v>674</v>
      </c>
      <c r="B1155" s="65">
        <v>39736</v>
      </c>
      <c r="C1155" s="65">
        <v>26</v>
      </c>
      <c r="D1155" s="65">
        <v>7</v>
      </c>
    </row>
    <row r="1156" spans="1:4">
      <c r="A1156" s="66" t="s">
        <v>679</v>
      </c>
      <c r="B1156" s="65">
        <v>110200</v>
      </c>
      <c r="C1156" s="65">
        <v>100</v>
      </c>
      <c r="D1156" s="65">
        <v>7</v>
      </c>
    </row>
    <row r="1157" spans="1:4">
      <c r="A1157" s="66" t="s">
        <v>1789</v>
      </c>
      <c r="B1157" s="65">
        <v>94916</v>
      </c>
      <c r="C1157" s="65">
        <v>34</v>
      </c>
      <c r="D1157" s="65">
        <v>7</v>
      </c>
    </row>
    <row r="1158" spans="1:4">
      <c r="A1158" s="66" t="s">
        <v>1898</v>
      </c>
      <c r="B1158" s="65">
        <v>90499</v>
      </c>
      <c r="C1158" s="65">
        <v>155</v>
      </c>
      <c r="D1158" s="65">
        <v>7</v>
      </c>
    </row>
    <row r="1159" spans="1:4">
      <c r="A1159" s="66" t="s">
        <v>1659</v>
      </c>
      <c r="B1159" s="65">
        <v>156912</v>
      </c>
      <c r="C1159" s="65">
        <v>300</v>
      </c>
      <c r="D1159" s="65">
        <v>7</v>
      </c>
    </row>
    <row r="1160" spans="1:4">
      <c r="A1160" s="66" t="s">
        <v>1506</v>
      </c>
      <c r="B1160" s="65">
        <v>141119</v>
      </c>
      <c r="C1160" s="65">
        <v>204</v>
      </c>
      <c r="D1160" s="65">
        <v>7</v>
      </c>
    </row>
    <row r="1161" spans="1:4">
      <c r="A1161" s="66" t="s">
        <v>1603</v>
      </c>
      <c r="B1161" s="65">
        <v>3156</v>
      </c>
      <c r="C1161" s="65">
        <v>290</v>
      </c>
      <c r="D1161" s="65">
        <v>7</v>
      </c>
    </row>
    <row r="1162" spans="1:4">
      <c r="A1162" s="66" t="s">
        <v>1596</v>
      </c>
      <c r="B1162" s="65">
        <v>138934</v>
      </c>
      <c r="C1162" s="65">
        <v>39</v>
      </c>
      <c r="D1162" s="65">
        <v>7</v>
      </c>
    </row>
    <row r="1163" spans="1:4">
      <c r="A1163" s="66" t="s">
        <v>1380</v>
      </c>
      <c r="B1163" s="65">
        <v>155727</v>
      </c>
      <c r="C1163" s="65">
        <v>8</v>
      </c>
      <c r="D1163" s="65">
        <v>7</v>
      </c>
    </row>
    <row r="1164" spans="1:4">
      <c r="A1164" s="66" t="s">
        <v>1474</v>
      </c>
      <c r="B1164" s="65">
        <v>100660</v>
      </c>
      <c r="C1164" s="65">
        <v>30</v>
      </c>
      <c r="D1164" s="65">
        <v>7</v>
      </c>
    </row>
    <row r="1165" spans="1:4">
      <c r="A1165" s="66" t="s">
        <v>1511</v>
      </c>
      <c r="B1165" s="65">
        <v>7292</v>
      </c>
      <c r="C1165" s="65">
        <v>180</v>
      </c>
      <c r="D1165" s="65">
        <v>7</v>
      </c>
    </row>
    <row r="1166" spans="1:4">
      <c r="A1166" s="66" t="s">
        <v>1467</v>
      </c>
      <c r="B1166" s="65">
        <v>95215</v>
      </c>
      <c r="C1166" s="65">
        <v>35</v>
      </c>
      <c r="D1166" s="65">
        <v>7</v>
      </c>
    </row>
    <row r="1167" spans="1:4">
      <c r="A1167" s="66" t="s">
        <v>1402</v>
      </c>
      <c r="B1167" s="65">
        <v>84052</v>
      </c>
      <c r="C1167" s="65">
        <v>120</v>
      </c>
      <c r="D1167" s="65">
        <v>7</v>
      </c>
    </row>
    <row r="1168" spans="1:4">
      <c r="A1168" s="66" t="s">
        <v>1854</v>
      </c>
      <c r="B1168" s="65">
        <v>141016</v>
      </c>
      <c r="C1168" s="65">
        <v>384</v>
      </c>
      <c r="D1168" s="65">
        <v>7</v>
      </c>
    </row>
    <row r="1169" spans="1:4">
      <c r="A1169" s="66" t="s">
        <v>1697</v>
      </c>
      <c r="B1169" s="65">
        <v>28472</v>
      </c>
      <c r="C1169" s="65">
        <v>52</v>
      </c>
      <c r="D1169" s="65">
        <v>7</v>
      </c>
    </row>
    <row r="1170" spans="1:4">
      <c r="A1170" s="66" t="s">
        <v>1913</v>
      </c>
      <c r="B1170" s="65">
        <v>141071</v>
      </c>
      <c r="C1170" s="65">
        <v>84</v>
      </c>
      <c r="D1170" s="65">
        <v>7</v>
      </c>
    </row>
    <row r="1171" spans="1:4">
      <c r="A1171" s="66" t="s">
        <v>1750</v>
      </c>
      <c r="B1171" s="65">
        <v>9937</v>
      </c>
      <c r="C1171" s="65">
        <v>168</v>
      </c>
      <c r="D1171" s="65">
        <v>7</v>
      </c>
    </row>
    <row r="1172" spans="1:4">
      <c r="A1172" s="66" t="s">
        <v>1686</v>
      </c>
      <c r="B1172" s="65">
        <v>157506</v>
      </c>
      <c r="C1172" s="65">
        <v>288</v>
      </c>
      <c r="D1172" s="65">
        <v>7</v>
      </c>
    </row>
    <row r="1173" spans="1:4">
      <c r="A1173" s="66" t="s">
        <v>1798</v>
      </c>
      <c r="B1173" s="65">
        <v>141230</v>
      </c>
      <c r="C1173" s="65">
        <v>24</v>
      </c>
      <c r="D1173" s="65">
        <v>7</v>
      </c>
    </row>
    <row r="1174" spans="1:4">
      <c r="A1174" s="66" t="s">
        <v>2217</v>
      </c>
      <c r="B1174" s="65">
        <v>268</v>
      </c>
      <c r="C1174" s="65">
        <v>13</v>
      </c>
      <c r="D1174" s="65">
        <v>7</v>
      </c>
    </row>
    <row r="1175" spans="1:4">
      <c r="A1175" s="66" t="s">
        <v>2002</v>
      </c>
      <c r="B1175" s="65">
        <v>35162</v>
      </c>
      <c r="C1175" s="65">
        <v>48</v>
      </c>
      <c r="D1175" s="65">
        <v>7</v>
      </c>
    </row>
    <row r="1176" spans="1:4">
      <c r="A1176" s="66" t="s">
        <v>2006</v>
      </c>
      <c r="B1176" s="65">
        <v>136454</v>
      </c>
      <c r="C1176" s="65">
        <v>24</v>
      </c>
      <c r="D1176" s="65">
        <v>7</v>
      </c>
    </row>
    <row r="1177" spans="1:4">
      <c r="A1177" s="66" t="s">
        <v>2242</v>
      </c>
      <c r="B1177" s="65">
        <v>139410</v>
      </c>
      <c r="C1177" s="65">
        <v>148</v>
      </c>
      <c r="D1177" s="65">
        <v>7</v>
      </c>
    </row>
    <row r="1178" spans="1:4">
      <c r="A1178" s="66" t="s">
        <v>2292</v>
      </c>
      <c r="B1178" s="65">
        <v>97052</v>
      </c>
      <c r="C1178" s="65">
        <v>165</v>
      </c>
      <c r="D1178" s="65">
        <v>7</v>
      </c>
    </row>
    <row r="1179" spans="1:4">
      <c r="A1179" s="66" t="s">
        <v>2405</v>
      </c>
      <c r="B1179" s="65">
        <v>35582</v>
      </c>
      <c r="C1179" s="65">
        <v>52</v>
      </c>
      <c r="D1179" s="65">
        <v>7</v>
      </c>
    </row>
    <row r="1180" spans="1:4">
      <c r="A1180" s="66" t="s">
        <v>2550</v>
      </c>
      <c r="B1180" s="65">
        <v>132698</v>
      </c>
      <c r="C1180" s="65">
        <v>17</v>
      </c>
      <c r="D1180" s="65">
        <v>7</v>
      </c>
    </row>
    <row r="1181" spans="1:4">
      <c r="A1181" s="66" t="s">
        <v>2269</v>
      </c>
      <c r="B1181" s="65">
        <v>172888</v>
      </c>
      <c r="C1181" s="65">
        <v>42</v>
      </c>
      <c r="D1181" s="65">
        <v>7</v>
      </c>
    </row>
    <row r="1182" spans="1:4">
      <c r="A1182" s="66" t="s">
        <v>2046</v>
      </c>
      <c r="B1182" s="65">
        <v>157242</v>
      </c>
      <c r="C1182" s="65">
        <v>125</v>
      </c>
      <c r="D1182" s="65">
        <v>7</v>
      </c>
    </row>
    <row r="1183" spans="1:4">
      <c r="A1183" s="66" t="s">
        <v>2270</v>
      </c>
      <c r="B1183" s="65">
        <v>113999</v>
      </c>
      <c r="C1183" s="65">
        <v>1000</v>
      </c>
      <c r="D1183" s="65">
        <v>7</v>
      </c>
    </row>
    <row r="1184" spans="1:4">
      <c r="A1184" s="66" t="s">
        <v>2184</v>
      </c>
      <c r="B1184" s="65">
        <v>105149</v>
      </c>
      <c r="C1184" s="65">
        <v>840</v>
      </c>
      <c r="D1184" s="65">
        <v>7</v>
      </c>
    </row>
    <row r="1185" spans="1:4">
      <c r="A1185" s="66" t="s">
        <v>126</v>
      </c>
      <c r="B1185" s="65">
        <v>108468</v>
      </c>
      <c r="C1185" s="65">
        <v>40</v>
      </c>
      <c r="D1185" s="65">
        <v>6</v>
      </c>
    </row>
    <row r="1186" spans="1:4">
      <c r="A1186" s="66" t="s">
        <v>227</v>
      </c>
      <c r="B1186" s="65">
        <v>139050</v>
      </c>
      <c r="C1186" s="65">
        <v>72</v>
      </c>
      <c r="D1186" s="65">
        <v>6</v>
      </c>
    </row>
    <row r="1187" spans="1:4">
      <c r="A1187" s="66" t="s">
        <v>220</v>
      </c>
      <c r="B1187" s="65">
        <v>95995</v>
      </c>
      <c r="C1187" s="65">
        <v>25</v>
      </c>
      <c r="D1187" s="65">
        <v>6</v>
      </c>
    </row>
    <row r="1188" spans="1:4">
      <c r="A1188" s="66" t="s">
        <v>577</v>
      </c>
      <c r="B1188" s="65">
        <v>114357</v>
      </c>
      <c r="C1188" s="65">
        <v>400</v>
      </c>
      <c r="D1188" s="65">
        <v>6</v>
      </c>
    </row>
    <row r="1189" spans="1:4">
      <c r="A1189" s="66" t="s">
        <v>348</v>
      </c>
      <c r="B1189" s="65">
        <v>84486</v>
      </c>
      <c r="C1189" s="65">
        <v>1700</v>
      </c>
      <c r="D1189" s="65">
        <v>6</v>
      </c>
    </row>
    <row r="1190" spans="1:4">
      <c r="A1190" s="66" t="s">
        <v>343</v>
      </c>
      <c r="B1190" s="65">
        <v>208439</v>
      </c>
      <c r="C1190" s="65">
        <v>81</v>
      </c>
      <c r="D1190" s="65">
        <v>6</v>
      </c>
    </row>
    <row r="1191" spans="1:4">
      <c r="A1191" s="66" t="s">
        <v>295</v>
      </c>
      <c r="B1191" s="65">
        <v>105917</v>
      </c>
      <c r="C1191" s="65">
        <v>250</v>
      </c>
      <c r="D1191" s="65">
        <v>6</v>
      </c>
    </row>
    <row r="1192" spans="1:4">
      <c r="A1192" s="66" t="s">
        <v>283</v>
      </c>
      <c r="B1192" s="65">
        <v>139657</v>
      </c>
      <c r="C1192" s="65">
        <v>17</v>
      </c>
      <c r="D1192" s="65">
        <v>6</v>
      </c>
    </row>
    <row r="1193" spans="1:4">
      <c r="A1193" s="66" t="s">
        <v>60</v>
      </c>
      <c r="B1193" s="65">
        <v>172660</v>
      </c>
      <c r="C1193" s="65">
        <v>15</v>
      </c>
      <c r="D1193" s="65">
        <v>6</v>
      </c>
    </row>
    <row r="1194" spans="1:4">
      <c r="A1194" s="66" t="s">
        <v>54</v>
      </c>
      <c r="B1194" s="65">
        <v>142584</v>
      </c>
      <c r="C1194" s="65">
        <v>1000</v>
      </c>
      <c r="D1194" s="65">
        <v>6</v>
      </c>
    </row>
    <row r="1195" spans="1:4">
      <c r="A1195" s="66" t="s">
        <v>208</v>
      </c>
      <c r="B1195" s="65">
        <v>84734</v>
      </c>
      <c r="C1195" s="65">
        <v>55</v>
      </c>
      <c r="D1195" s="65">
        <v>6</v>
      </c>
    </row>
    <row r="1196" spans="1:4">
      <c r="A1196" s="66" t="s">
        <v>149</v>
      </c>
      <c r="B1196" s="65">
        <v>157017</v>
      </c>
      <c r="C1196" s="65">
        <v>400</v>
      </c>
      <c r="D1196" s="65">
        <v>6</v>
      </c>
    </row>
    <row r="1197" spans="1:4">
      <c r="A1197" s="66" t="s">
        <v>39</v>
      </c>
      <c r="B1197" s="65">
        <v>3295</v>
      </c>
      <c r="C1197" s="65">
        <v>18</v>
      </c>
      <c r="D1197" s="65">
        <v>6</v>
      </c>
    </row>
    <row r="1198" spans="1:4">
      <c r="A1198" s="66" t="s">
        <v>638</v>
      </c>
      <c r="B1198" s="65">
        <v>110841</v>
      </c>
      <c r="C1198" s="65">
        <v>76</v>
      </c>
      <c r="D1198" s="65">
        <v>6</v>
      </c>
    </row>
    <row r="1199" spans="1:4">
      <c r="A1199" s="66" t="s">
        <v>637</v>
      </c>
      <c r="B1199" s="65">
        <v>93780</v>
      </c>
      <c r="C1199" s="65">
        <v>16</v>
      </c>
      <c r="D1199" s="65">
        <v>6</v>
      </c>
    </row>
    <row r="1200" spans="1:4">
      <c r="A1200" s="66" t="s">
        <v>612</v>
      </c>
      <c r="B1200" s="65">
        <v>60788</v>
      </c>
      <c r="C1200" s="65">
        <v>40</v>
      </c>
      <c r="D1200" s="65">
        <v>6</v>
      </c>
    </row>
    <row r="1201" spans="1:4">
      <c r="A1201" s="66" t="s">
        <v>381</v>
      </c>
      <c r="B1201" s="65">
        <v>131599</v>
      </c>
      <c r="C1201" s="65">
        <v>450</v>
      </c>
      <c r="D1201" s="65">
        <v>6</v>
      </c>
    </row>
    <row r="1202" spans="1:4">
      <c r="A1202" s="66" t="s">
        <v>1295</v>
      </c>
      <c r="B1202" s="65">
        <v>15951</v>
      </c>
      <c r="C1202" s="65">
        <v>86</v>
      </c>
      <c r="D1202" s="65">
        <v>6</v>
      </c>
    </row>
    <row r="1203" spans="1:4">
      <c r="A1203" s="66" t="s">
        <v>758</v>
      </c>
      <c r="B1203" s="65">
        <v>13348</v>
      </c>
      <c r="C1203" s="65">
        <v>81</v>
      </c>
      <c r="D1203" s="65">
        <v>6</v>
      </c>
    </row>
    <row r="1204" spans="1:4">
      <c r="A1204" s="66" t="s">
        <v>1139</v>
      </c>
      <c r="B1204" s="65">
        <v>137553</v>
      </c>
      <c r="C1204" s="65">
        <v>80</v>
      </c>
      <c r="D1204" s="65">
        <v>6</v>
      </c>
    </row>
    <row r="1205" spans="1:4">
      <c r="A1205" s="66" t="s">
        <v>871</v>
      </c>
      <c r="B1205" s="65">
        <v>131846</v>
      </c>
      <c r="C1205" s="65">
        <v>140</v>
      </c>
      <c r="D1205" s="65">
        <v>6</v>
      </c>
    </row>
    <row r="1206" spans="1:4">
      <c r="A1206" s="66" t="s">
        <v>775</v>
      </c>
      <c r="B1206" s="65">
        <v>136207</v>
      </c>
      <c r="C1206" s="65">
        <v>313</v>
      </c>
      <c r="D1206" s="65">
        <v>6</v>
      </c>
    </row>
    <row r="1207" spans="1:4">
      <c r="A1207" s="66" t="s">
        <v>667</v>
      </c>
      <c r="B1207" s="65">
        <v>101249</v>
      </c>
      <c r="C1207" s="65">
        <v>63</v>
      </c>
      <c r="D1207" s="65">
        <v>6</v>
      </c>
    </row>
    <row r="1208" spans="1:4">
      <c r="A1208" s="66" t="s">
        <v>672</v>
      </c>
      <c r="B1208" s="65">
        <v>132821</v>
      </c>
      <c r="C1208" s="65">
        <v>22</v>
      </c>
      <c r="D1208" s="65">
        <v>6</v>
      </c>
    </row>
    <row r="1209" spans="1:4">
      <c r="A1209" s="66" t="s">
        <v>689</v>
      </c>
      <c r="B1209" s="65">
        <v>6220</v>
      </c>
      <c r="C1209" s="65">
        <v>240</v>
      </c>
      <c r="D1209" s="65">
        <v>6</v>
      </c>
    </row>
    <row r="1210" spans="1:4">
      <c r="A1210" s="66" t="s">
        <v>1455</v>
      </c>
      <c r="B1210" s="65">
        <v>83918</v>
      </c>
      <c r="C1210" s="65">
        <v>90</v>
      </c>
      <c r="D1210" s="65">
        <v>6</v>
      </c>
    </row>
    <row r="1211" spans="1:4">
      <c r="A1211" s="66" t="s">
        <v>1348</v>
      </c>
      <c r="B1211" s="65">
        <v>139649</v>
      </c>
      <c r="C1211" s="65">
        <v>6</v>
      </c>
      <c r="D1211" s="65">
        <v>6</v>
      </c>
    </row>
    <row r="1212" spans="1:4">
      <c r="A1212" s="66" t="s">
        <v>1555</v>
      </c>
      <c r="B1212" s="65">
        <v>113437</v>
      </c>
      <c r="C1212" s="65">
        <v>84</v>
      </c>
      <c r="D1212" s="65">
        <v>6</v>
      </c>
    </row>
    <row r="1213" spans="1:4">
      <c r="A1213" s="66" t="s">
        <v>1675</v>
      </c>
      <c r="B1213" s="65">
        <v>18018</v>
      </c>
      <c r="C1213" s="65">
        <v>7</v>
      </c>
      <c r="D1213" s="65">
        <v>6</v>
      </c>
    </row>
    <row r="1214" spans="1:4">
      <c r="A1214" s="66" t="s">
        <v>1787</v>
      </c>
      <c r="B1214" s="65">
        <v>137402</v>
      </c>
      <c r="C1214" s="65">
        <v>1435</v>
      </c>
      <c r="D1214" s="65">
        <v>6</v>
      </c>
    </row>
    <row r="1215" spans="1:4">
      <c r="A1215" s="66" t="s">
        <v>1654</v>
      </c>
      <c r="B1215" s="65">
        <v>17406</v>
      </c>
      <c r="C1215" s="65">
        <v>11</v>
      </c>
      <c r="D1215" s="65">
        <v>6</v>
      </c>
    </row>
    <row r="1216" spans="1:4">
      <c r="A1216" s="66" t="s">
        <v>1871</v>
      </c>
      <c r="B1216" s="65">
        <v>177697</v>
      </c>
      <c r="C1216" s="65">
        <v>140</v>
      </c>
      <c r="D1216" s="65">
        <v>6</v>
      </c>
    </row>
    <row r="1217" spans="1:4">
      <c r="A1217" s="66" t="s">
        <v>1505</v>
      </c>
      <c r="B1217" s="65">
        <v>141009</v>
      </c>
      <c r="C1217" s="65">
        <v>144</v>
      </c>
      <c r="D1217" s="65">
        <v>6</v>
      </c>
    </row>
    <row r="1218" spans="1:4">
      <c r="A1218" s="66" t="s">
        <v>1411</v>
      </c>
      <c r="B1218" s="65">
        <v>141045</v>
      </c>
      <c r="C1218" s="65">
        <v>432</v>
      </c>
      <c r="D1218" s="65">
        <v>6</v>
      </c>
    </row>
    <row r="1219" spans="1:4">
      <c r="A1219" s="66" t="s">
        <v>1423</v>
      </c>
      <c r="B1219" s="65">
        <v>20766</v>
      </c>
      <c r="C1219" s="65">
        <v>504</v>
      </c>
      <c r="D1219" s="65">
        <v>6</v>
      </c>
    </row>
    <row r="1220" spans="1:4">
      <c r="A1220" s="66" t="s">
        <v>1608</v>
      </c>
      <c r="B1220" s="65">
        <v>124931</v>
      </c>
      <c r="C1220" s="65">
        <v>300</v>
      </c>
      <c r="D1220" s="65">
        <v>6</v>
      </c>
    </row>
    <row r="1221" spans="1:4">
      <c r="A1221" s="66" t="s">
        <v>1485</v>
      </c>
      <c r="B1221" s="65">
        <v>138812</v>
      </c>
      <c r="C1221" s="65">
        <v>90</v>
      </c>
      <c r="D1221" s="65">
        <v>6</v>
      </c>
    </row>
    <row r="1222" spans="1:4">
      <c r="A1222" s="66" t="s">
        <v>1584</v>
      </c>
      <c r="B1222" s="65">
        <v>138953</v>
      </c>
      <c r="C1222" s="65">
        <v>17</v>
      </c>
      <c r="D1222" s="65">
        <v>6</v>
      </c>
    </row>
    <row r="1223" spans="1:4">
      <c r="A1223" s="66" t="s">
        <v>1579</v>
      </c>
      <c r="B1223" s="65">
        <v>1112</v>
      </c>
      <c r="C1223" s="65">
        <v>35</v>
      </c>
      <c r="D1223" s="65">
        <v>6</v>
      </c>
    </row>
    <row r="1224" spans="1:4">
      <c r="A1224" s="66" t="s">
        <v>1618</v>
      </c>
      <c r="B1224" s="65">
        <v>132868</v>
      </c>
      <c r="C1224" s="65">
        <v>1620</v>
      </c>
      <c r="D1224" s="65">
        <v>6</v>
      </c>
    </row>
    <row r="1225" spans="1:4">
      <c r="A1225" s="66" t="s">
        <v>1469</v>
      </c>
      <c r="B1225" s="65">
        <v>127217</v>
      </c>
      <c r="C1225" s="65">
        <v>156</v>
      </c>
      <c r="D1225" s="65">
        <v>6</v>
      </c>
    </row>
    <row r="1226" spans="1:4">
      <c r="A1226" s="66" t="s">
        <v>1357</v>
      </c>
      <c r="B1226" s="65">
        <v>118742</v>
      </c>
      <c r="C1226" s="65">
        <v>52</v>
      </c>
      <c r="D1226" s="65">
        <v>6</v>
      </c>
    </row>
    <row r="1227" spans="1:4">
      <c r="A1227" s="66" t="s">
        <v>1727</v>
      </c>
      <c r="B1227" s="65">
        <v>177007</v>
      </c>
      <c r="C1227" s="65">
        <v>210</v>
      </c>
      <c r="D1227" s="65">
        <v>6</v>
      </c>
    </row>
    <row r="1228" spans="1:4">
      <c r="A1228" s="66" t="s">
        <v>1640</v>
      </c>
      <c r="B1228" s="65">
        <v>141081</v>
      </c>
      <c r="C1228" s="65">
        <v>252</v>
      </c>
      <c r="D1228" s="65">
        <v>6</v>
      </c>
    </row>
    <row r="1229" spans="1:4">
      <c r="A1229" s="66" t="s">
        <v>2590</v>
      </c>
      <c r="B1229" s="65">
        <v>138945</v>
      </c>
      <c r="C1229" s="65">
        <v>17</v>
      </c>
      <c r="D1229" s="65">
        <v>6</v>
      </c>
    </row>
    <row r="1230" spans="1:4">
      <c r="A1230" s="66" t="s">
        <v>1998</v>
      </c>
      <c r="B1230" s="65">
        <v>112686</v>
      </c>
      <c r="C1230" s="65">
        <v>120</v>
      </c>
      <c r="D1230" s="65">
        <v>6</v>
      </c>
    </row>
    <row r="1231" spans="1:4">
      <c r="A1231" s="66" t="s">
        <v>2220</v>
      </c>
      <c r="B1231" s="65">
        <v>33601</v>
      </c>
      <c r="C1231" s="65">
        <v>145</v>
      </c>
      <c r="D1231" s="65">
        <v>6</v>
      </c>
    </row>
    <row r="1232" spans="1:4">
      <c r="A1232" s="66" t="s">
        <v>2039</v>
      </c>
      <c r="B1232" s="65">
        <v>97707</v>
      </c>
      <c r="C1232" s="65">
        <v>96</v>
      </c>
      <c r="D1232" s="65">
        <v>6</v>
      </c>
    </row>
    <row r="1233" spans="1:4">
      <c r="A1233" s="66" t="s">
        <v>2406</v>
      </c>
      <c r="B1233" s="65">
        <v>97366</v>
      </c>
      <c r="C1233" s="65">
        <v>70</v>
      </c>
      <c r="D1233" s="65">
        <v>6</v>
      </c>
    </row>
    <row r="1234" spans="1:4">
      <c r="A1234" s="66" t="s">
        <v>2495</v>
      </c>
      <c r="B1234" s="65">
        <v>5328</v>
      </c>
      <c r="C1234" s="65">
        <v>90</v>
      </c>
      <c r="D1234" s="65">
        <v>6</v>
      </c>
    </row>
    <row r="1235" spans="1:4">
      <c r="A1235" s="66" t="s">
        <v>2298</v>
      </c>
      <c r="B1235" s="65">
        <v>95927</v>
      </c>
      <c r="C1235" s="65">
        <v>125</v>
      </c>
      <c r="D1235" s="65">
        <v>6</v>
      </c>
    </row>
    <row r="1236" spans="1:4">
      <c r="A1236" s="66" t="s">
        <v>2317</v>
      </c>
      <c r="B1236" s="65">
        <v>172867</v>
      </c>
      <c r="C1236" s="65">
        <v>66</v>
      </c>
      <c r="D1236" s="65">
        <v>6</v>
      </c>
    </row>
    <row r="1237" spans="1:4">
      <c r="A1237" s="66" t="s">
        <v>2438</v>
      </c>
      <c r="B1237" s="65">
        <v>111480</v>
      </c>
      <c r="C1237" s="65">
        <v>200</v>
      </c>
      <c r="D1237" s="65">
        <v>6</v>
      </c>
    </row>
    <row r="1238" spans="1:4">
      <c r="A1238" s="66" t="s">
        <v>2177</v>
      </c>
      <c r="B1238" s="65">
        <v>4412</v>
      </c>
      <c r="C1238" s="65">
        <v>8</v>
      </c>
      <c r="D1238" s="65">
        <v>6</v>
      </c>
    </row>
    <row r="1239" spans="1:4">
      <c r="A1239" s="66" t="s">
        <v>2045</v>
      </c>
      <c r="B1239" s="65">
        <v>157248</v>
      </c>
      <c r="C1239" s="65">
        <v>22</v>
      </c>
      <c r="D1239" s="65">
        <v>6</v>
      </c>
    </row>
    <row r="1240" spans="1:4">
      <c r="A1240" s="66" t="s">
        <v>1985</v>
      </c>
      <c r="B1240" s="65">
        <v>110872</v>
      </c>
      <c r="C1240" s="65">
        <v>70</v>
      </c>
      <c r="D1240" s="65">
        <v>6</v>
      </c>
    </row>
    <row r="1241" spans="1:4">
      <c r="A1241" s="66" t="s">
        <v>1994</v>
      </c>
      <c r="B1241" s="65">
        <v>7634</v>
      </c>
      <c r="C1241" s="65">
        <v>50</v>
      </c>
      <c r="D1241" s="65">
        <v>6</v>
      </c>
    </row>
    <row r="1242" spans="1:4">
      <c r="A1242" s="66" t="s">
        <v>242</v>
      </c>
      <c r="B1242" s="65">
        <v>126105</v>
      </c>
      <c r="C1242" s="65">
        <v>5</v>
      </c>
      <c r="D1242" s="65">
        <v>5</v>
      </c>
    </row>
    <row r="1243" spans="1:4">
      <c r="A1243" s="66" t="s">
        <v>24</v>
      </c>
      <c r="B1243" s="65">
        <v>112720</v>
      </c>
      <c r="C1243" s="65">
        <v>600</v>
      </c>
      <c r="D1243" s="65">
        <v>5</v>
      </c>
    </row>
    <row r="1244" spans="1:4">
      <c r="A1244" s="66" t="s">
        <v>225</v>
      </c>
      <c r="B1244" s="65">
        <v>84582</v>
      </c>
      <c r="C1244" s="65">
        <v>136</v>
      </c>
      <c r="D1244" s="65">
        <v>5</v>
      </c>
    </row>
    <row r="1245" spans="1:4">
      <c r="A1245" s="66" t="s">
        <v>6</v>
      </c>
      <c r="B1245" s="65">
        <v>132708</v>
      </c>
      <c r="C1245" s="65">
        <v>34</v>
      </c>
      <c r="D1245" s="65">
        <v>5</v>
      </c>
    </row>
    <row r="1246" spans="1:4">
      <c r="A1246" s="66" t="s">
        <v>473</v>
      </c>
      <c r="B1246" s="65">
        <v>126059</v>
      </c>
      <c r="C1246" s="65">
        <v>7</v>
      </c>
      <c r="D1246" s="65">
        <v>5</v>
      </c>
    </row>
    <row r="1247" spans="1:4">
      <c r="A1247" s="66" t="s">
        <v>471</v>
      </c>
      <c r="B1247" s="65">
        <v>159279</v>
      </c>
      <c r="C1247" s="65">
        <v>454</v>
      </c>
      <c r="D1247" s="65">
        <v>5</v>
      </c>
    </row>
    <row r="1248" spans="1:4">
      <c r="A1248" s="66" t="s">
        <v>107</v>
      </c>
      <c r="B1248" s="65">
        <v>123945</v>
      </c>
      <c r="C1248" s="65">
        <v>80</v>
      </c>
      <c r="D1248" s="65">
        <v>5</v>
      </c>
    </row>
    <row r="1249" spans="1:4">
      <c r="A1249" s="66" t="s">
        <v>309</v>
      </c>
      <c r="B1249" s="65">
        <v>95684</v>
      </c>
      <c r="C1249" s="65">
        <v>75</v>
      </c>
      <c r="D1249" s="65">
        <v>5</v>
      </c>
    </row>
    <row r="1250" spans="1:4">
      <c r="A1250" s="66" t="s">
        <v>68</v>
      </c>
      <c r="B1250" s="65">
        <v>84788</v>
      </c>
      <c r="C1250" s="65">
        <v>19</v>
      </c>
      <c r="D1250" s="65">
        <v>5</v>
      </c>
    </row>
    <row r="1251" spans="1:4">
      <c r="A1251" s="66" t="s">
        <v>278</v>
      </c>
      <c r="B1251" s="65">
        <v>78499</v>
      </c>
      <c r="C1251" s="65">
        <v>140</v>
      </c>
      <c r="D1251" s="65">
        <v>5</v>
      </c>
    </row>
    <row r="1252" spans="1:4">
      <c r="A1252" s="66" t="s">
        <v>94</v>
      </c>
      <c r="B1252" s="65">
        <v>141121</v>
      </c>
      <c r="C1252" s="65">
        <v>60</v>
      </c>
      <c r="D1252" s="65">
        <v>5</v>
      </c>
    </row>
    <row r="1253" spans="1:4">
      <c r="A1253" s="66" t="s">
        <v>533</v>
      </c>
      <c r="B1253" s="65">
        <v>158001</v>
      </c>
      <c r="C1253" s="65">
        <v>105</v>
      </c>
      <c r="D1253" s="65">
        <v>5</v>
      </c>
    </row>
    <row r="1254" spans="1:4">
      <c r="A1254" s="66" t="s">
        <v>424</v>
      </c>
      <c r="B1254" s="65">
        <v>82462</v>
      </c>
      <c r="C1254" s="65">
        <v>42</v>
      </c>
      <c r="D1254" s="65">
        <v>5</v>
      </c>
    </row>
    <row r="1255" spans="1:4">
      <c r="A1255" s="66" t="s">
        <v>436</v>
      </c>
      <c r="B1255" s="65">
        <v>141049</v>
      </c>
      <c r="C1255" s="65">
        <v>324</v>
      </c>
      <c r="D1255" s="65">
        <v>5</v>
      </c>
    </row>
    <row r="1256" spans="1:4">
      <c r="A1256" s="66" t="s">
        <v>418</v>
      </c>
      <c r="B1256" s="65">
        <v>118598</v>
      </c>
      <c r="C1256" s="65">
        <v>35</v>
      </c>
      <c r="D1256" s="65">
        <v>5</v>
      </c>
    </row>
    <row r="1257" spans="1:4">
      <c r="A1257" s="66" t="s">
        <v>489</v>
      </c>
      <c r="B1257" s="65">
        <v>141154</v>
      </c>
      <c r="C1257" s="65">
        <v>45</v>
      </c>
      <c r="D1257" s="65">
        <v>5</v>
      </c>
    </row>
    <row r="1258" spans="1:4">
      <c r="A1258" s="66" t="s">
        <v>1259</v>
      </c>
      <c r="B1258" s="65">
        <v>78505</v>
      </c>
      <c r="C1258" s="65">
        <v>90</v>
      </c>
      <c r="D1258" s="65">
        <v>5</v>
      </c>
    </row>
    <row r="1259" spans="1:4">
      <c r="A1259" s="66" t="s">
        <v>1262</v>
      </c>
      <c r="B1259" s="65">
        <v>92079</v>
      </c>
      <c r="C1259" s="65">
        <v>19</v>
      </c>
      <c r="D1259" s="65">
        <v>5</v>
      </c>
    </row>
    <row r="1260" spans="1:4">
      <c r="A1260" s="66" t="s">
        <v>1163</v>
      </c>
      <c r="B1260" s="65">
        <v>33279</v>
      </c>
      <c r="C1260" s="65">
        <v>2500</v>
      </c>
      <c r="D1260" s="65">
        <v>5</v>
      </c>
    </row>
    <row r="1261" spans="1:4">
      <c r="A1261" s="66" t="s">
        <v>1187</v>
      </c>
      <c r="B1261" s="65">
        <v>4643</v>
      </c>
      <c r="C1261" s="65">
        <v>500</v>
      </c>
      <c r="D1261" s="65">
        <v>5</v>
      </c>
    </row>
    <row r="1262" spans="1:4">
      <c r="A1262" s="66" t="s">
        <v>1188</v>
      </c>
      <c r="B1262" s="65">
        <v>2490</v>
      </c>
      <c r="C1262" s="65">
        <v>24</v>
      </c>
      <c r="D1262" s="65">
        <v>5</v>
      </c>
    </row>
    <row r="1263" spans="1:4">
      <c r="A1263" s="66" t="s">
        <v>1192</v>
      </c>
      <c r="B1263" s="65">
        <v>143535</v>
      </c>
      <c r="C1263" s="65">
        <v>125</v>
      </c>
      <c r="D1263" s="65">
        <v>5</v>
      </c>
    </row>
    <row r="1264" spans="1:4">
      <c r="A1264" s="66" t="s">
        <v>692</v>
      </c>
      <c r="B1264" s="65">
        <v>7411</v>
      </c>
      <c r="C1264" s="65">
        <v>43</v>
      </c>
      <c r="D1264" s="65">
        <v>5</v>
      </c>
    </row>
    <row r="1265" spans="1:4">
      <c r="A1265" s="66" t="s">
        <v>756</v>
      </c>
      <c r="B1265" s="65">
        <v>96726</v>
      </c>
      <c r="C1265" s="65">
        <v>14</v>
      </c>
      <c r="D1265" s="65">
        <v>5</v>
      </c>
    </row>
    <row r="1266" spans="1:4">
      <c r="A1266" s="66" t="s">
        <v>967</v>
      </c>
      <c r="B1266" s="65">
        <v>73462</v>
      </c>
      <c r="C1266" s="65">
        <v>67</v>
      </c>
      <c r="D1266" s="65">
        <v>5</v>
      </c>
    </row>
    <row r="1267" spans="1:4">
      <c r="A1267" s="66" t="s">
        <v>914</v>
      </c>
      <c r="B1267" s="65">
        <v>73528</v>
      </c>
      <c r="C1267" s="65">
        <v>29</v>
      </c>
      <c r="D1267" s="65">
        <v>5</v>
      </c>
    </row>
    <row r="1268" spans="1:4">
      <c r="A1268" s="66" t="s">
        <v>960</v>
      </c>
      <c r="B1268" s="65">
        <v>35103</v>
      </c>
      <c r="C1268" s="65">
        <v>40</v>
      </c>
      <c r="D1268" s="65">
        <v>5</v>
      </c>
    </row>
    <row r="1269" spans="1:4">
      <c r="A1269" s="66" t="s">
        <v>983</v>
      </c>
      <c r="B1269" s="65">
        <v>31486</v>
      </c>
      <c r="C1269" s="65">
        <v>34</v>
      </c>
      <c r="D1269" s="65">
        <v>5</v>
      </c>
    </row>
    <row r="1270" spans="1:4">
      <c r="A1270" s="66" t="s">
        <v>1222</v>
      </c>
      <c r="B1270" s="65">
        <v>2009</v>
      </c>
      <c r="C1270" s="65">
        <v>20</v>
      </c>
      <c r="D1270" s="65">
        <v>5</v>
      </c>
    </row>
    <row r="1271" spans="1:4">
      <c r="A1271" s="66" t="s">
        <v>651</v>
      </c>
      <c r="B1271" s="65">
        <v>35587</v>
      </c>
      <c r="C1271" s="65">
        <v>34</v>
      </c>
      <c r="D1271" s="65">
        <v>5</v>
      </c>
    </row>
    <row r="1272" spans="1:4">
      <c r="A1272" s="66" t="s">
        <v>760</v>
      </c>
      <c r="B1272" s="65">
        <v>116458</v>
      </c>
      <c r="C1272" s="65">
        <v>58</v>
      </c>
      <c r="D1272" s="65">
        <v>5</v>
      </c>
    </row>
    <row r="1273" spans="1:4">
      <c r="A1273" s="66" t="s">
        <v>1559</v>
      </c>
      <c r="B1273" s="65">
        <v>129863</v>
      </c>
      <c r="C1273" s="65">
        <v>18</v>
      </c>
      <c r="D1273" s="65">
        <v>5</v>
      </c>
    </row>
    <row r="1274" spans="1:4">
      <c r="A1274" s="66" t="s">
        <v>1556</v>
      </c>
      <c r="B1274" s="65">
        <v>178077</v>
      </c>
      <c r="C1274" s="65">
        <v>54</v>
      </c>
      <c r="D1274" s="65">
        <v>5</v>
      </c>
    </row>
    <row r="1275" spans="1:4">
      <c r="A1275" s="66" t="s">
        <v>1442</v>
      </c>
      <c r="B1275" s="65">
        <v>9123</v>
      </c>
      <c r="C1275" s="65">
        <v>29</v>
      </c>
      <c r="D1275" s="65">
        <v>5</v>
      </c>
    </row>
    <row r="1276" spans="1:4">
      <c r="A1276" s="66" t="s">
        <v>1683</v>
      </c>
      <c r="B1276" s="65">
        <v>100928</v>
      </c>
      <c r="C1276" s="65">
        <v>1100</v>
      </c>
      <c r="D1276" s="65">
        <v>5</v>
      </c>
    </row>
    <row r="1277" spans="1:4">
      <c r="A1277" s="66" t="s">
        <v>1892</v>
      </c>
      <c r="B1277" s="65">
        <v>9993</v>
      </c>
      <c r="C1277" s="65">
        <v>16</v>
      </c>
      <c r="D1277" s="65">
        <v>5</v>
      </c>
    </row>
    <row r="1278" spans="1:4">
      <c r="A1278" s="66" t="s">
        <v>1400</v>
      </c>
      <c r="B1278" s="65">
        <v>141034</v>
      </c>
      <c r="C1278" s="65">
        <v>60</v>
      </c>
      <c r="D1278" s="65">
        <v>5</v>
      </c>
    </row>
    <row r="1279" spans="1:4">
      <c r="A1279" s="66" t="s">
        <v>1599</v>
      </c>
      <c r="B1279" s="65">
        <v>134386</v>
      </c>
      <c r="C1279" s="65">
        <v>50</v>
      </c>
      <c r="D1279" s="65">
        <v>5</v>
      </c>
    </row>
    <row r="1280" spans="1:4">
      <c r="A1280" s="66" t="s">
        <v>1623</v>
      </c>
      <c r="B1280" s="65">
        <v>108840</v>
      </c>
      <c r="C1280" s="65">
        <v>24</v>
      </c>
      <c r="D1280" s="65">
        <v>5</v>
      </c>
    </row>
    <row r="1281" spans="1:4">
      <c r="A1281" s="66" t="s">
        <v>1841</v>
      </c>
      <c r="B1281" s="65">
        <v>6004</v>
      </c>
      <c r="C1281" s="65">
        <v>468</v>
      </c>
      <c r="D1281" s="65">
        <v>5</v>
      </c>
    </row>
    <row r="1282" spans="1:4">
      <c r="A1282" s="66" t="s">
        <v>1853</v>
      </c>
      <c r="B1282" s="65">
        <v>141069</v>
      </c>
      <c r="C1282" s="65">
        <v>96</v>
      </c>
      <c r="D1282" s="65">
        <v>5</v>
      </c>
    </row>
    <row r="1283" spans="1:4">
      <c r="A1283" s="66" t="s">
        <v>1743</v>
      </c>
      <c r="B1283" s="65">
        <v>141044</v>
      </c>
      <c r="C1283" s="65">
        <v>216</v>
      </c>
      <c r="D1283" s="65">
        <v>5</v>
      </c>
    </row>
    <row r="1284" spans="1:4">
      <c r="A1284" s="66" t="s">
        <v>1855</v>
      </c>
      <c r="B1284" s="65">
        <v>3778</v>
      </c>
      <c r="C1284" s="65">
        <v>180</v>
      </c>
      <c r="D1284" s="65">
        <v>5</v>
      </c>
    </row>
    <row r="1285" spans="1:4">
      <c r="A1285" s="66" t="s">
        <v>1839</v>
      </c>
      <c r="B1285" s="65">
        <v>116597</v>
      </c>
      <c r="C1285" s="65">
        <v>160</v>
      </c>
      <c r="D1285" s="65">
        <v>5</v>
      </c>
    </row>
    <row r="1286" spans="1:4">
      <c r="A1286" s="66" t="s">
        <v>1837</v>
      </c>
      <c r="B1286" s="65">
        <v>173568</v>
      </c>
      <c r="C1286" s="65">
        <v>42</v>
      </c>
      <c r="D1286" s="65">
        <v>5</v>
      </c>
    </row>
    <row r="1287" spans="1:4">
      <c r="A1287" s="66" t="s">
        <v>1807</v>
      </c>
      <c r="B1287" s="65">
        <v>114368</v>
      </c>
      <c r="C1287" s="65">
        <v>30</v>
      </c>
      <c r="D1287" s="65">
        <v>5</v>
      </c>
    </row>
    <row r="1288" spans="1:4">
      <c r="A1288" s="66" t="s">
        <v>1692</v>
      </c>
      <c r="B1288" s="65">
        <v>10971</v>
      </c>
      <c r="C1288" s="65">
        <v>360</v>
      </c>
      <c r="D1288" s="65">
        <v>5</v>
      </c>
    </row>
    <row r="1289" spans="1:4">
      <c r="A1289" s="66" t="s">
        <v>1917</v>
      </c>
      <c r="B1289" s="65">
        <v>141072</v>
      </c>
      <c r="C1289" s="65">
        <v>216</v>
      </c>
      <c r="D1289" s="65">
        <v>5</v>
      </c>
    </row>
    <row r="1290" spans="1:4">
      <c r="A1290" s="66" t="s">
        <v>1907</v>
      </c>
      <c r="B1290" s="65">
        <v>134061</v>
      </c>
      <c r="C1290" s="65">
        <v>42</v>
      </c>
      <c r="D1290" s="65">
        <v>5</v>
      </c>
    </row>
    <row r="1291" spans="1:4">
      <c r="A1291" s="66" t="s">
        <v>2280</v>
      </c>
      <c r="B1291" s="65">
        <v>54336</v>
      </c>
      <c r="C1291" s="65">
        <v>40</v>
      </c>
      <c r="D1291" s="65">
        <v>5</v>
      </c>
    </row>
    <row r="1292" spans="1:4">
      <c r="A1292" s="66" t="s">
        <v>2447</v>
      </c>
      <c r="B1292" s="65">
        <v>117930</v>
      </c>
      <c r="C1292" s="65">
        <v>76</v>
      </c>
      <c r="D1292" s="65">
        <v>5</v>
      </c>
    </row>
    <row r="1293" spans="1:4">
      <c r="A1293" s="66" t="s">
        <v>2338</v>
      </c>
      <c r="B1293" s="65">
        <v>19550</v>
      </c>
      <c r="C1293" s="65">
        <v>70</v>
      </c>
      <c r="D1293" s="65">
        <v>5</v>
      </c>
    </row>
    <row r="1294" spans="1:4">
      <c r="A1294" s="66" t="s">
        <v>2355</v>
      </c>
      <c r="B1294" s="65">
        <v>31494</v>
      </c>
      <c r="C1294" s="65">
        <v>300</v>
      </c>
      <c r="D1294" s="65">
        <v>5</v>
      </c>
    </row>
    <row r="1295" spans="1:4">
      <c r="A1295" s="66" t="s">
        <v>2477</v>
      </c>
      <c r="B1295" s="65">
        <v>918</v>
      </c>
      <c r="C1295" s="65">
        <v>29</v>
      </c>
      <c r="D1295" s="65">
        <v>5</v>
      </c>
    </row>
    <row r="1296" spans="1:4">
      <c r="A1296" s="66" t="s">
        <v>2374</v>
      </c>
      <c r="B1296" s="65">
        <v>101027</v>
      </c>
      <c r="C1296" s="65">
        <v>500</v>
      </c>
      <c r="D1296" s="65">
        <v>5</v>
      </c>
    </row>
    <row r="1297" spans="1:4">
      <c r="A1297" s="66" t="s">
        <v>2595</v>
      </c>
      <c r="B1297" s="65">
        <v>11671</v>
      </c>
      <c r="C1297" s="65">
        <v>300</v>
      </c>
      <c r="D1297" s="65">
        <v>5</v>
      </c>
    </row>
    <row r="1298" spans="1:4">
      <c r="A1298" s="66" t="s">
        <v>2108</v>
      </c>
      <c r="B1298" s="65">
        <v>324</v>
      </c>
      <c r="C1298" s="65">
        <v>14</v>
      </c>
      <c r="D1298" s="65">
        <v>5</v>
      </c>
    </row>
    <row r="1299" spans="1:4">
      <c r="A1299" s="66" t="s">
        <v>2502</v>
      </c>
      <c r="B1299" s="65">
        <v>33450</v>
      </c>
      <c r="C1299" s="65">
        <v>35</v>
      </c>
      <c r="D1299" s="65">
        <v>5</v>
      </c>
    </row>
    <row r="1300" spans="1:4">
      <c r="A1300" s="66" t="s">
        <v>2312</v>
      </c>
      <c r="B1300" s="65">
        <v>105079</v>
      </c>
      <c r="C1300" s="65">
        <v>102</v>
      </c>
      <c r="D1300" s="65">
        <v>5</v>
      </c>
    </row>
    <row r="1301" spans="1:4">
      <c r="A1301" s="66" t="s">
        <v>2042</v>
      </c>
      <c r="B1301" s="65">
        <v>115226</v>
      </c>
      <c r="C1301" s="65">
        <v>11</v>
      </c>
      <c r="D1301" s="65">
        <v>5</v>
      </c>
    </row>
    <row r="1302" spans="1:4">
      <c r="A1302" s="66" t="s">
        <v>2165</v>
      </c>
      <c r="B1302" s="65">
        <v>64559</v>
      </c>
      <c r="C1302" s="65">
        <v>6</v>
      </c>
      <c r="D1302" s="65">
        <v>5</v>
      </c>
    </row>
    <row r="1303" spans="1:4">
      <c r="A1303" s="66" t="s">
        <v>2154</v>
      </c>
      <c r="B1303" s="65">
        <v>124557</v>
      </c>
      <c r="C1303" s="65">
        <v>40</v>
      </c>
      <c r="D1303" s="65">
        <v>5</v>
      </c>
    </row>
    <row r="1304" spans="1:4">
      <c r="A1304" s="66" t="s">
        <v>2155</v>
      </c>
      <c r="B1304" s="65">
        <v>22102</v>
      </c>
      <c r="C1304" s="65">
        <v>60</v>
      </c>
      <c r="D1304" s="65">
        <v>5</v>
      </c>
    </row>
    <row r="1305" spans="1:4">
      <c r="A1305" s="66" t="s">
        <v>2179</v>
      </c>
      <c r="B1305" s="65">
        <v>95278</v>
      </c>
      <c r="C1305" s="65">
        <v>380</v>
      </c>
      <c r="D1305" s="65">
        <v>5</v>
      </c>
    </row>
    <row r="1306" spans="1:4">
      <c r="A1306" s="66" t="s">
        <v>1974</v>
      </c>
      <c r="B1306" s="65">
        <v>159053</v>
      </c>
      <c r="C1306" s="65">
        <v>150</v>
      </c>
      <c r="D1306" s="65">
        <v>5</v>
      </c>
    </row>
    <row r="1307" spans="1:4">
      <c r="A1307" s="66" t="s">
        <v>2215</v>
      </c>
      <c r="B1307" s="65">
        <v>84018</v>
      </c>
      <c r="C1307" s="65">
        <v>192</v>
      </c>
      <c r="D1307" s="65">
        <v>5</v>
      </c>
    </row>
    <row r="1308" spans="1:4">
      <c r="A1308" s="66" t="s">
        <v>22</v>
      </c>
      <c r="B1308" s="65">
        <v>8538</v>
      </c>
      <c r="C1308" s="65">
        <v>9</v>
      </c>
      <c r="D1308" s="65">
        <v>4</v>
      </c>
    </row>
    <row r="1309" spans="1:4">
      <c r="A1309" s="66" t="s">
        <v>233</v>
      </c>
      <c r="B1309" s="65">
        <v>157086</v>
      </c>
      <c r="C1309" s="65">
        <v>300</v>
      </c>
      <c r="D1309" s="65">
        <v>4</v>
      </c>
    </row>
    <row r="1310" spans="1:4">
      <c r="A1310" s="66" t="s">
        <v>15</v>
      </c>
      <c r="B1310" s="65">
        <v>87480</v>
      </c>
      <c r="C1310" s="65">
        <v>96</v>
      </c>
      <c r="D1310" s="65">
        <v>4</v>
      </c>
    </row>
    <row r="1311" spans="1:4">
      <c r="A1311" s="66" t="s">
        <v>116</v>
      </c>
      <c r="B1311" s="65">
        <v>77908</v>
      </c>
      <c r="C1311" s="65">
        <v>100</v>
      </c>
      <c r="D1311" s="65">
        <v>4</v>
      </c>
    </row>
    <row r="1312" spans="1:4">
      <c r="A1312" s="66" t="s">
        <v>475</v>
      </c>
      <c r="B1312" s="65">
        <v>132598</v>
      </c>
      <c r="C1312" s="65">
        <v>40</v>
      </c>
      <c r="D1312" s="65">
        <v>4</v>
      </c>
    </row>
    <row r="1313" spans="1:4">
      <c r="A1313" s="66" t="s">
        <v>591</v>
      </c>
      <c r="B1313" s="65">
        <v>35098</v>
      </c>
      <c r="C1313" s="65">
        <v>30</v>
      </c>
      <c r="D1313" s="65">
        <v>4</v>
      </c>
    </row>
    <row r="1314" spans="1:4">
      <c r="A1314" s="66" t="s">
        <v>354</v>
      </c>
      <c r="B1314" s="65">
        <v>86991</v>
      </c>
      <c r="C1314" s="65">
        <v>250</v>
      </c>
      <c r="D1314" s="65">
        <v>4</v>
      </c>
    </row>
    <row r="1315" spans="1:4">
      <c r="A1315" s="66" t="s">
        <v>353</v>
      </c>
      <c r="B1315" s="65">
        <v>156819</v>
      </c>
      <c r="C1315" s="65">
        <v>160</v>
      </c>
      <c r="D1315" s="65">
        <v>4</v>
      </c>
    </row>
    <row r="1316" spans="1:4">
      <c r="A1316" s="66" t="s">
        <v>346</v>
      </c>
      <c r="B1316" s="65">
        <v>224152</v>
      </c>
      <c r="C1316" s="65">
        <v>100</v>
      </c>
      <c r="D1316" s="65">
        <v>4</v>
      </c>
    </row>
    <row r="1317" spans="1:4">
      <c r="A1317" s="66" t="s">
        <v>108</v>
      </c>
      <c r="B1317" s="65">
        <v>81</v>
      </c>
      <c r="C1317" s="65">
        <v>576</v>
      </c>
      <c r="D1317" s="65">
        <v>4</v>
      </c>
    </row>
    <row r="1318" spans="1:4">
      <c r="A1318" s="66" t="s">
        <v>77</v>
      </c>
      <c r="B1318" s="65">
        <v>159180</v>
      </c>
      <c r="C1318" s="65">
        <v>65</v>
      </c>
      <c r="D1318" s="65">
        <v>4</v>
      </c>
    </row>
    <row r="1319" spans="1:4">
      <c r="A1319" s="66" t="s">
        <v>288</v>
      </c>
      <c r="B1319" s="65">
        <v>160510</v>
      </c>
      <c r="C1319" s="65">
        <v>15</v>
      </c>
      <c r="D1319" s="65">
        <v>4</v>
      </c>
    </row>
    <row r="1320" spans="1:4">
      <c r="A1320" s="66" t="s">
        <v>48</v>
      </c>
      <c r="B1320" s="65">
        <v>115493</v>
      </c>
      <c r="C1320" s="65">
        <v>36</v>
      </c>
      <c r="D1320" s="65">
        <v>4</v>
      </c>
    </row>
    <row r="1321" spans="1:4">
      <c r="A1321" s="66" t="s">
        <v>433</v>
      </c>
      <c r="B1321" s="65">
        <v>82494</v>
      </c>
      <c r="C1321" s="65">
        <v>6</v>
      </c>
      <c r="D1321" s="65">
        <v>4</v>
      </c>
    </row>
    <row r="1322" spans="1:4">
      <c r="A1322" s="66" t="s">
        <v>644</v>
      </c>
      <c r="B1322" s="65">
        <v>85363</v>
      </c>
      <c r="C1322" s="65">
        <v>60</v>
      </c>
      <c r="D1322" s="65">
        <v>4</v>
      </c>
    </row>
    <row r="1323" spans="1:4">
      <c r="A1323" s="66" t="s">
        <v>447</v>
      </c>
      <c r="B1323" s="65">
        <v>59361</v>
      </c>
      <c r="C1323" s="65">
        <v>11</v>
      </c>
      <c r="D1323" s="65">
        <v>4</v>
      </c>
    </row>
    <row r="1324" spans="1:4">
      <c r="A1324" s="66" t="s">
        <v>547</v>
      </c>
      <c r="B1324" s="65">
        <v>10881</v>
      </c>
      <c r="C1324" s="65">
        <v>9</v>
      </c>
      <c r="D1324" s="65">
        <v>4</v>
      </c>
    </row>
    <row r="1325" spans="1:4">
      <c r="A1325" s="66" t="s">
        <v>537</v>
      </c>
      <c r="B1325" s="65">
        <v>223208</v>
      </c>
      <c r="C1325" s="65">
        <v>20</v>
      </c>
      <c r="D1325" s="65">
        <v>4</v>
      </c>
    </row>
    <row r="1326" spans="1:4">
      <c r="A1326" s="66" t="s">
        <v>611</v>
      </c>
      <c r="B1326" s="65">
        <v>223461</v>
      </c>
      <c r="C1326" s="65">
        <v>48</v>
      </c>
      <c r="D1326" s="65">
        <v>4</v>
      </c>
    </row>
    <row r="1327" spans="1:4">
      <c r="A1327" s="66" t="s">
        <v>440</v>
      </c>
      <c r="B1327" s="65">
        <v>58217</v>
      </c>
      <c r="C1327" s="65">
        <v>7</v>
      </c>
      <c r="D1327" s="65">
        <v>4</v>
      </c>
    </row>
    <row r="1328" spans="1:4">
      <c r="A1328" s="66" t="s">
        <v>605</v>
      </c>
      <c r="B1328" s="65">
        <v>17099</v>
      </c>
      <c r="C1328" s="65">
        <v>50</v>
      </c>
      <c r="D1328" s="65">
        <v>4</v>
      </c>
    </row>
    <row r="1329" spans="1:4">
      <c r="A1329" s="66" t="s">
        <v>498</v>
      </c>
      <c r="B1329" s="65">
        <v>60589</v>
      </c>
      <c r="C1329" s="65">
        <v>11</v>
      </c>
      <c r="D1329" s="65">
        <v>4</v>
      </c>
    </row>
    <row r="1330" spans="1:4">
      <c r="A1330" s="66" t="s">
        <v>377</v>
      </c>
      <c r="B1330" s="65">
        <v>83929</v>
      </c>
      <c r="C1330" s="65">
        <v>200</v>
      </c>
      <c r="D1330" s="65">
        <v>4</v>
      </c>
    </row>
    <row r="1331" spans="1:4">
      <c r="A1331" s="66" t="s">
        <v>1087</v>
      </c>
      <c r="B1331" s="65">
        <v>33833</v>
      </c>
      <c r="C1331" s="65">
        <v>44</v>
      </c>
      <c r="D1331" s="65">
        <v>4</v>
      </c>
    </row>
    <row r="1332" spans="1:4">
      <c r="A1332" s="66" t="s">
        <v>1099</v>
      </c>
      <c r="B1332" s="65">
        <v>83919</v>
      </c>
      <c r="C1332" s="65">
        <v>54</v>
      </c>
      <c r="D1332" s="65">
        <v>4</v>
      </c>
    </row>
    <row r="1333" spans="1:4">
      <c r="A1333" s="66" t="s">
        <v>1078</v>
      </c>
      <c r="B1333" s="65">
        <v>6061</v>
      </c>
      <c r="C1333" s="65">
        <v>45</v>
      </c>
      <c r="D1333" s="65">
        <v>4</v>
      </c>
    </row>
    <row r="1334" spans="1:4">
      <c r="A1334" s="66" t="s">
        <v>1302</v>
      </c>
      <c r="B1334" s="65">
        <v>109849</v>
      </c>
      <c r="C1334" s="65">
        <v>11</v>
      </c>
      <c r="D1334" s="65">
        <v>4</v>
      </c>
    </row>
    <row r="1335" spans="1:4">
      <c r="A1335" s="66" t="s">
        <v>850</v>
      </c>
      <c r="B1335" s="65">
        <v>61250</v>
      </c>
      <c r="C1335" s="65">
        <v>100</v>
      </c>
      <c r="D1335" s="65">
        <v>4</v>
      </c>
    </row>
    <row r="1336" spans="1:4">
      <c r="A1336" s="66" t="s">
        <v>863</v>
      </c>
      <c r="B1336" s="65">
        <v>20100</v>
      </c>
      <c r="C1336" s="65">
        <v>155</v>
      </c>
      <c r="D1336" s="65">
        <v>4</v>
      </c>
    </row>
    <row r="1337" spans="1:4">
      <c r="A1337" s="66" t="s">
        <v>745</v>
      </c>
      <c r="B1337" s="65">
        <v>6827</v>
      </c>
      <c r="C1337" s="65">
        <v>26</v>
      </c>
      <c r="D1337" s="65">
        <v>4</v>
      </c>
    </row>
    <row r="1338" spans="1:4">
      <c r="A1338" s="66" t="s">
        <v>757</v>
      </c>
      <c r="B1338" s="65">
        <v>176765</v>
      </c>
      <c r="C1338" s="65">
        <v>21</v>
      </c>
      <c r="D1338" s="65">
        <v>4</v>
      </c>
    </row>
    <row r="1339" spans="1:4">
      <c r="A1339" s="66" t="s">
        <v>696</v>
      </c>
      <c r="B1339" s="65">
        <v>127283</v>
      </c>
      <c r="C1339" s="65">
        <v>51</v>
      </c>
      <c r="D1339" s="65">
        <v>4</v>
      </c>
    </row>
    <row r="1340" spans="1:4">
      <c r="A1340" s="66" t="s">
        <v>1265</v>
      </c>
      <c r="B1340" s="65">
        <v>39345</v>
      </c>
      <c r="C1340" s="65">
        <v>10</v>
      </c>
      <c r="D1340" s="65">
        <v>4</v>
      </c>
    </row>
    <row r="1341" spans="1:4">
      <c r="A1341" s="66" t="s">
        <v>1103</v>
      </c>
      <c r="B1341" s="65">
        <v>91366</v>
      </c>
      <c r="C1341" s="65">
        <v>20</v>
      </c>
      <c r="D1341" s="65">
        <v>4</v>
      </c>
    </row>
    <row r="1342" spans="1:4">
      <c r="A1342" s="66" t="s">
        <v>1242</v>
      </c>
      <c r="B1342" s="65">
        <v>138517</v>
      </c>
      <c r="C1342" s="65">
        <v>31</v>
      </c>
      <c r="D1342" s="65">
        <v>4</v>
      </c>
    </row>
    <row r="1343" spans="1:4">
      <c r="A1343" s="66" t="s">
        <v>1137</v>
      </c>
      <c r="B1343" s="65">
        <v>37764</v>
      </c>
      <c r="C1343" s="65">
        <v>23</v>
      </c>
      <c r="D1343" s="65">
        <v>4</v>
      </c>
    </row>
    <row r="1344" spans="1:4">
      <c r="A1344" s="66" t="s">
        <v>1255</v>
      </c>
      <c r="B1344" s="65">
        <v>138817</v>
      </c>
      <c r="C1344" s="65">
        <v>66</v>
      </c>
      <c r="D1344" s="65">
        <v>4</v>
      </c>
    </row>
    <row r="1345" spans="1:4">
      <c r="A1345" s="66" t="s">
        <v>763</v>
      </c>
      <c r="B1345" s="65">
        <v>4410</v>
      </c>
      <c r="C1345" s="65">
        <v>7</v>
      </c>
      <c r="D1345" s="65">
        <v>4</v>
      </c>
    </row>
    <row r="1346" spans="1:4">
      <c r="A1346" s="66" t="s">
        <v>688</v>
      </c>
      <c r="B1346" s="65">
        <v>31692</v>
      </c>
      <c r="C1346" s="65">
        <v>14</v>
      </c>
      <c r="D1346" s="65">
        <v>4</v>
      </c>
    </row>
    <row r="1347" spans="1:4">
      <c r="A1347" s="66" t="s">
        <v>1456</v>
      </c>
      <c r="B1347" s="65">
        <v>7378</v>
      </c>
      <c r="C1347" s="65">
        <v>4</v>
      </c>
      <c r="D1347" s="65">
        <v>4</v>
      </c>
    </row>
    <row r="1348" spans="1:4">
      <c r="A1348" s="66" t="s">
        <v>1554</v>
      </c>
      <c r="B1348" s="65">
        <v>177745</v>
      </c>
      <c r="C1348" s="65">
        <v>41</v>
      </c>
      <c r="D1348" s="65">
        <v>4</v>
      </c>
    </row>
    <row r="1349" spans="1:4">
      <c r="A1349" s="66" t="s">
        <v>1778</v>
      </c>
      <c r="B1349" s="65">
        <v>59114</v>
      </c>
      <c r="C1349" s="65">
        <v>47</v>
      </c>
      <c r="D1349" s="65">
        <v>4</v>
      </c>
    </row>
    <row r="1350" spans="1:4">
      <c r="A1350" s="66" t="s">
        <v>1774</v>
      </c>
      <c r="B1350" s="65">
        <v>115659</v>
      </c>
      <c r="C1350" s="65">
        <v>3600</v>
      </c>
      <c r="D1350" s="65">
        <v>4</v>
      </c>
    </row>
    <row r="1351" spans="1:4">
      <c r="A1351" s="66" t="s">
        <v>1877</v>
      </c>
      <c r="B1351" s="65">
        <v>156809</v>
      </c>
      <c r="C1351" s="65">
        <v>394</v>
      </c>
      <c r="D1351" s="65">
        <v>4</v>
      </c>
    </row>
    <row r="1352" spans="1:4">
      <c r="A1352" s="66" t="s">
        <v>1397</v>
      </c>
      <c r="B1352" s="65">
        <v>127216</v>
      </c>
      <c r="C1352" s="65">
        <v>216</v>
      </c>
      <c r="D1352" s="65">
        <v>4</v>
      </c>
    </row>
    <row r="1353" spans="1:4">
      <c r="A1353" s="66" t="s">
        <v>1398</v>
      </c>
      <c r="B1353" s="65">
        <v>316</v>
      </c>
      <c r="C1353" s="65">
        <v>540</v>
      </c>
      <c r="D1353" s="65">
        <v>4</v>
      </c>
    </row>
    <row r="1354" spans="1:4">
      <c r="A1354" s="66" t="s">
        <v>1517</v>
      </c>
      <c r="B1354" s="65">
        <v>141095</v>
      </c>
      <c r="C1354" s="65">
        <v>216</v>
      </c>
      <c r="D1354" s="65">
        <v>4</v>
      </c>
    </row>
    <row r="1355" spans="1:4">
      <c r="A1355" s="66" t="s">
        <v>1611</v>
      </c>
      <c r="B1355" s="65">
        <v>141008</v>
      </c>
      <c r="C1355" s="65">
        <v>180</v>
      </c>
      <c r="D1355" s="65">
        <v>4</v>
      </c>
    </row>
    <row r="1356" spans="1:4">
      <c r="A1356" s="66" t="s">
        <v>1412</v>
      </c>
      <c r="B1356" s="65">
        <v>15090</v>
      </c>
      <c r="C1356" s="65">
        <v>120</v>
      </c>
      <c r="D1356" s="65">
        <v>4</v>
      </c>
    </row>
    <row r="1357" spans="1:4">
      <c r="A1357" s="66" t="s">
        <v>1385</v>
      </c>
      <c r="B1357" s="65">
        <v>132823</v>
      </c>
      <c r="C1357" s="65">
        <v>70</v>
      </c>
      <c r="D1357" s="65">
        <v>4</v>
      </c>
    </row>
    <row r="1358" spans="1:4">
      <c r="A1358" s="66" t="s">
        <v>1576</v>
      </c>
      <c r="B1358" s="65">
        <v>123544</v>
      </c>
      <c r="C1358" s="65">
        <v>108</v>
      </c>
      <c r="D1358" s="65">
        <v>4</v>
      </c>
    </row>
    <row r="1359" spans="1:4">
      <c r="A1359" s="66" t="s">
        <v>1472</v>
      </c>
      <c r="B1359" s="65">
        <v>5417</v>
      </c>
      <c r="C1359" s="65">
        <v>108</v>
      </c>
      <c r="D1359" s="65">
        <v>4</v>
      </c>
    </row>
    <row r="1360" spans="1:4">
      <c r="A1360" s="66" t="s">
        <v>1405</v>
      </c>
      <c r="B1360" s="65">
        <v>141078</v>
      </c>
      <c r="C1360" s="65">
        <v>72</v>
      </c>
      <c r="D1360" s="65">
        <v>4</v>
      </c>
    </row>
    <row r="1361" spans="1:4">
      <c r="A1361" s="66" t="s">
        <v>1362</v>
      </c>
      <c r="B1361" s="65">
        <v>13045</v>
      </c>
      <c r="C1361" s="65">
        <v>72</v>
      </c>
      <c r="D1361" s="65">
        <v>4</v>
      </c>
    </row>
    <row r="1362" spans="1:4">
      <c r="A1362" s="66" t="s">
        <v>1570</v>
      </c>
      <c r="B1362" s="65">
        <v>47676</v>
      </c>
      <c r="C1362" s="65">
        <v>60</v>
      </c>
      <c r="D1362" s="65">
        <v>4</v>
      </c>
    </row>
    <row r="1363" spans="1:4">
      <c r="A1363" s="66" t="s">
        <v>1645</v>
      </c>
      <c r="B1363" s="65">
        <v>83903</v>
      </c>
      <c r="C1363" s="65">
        <v>60</v>
      </c>
      <c r="D1363" s="65">
        <v>4</v>
      </c>
    </row>
    <row r="1364" spans="1:4">
      <c r="A1364" s="66" t="s">
        <v>1754</v>
      </c>
      <c r="B1364" s="65">
        <v>141102</v>
      </c>
      <c r="C1364" s="65">
        <v>240</v>
      </c>
      <c r="D1364" s="65">
        <v>4</v>
      </c>
    </row>
    <row r="1365" spans="1:4">
      <c r="A1365" s="66" t="s">
        <v>1956</v>
      </c>
      <c r="B1365" s="65">
        <v>7291</v>
      </c>
      <c r="C1365" s="65">
        <v>72</v>
      </c>
      <c r="D1365" s="65">
        <v>4</v>
      </c>
    </row>
    <row r="1366" spans="1:4">
      <c r="A1366" s="66" t="s">
        <v>1690</v>
      </c>
      <c r="B1366" s="65">
        <v>4074</v>
      </c>
      <c r="C1366" s="65">
        <v>216</v>
      </c>
      <c r="D1366" s="65">
        <v>4</v>
      </c>
    </row>
    <row r="1367" spans="1:4">
      <c r="A1367" s="66" t="s">
        <v>1747</v>
      </c>
      <c r="B1367" s="65">
        <v>141047</v>
      </c>
      <c r="C1367" s="65">
        <v>144</v>
      </c>
      <c r="D1367" s="65">
        <v>4</v>
      </c>
    </row>
    <row r="1368" spans="1:4">
      <c r="A1368" s="66" t="s">
        <v>1641</v>
      </c>
      <c r="B1368" s="65">
        <v>48699</v>
      </c>
      <c r="C1368" s="65">
        <v>144</v>
      </c>
      <c r="D1368" s="65">
        <v>4</v>
      </c>
    </row>
    <row r="1369" spans="1:4">
      <c r="A1369" s="66" t="s">
        <v>1802</v>
      </c>
      <c r="B1369" s="65">
        <v>6128</v>
      </c>
      <c r="C1369" s="65">
        <v>288</v>
      </c>
      <c r="D1369" s="65">
        <v>4</v>
      </c>
    </row>
    <row r="1370" spans="1:4">
      <c r="A1370" s="66" t="s">
        <v>1738</v>
      </c>
      <c r="B1370" s="65">
        <v>110437</v>
      </c>
      <c r="C1370" s="65">
        <v>8</v>
      </c>
      <c r="D1370" s="65">
        <v>4</v>
      </c>
    </row>
    <row r="1371" spans="1:4">
      <c r="A1371" s="66" t="s">
        <v>1861</v>
      </c>
      <c r="B1371" s="65">
        <v>820</v>
      </c>
      <c r="C1371" s="65">
        <v>108</v>
      </c>
      <c r="D1371" s="65">
        <v>4</v>
      </c>
    </row>
    <row r="1372" spans="1:4">
      <c r="A1372" s="66" t="s">
        <v>1694</v>
      </c>
      <c r="B1372" s="65">
        <v>398</v>
      </c>
      <c r="C1372" s="65">
        <v>156</v>
      </c>
      <c r="D1372" s="65">
        <v>4</v>
      </c>
    </row>
    <row r="1373" spans="1:4">
      <c r="A1373" s="66" t="s">
        <v>1799</v>
      </c>
      <c r="B1373" s="65">
        <v>157448</v>
      </c>
      <c r="C1373" s="65">
        <v>4500</v>
      </c>
      <c r="D1373" s="65">
        <v>4</v>
      </c>
    </row>
    <row r="1374" spans="1:4">
      <c r="A1374" s="66" t="s">
        <v>1908</v>
      </c>
      <c r="B1374" s="65">
        <v>52</v>
      </c>
      <c r="C1374" s="65">
        <v>4</v>
      </c>
      <c r="D1374" s="65">
        <v>4</v>
      </c>
    </row>
    <row r="1375" spans="1:4">
      <c r="A1375" s="66" t="s">
        <v>2556</v>
      </c>
      <c r="B1375" s="65">
        <v>60063</v>
      </c>
      <c r="C1375" s="65">
        <v>5</v>
      </c>
      <c r="D1375" s="65">
        <v>4</v>
      </c>
    </row>
    <row r="1376" spans="1:4">
      <c r="A1376" s="66" t="s">
        <v>2509</v>
      </c>
      <c r="B1376" s="65">
        <v>37687</v>
      </c>
      <c r="C1376" s="65">
        <v>53</v>
      </c>
      <c r="D1376" s="65">
        <v>4</v>
      </c>
    </row>
    <row r="1377" spans="1:4">
      <c r="A1377" s="66" t="s">
        <v>2337</v>
      </c>
      <c r="B1377" s="65">
        <v>121419</v>
      </c>
      <c r="C1377" s="65">
        <v>275</v>
      </c>
      <c r="D1377" s="65">
        <v>4</v>
      </c>
    </row>
    <row r="1378" spans="1:4">
      <c r="A1378" s="66" t="s">
        <v>2559</v>
      </c>
      <c r="B1378" s="65">
        <v>60082</v>
      </c>
      <c r="C1378" s="65">
        <v>63</v>
      </c>
      <c r="D1378" s="65">
        <v>4</v>
      </c>
    </row>
    <row r="1379" spans="1:4">
      <c r="A1379" s="66" t="s">
        <v>2157</v>
      </c>
      <c r="B1379" s="65">
        <v>109850</v>
      </c>
      <c r="C1379" s="65">
        <v>12</v>
      </c>
      <c r="D1379" s="65">
        <v>4</v>
      </c>
    </row>
    <row r="1380" spans="1:4">
      <c r="A1380" s="66" t="s">
        <v>2159</v>
      </c>
      <c r="B1380" s="65">
        <v>1067</v>
      </c>
      <c r="C1380" s="65">
        <v>31</v>
      </c>
      <c r="D1380" s="65">
        <v>4</v>
      </c>
    </row>
    <row r="1381" spans="1:4">
      <c r="A1381" s="66" t="s">
        <v>2001</v>
      </c>
      <c r="B1381" s="65">
        <v>1931</v>
      </c>
      <c r="C1381" s="65">
        <v>14</v>
      </c>
      <c r="D1381" s="65">
        <v>4</v>
      </c>
    </row>
    <row r="1382" spans="1:4">
      <c r="A1382" s="66" t="s">
        <v>2160</v>
      </c>
      <c r="B1382" s="65">
        <v>83917</v>
      </c>
      <c r="C1382" s="65">
        <v>15</v>
      </c>
      <c r="D1382" s="65">
        <v>4</v>
      </c>
    </row>
    <row r="1383" spans="1:4">
      <c r="A1383" s="66" t="s">
        <v>2064</v>
      </c>
      <c r="B1383" s="65">
        <v>138289</v>
      </c>
      <c r="C1383" s="65">
        <v>110</v>
      </c>
      <c r="D1383" s="65">
        <v>4</v>
      </c>
    </row>
    <row r="1384" spans="1:4">
      <c r="A1384" s="66" t="s">
        <v>2284</v>
      </c>
      <c r="B1384" s="65">
        <v>22138</v>
      </c>
      <c r="C1384" s="65">
        <v>70</v>
      </c>
      <c r="D1384" s="65">
        <v>4</v>
      </c>
    </row>
    <row r="1385" spans="1:4">
      <c r="A1385" s="66" t="s">
        <v>2404</v>
      </c>
      <c r="B1385" s="65">
        <v>157620</v>
      </c>
      <c r="C1385" s="65">
        <v>60</v>
      </c>
      <c r="D1385" s="65">
        <v>4</v>
      </c>
    </row>
    <row r="1386" spans="1:4">
      <c r="A1386" s="66" t="s">
        <v>2395</v>
      </c>
      <c r="B1386" s="65">
        <v>114346</v>
      </c>
      <c r="C1386" s="65">
        <v>17</v>
      </c>
      <c r="D1386" s="65">
        <v>4</v>
      </c>
    </row>
    <row r="1387" spans="1:4">
      <c r="A1387" s="66" t="s">
        <v>2429</v>
      </c>
      <c r="B1387" s="65">
        <v>135574</v>
      </c>
      <c r="C1387" s="65">
        <v>37</v>
      </c>
      <c r="D1387" s="65">
        <v>4</v>
      </c>
    </row>
    <row r="1388" spans="1:4">
      <c r="A1388" s="66" t="s">
        <v>2333</v>
      </c>
      <c r="B1388" s="65">
        <v>1944</v>
      </c>
      <c r="C1388" s="65">
        <v>8</v>
      </c>
      <c r="D1388" s="65">
        <v>4</v>
      </c>
    </row>
    <row r="1389" spans="1:4">
      <c r="A1389" s="66" t="s">
        <v>2441</v>
      </c>
      <c r="B1389" s="65">
        <v>132596</v>
      </c>
      <c r="C1389" s="65">
        <v>74</v>
      </c>
      <c r="D1389" s="65">
        <v>4</v>
      </c>
    </row>
    <row r="1390" spans="1:4">
      <c r="A1390" s="66" t="s">
        <v>2268</v>
      </c>
      <c r="B1390" s="65">
        <v>159021</v>
      </c>
      <c r="C1390" s="65">
        <v>570</v>
      </c>
      <c r="D1390" s="65">
        <v>4</v>
      </c>
    </row>
    <row r="1391" spans="1:4">
      <c r="A1391" s="66" t="s">
        <v>2055</v>
      </c>
      <c r="B1391" s="65">
        <v>61047</v>
      </c>
      <c r="C1391" s="65">
        <v>8</v>
      </c>
      <c r="D1391" s="65">
        <v>4</v>
      </c>
    </row>
    <row r="1392" spans="1:4">
      <c r="A1392" s="66" t="s">
        <v>2166</v>
      </c>
      <c r="B1392" s="65">
        <v>114263</v>
      </c>
      <c r="C1392" s="65">
        <v>5</v>
      </c>
      <c r="D1392" s="65">
        <v>4</v>
      </c>
    </row>
    <row r="1393" spans="1:4">
      <c r="A1393" s="66" t="s">
        <v>2059</v>
      </c>
      <c r="B1393" s="65">
        <v>124950</v>
      </c>
      <c r="C1393" s="65">
        <v>200</v>
      </c>
      <c r="D1393" s="65">
        <v>4</v>
      </c>
    </row>
    <row r="1394" spans="1:4">
      <c r="A1394" s="66" t="s">
        <v>2202</v>
      </c>
      <c r="B1394" s="65">
        <v>7151</v>
      </c>
      <c r="C1394" s="65">
        <v>75</v>
      </c>
      <c r="D1394" s="65">
        <v>4</v>
      </c>
    </row>
    <row r="1395" spans="1:4">
      <c r="A1395" s="66" t="s">
        <v>1982</v>
      </c>
      <c r="B1395" s="65">
        <v>13542</v>
      </c>
      <c r="C1395" s="65">
        <v>160</v>
      </c>
      <c r="D1395" s="65">
        <v>4</v>
      </c>
    </row>
    <row r="1396" spans="1:4">
      <c r="A1396" s="66" t="s">
        <v>2208</v>
      </c>
      <c r="B1396" s="65">
        <v>133874</v>
      </c>
      <c r="C1396" s="65">
        <v>210</v>
      </c>
      <c r="D1396" s="65">
        <v>4</v>
      </c>
    </row>
    <row r="1397" spans="1:4">
      <c r="A1397" s="66" t="s">
        <v>2210</v>
      </c>
      <c r="B1397" s="65">
        <v>172653</v>
      </c>
      <c r="C1397" s="65">
        <v>800</v>
      </c>
      <c r="D1397" s="65">
        <v>4</v>
      </c>
    </row>
    <row r="1398" spans="1:4">
      <c r="A1398" s="66" t="s">
        <v>2102</v>
      </c>
      <c r="B1398" s="65">
        <v>85072</v>
      </c>
      <c r="C1398" s="65">
        <v>7</v>
      </c>
      <c r="D1398" s="65">
        <v>4</v>
      </c>
    </row>
    <row r="1399" spans="1:4">
      <c r="A1399" s="66" t="s">
        <v>2106</v>
      </c>
      <c r="B1399" s="65">
        <v>132590</v>
      </c>
      <c r="C1399" s="65">
        <v>50</v>
      </c>
      <c r="D1399" s="65">
        <v>4</v>
      </c>
    </row>
    <row r="1400" spans="1:4">
      <c r="A1400" s="66" t="s">
        <v>240</v>
      </c>
      <c r="B1400" s="65">
        <v>131598</v>
      </c>
      <c r="C1400" s="65">
        <v>250</v>
      </c>
      <c r="D1400" s="65">
        <v>3</v>
      </c>
    </row>
    <row r="1401" spans="1:4">
      <c r="A1401" s="66" t="s">
        <v>223</v>
      </c>
      <c r="B1401" s="65">
        <v>88216</v>
      </c>
      <c r="C1401" s="65">
        <v>4</v>
      </c>
      <c r="D1401" s="65">
        <v>3</v>
      </c>
    </row>
    <row r="1402" spans="1:4">
      <c r="A1402" s="66" t="s">
        <v>477</v>
      </c>
      <c r="B1402" s="65">
        <v>227700</v>
      </c>
      <c r="C1402" s="65">
        <v>360</v>
      </c>
      <c r="D1402" s="65">
        <v>3</v>
      </c>
    </row>
    <row r="1403" spans="1:4">
      <c r="A1403" s="66" t="s">
        <v>178</v>
      </c>
      <c r="B1403" s="65">
        <v>60997</v>
      </c>
      <c r="C1403" s="65">
        <v>30</v>
      </c>
      <c r="D1403" s="65">
        <v>3</v>
      </c>
    </row>
    <row r="1404" spans="1:4">
      <c r="A1404" s="66" t="s">
        <v>273</v>
      </c>
      <c r="B1404" s="65">
        <v>101017</v>
      </c>
      <c r="C1404" s="65">
        <v>1101</v>
      </c>
      <c r="D1404" s="65">
        <v>3</v>
      </c>
    </row>
    <row r="1405" spans="1:4">
      <c r="A1405" s="66" t="s">
        <v>56</v>
      </c>
      <c r="B1405" s="65">
        <v>9564</v>
      </c>
      <c r="C1405" s="65">
        <v>16</v>
      </c>
      <c r="D1405" s="65">
        <v>3</v>
      </c>
    </row>
    <row r="1406" spans="1:4">
      <c r="A1406" s="66" t="s">
        <v>45</v>
      </c>
      <c r="B1406" s="65">
        <v>51244</v>
      </c>
      <c r="C1406" s="65">
        <v>40</v>
      </c>
      <c r="D1406" s="65">
        <v>3</v>
      </c>
    </row>
    <row r="1407" spans="1:4">
      <c r="A1407" s="66" t="s">
        <v>306</v>
      </c>
      <c r="B1407" s="65">
        <v>83463</v>
      </c>
      <c r="C1407" s="65">
        <v>288</v>
      </c>
      <c r="D1407" s="65">
        <v>3</v>
      </c>
    </row>
    <row r="1408" spans="1:4">
      <c r="A1408" s="66" t="s">
        <v>266</v>
      </c>
      <c r="B1408" s="65">
        <v>82792</v>
      </c>
      <c r="C1408" s="65">
        <v>13</v>
      </c>
      <c r="D1408" s="65">
        <v>3</v>
      </c>
    </row>
    <row r="1409" spans="1:4">
      <c r="A1409" s="66" t="s">
        <v>148</v>
      </c>
      <c r="B1409" s="65">
        <v>138757</v>
      </c>
      <c r="C1409" s="65">
        <v>300</v>
      </c>
      <c r="D1409" s="65">
        <v>3</v>
      </c>
    </row>
    <row r="1410" spans="1:4">
      <c r="A1410" s="66" t="s">
        <v>446</v>
      </c>
      <c r="B1410" s="65">
        <v>18058</v>
      </c>
      <c r="C1410" s="65">
        <v>90</v>
      </c>
      <c r="D1410" s="65">
        <v>3</v>
      </c>
    </row>
    <row r="1411" spans="1:4">
      <c r="A1411" s="66" t="s">
        <v>534</v>
      </c>
      <c r="B1411" s="65">
        <v>11491</v>
      </c>
      <c r="C1411" s="65">
        <v>600</v>
      </c>
      <c r="D1411" s="65">
        <v>3</v>
      </c>
    </row>
    <row r="1412" spans="1:4">
      <c r="A1412" s="66" t="s">
        <v>449</v>
      </c>
      <c r="B1412" s="65">
        <v>137308</v>
      </c>
      <c r="C1412" s="65">
        <v>30</v>
      </c>
      <c r="D1412" s="65">
        <v>3</v>
      </c>
    </row>
    <row r="1413" spans="1:4">
      <c r="A1413" s="66" t="s">
        <v>385</v>
      </c>
      <c r="B1413" s="65">
        <v>109392</v>
      </c>
      <c r="C1413" s="65">
        <v>65</v>
      </c>
      <c r="D1413" s="65">
        <v>3</v>
      </c>
    </row>
    <row r="1414" spans="1:4">
      <c r="A1414" s="66" t="s">
        <v>541</v>
      </c>
      <c r="B1414" s="65">
        <v>101359</v>
      </c>
      <c r="C1414" s="65">
        <v>8</v>
      </c>
      <c r="D1414" s="65">
        <v>3</v>
      </c>
    </row>
    <row r="1415" spans="1:4">
      <c r="A1415" s="66" t="s">
        <v>987</v>
      </c>
      <c r="B1415" s="65">
        <v>11118</v>
      </c>
      <c r="C1415" s="65">
        <v>12</v>
      </c>
      <c r="D1415" s="65">
        <v>3</v>
      </c>
    </row>
    <row r="1416" spans="1:4">
      <c r="A1416" s="66" t="s">
        <v>1294</v>
      </c>
      <c r="B1416" s="65">
        <v>113990</v>
      </c>
      <c r="C1416" s="65">
        <v>120</v>
      </c>
      <c r="D1416" s="65">
        <v>3</v>
      </c>
    </row>
    <row r="1417" spans="1:4">
      <c r="A1417" s="66" t="s">
        <v>753</v>
      </c>
      <c r="B1417" s="65">
        <v>58568</v>
      </c>
      <c r="C1417" s="65">
        <v>10</v>
      </c>
      <c r="D1417" s="65">
        <v>3</v>
      </c>
    </row>
    <row r="1418" spans="1:4">
      <c r="A1418" s="66" t="s">
        <v>958</v>
      </c>
      <c r="B1418" s="65">
        <v>31580</v>
      </c>
      <c r="C1418" s="65">
        <v>72</v>
      </c>
      <c r="D1418" s="65">
        <v>3</v>
      </c>
    </row>
    <row r="1419" spans="1:4">
      <c r="A1419" s="66" t="s">
        <v>912</v>
      </c>
      <c r="B1419" s="65">
        <v>96429</v>
      </c>
      <c r="C1419" s="65">
        <v>8</v>
      </c>
      <c r="D1419" s="65">
        <v>3</v>
      </c>
    </row>
    <row r="1420" spans="1:4">
      <c r="A1420" s="66" t="s">
        <v>866</v>
      </c>
      <c r="B1420" s="65">
        <v>85118</v>
      </c>
      <c r="C1420" s="65">
        <v>205</v>
      </c>
      <c r="D1420" s="65">
        <v>3</v>
      </c>
    </row>
    <row r="1421" spans="1:4">
      <c r="A1421" s="66" t="s">
        <v>1153</v>
      </c>
      <c r="B1421" s="65">
        <v>227653</v>
      </c>
      <c r="C1421" s="65">
        <v>115</v>
      </c>
      <c r="D1421" s="65">
        <v>3</v>
      </c>
    </row>
    <row r="1422" spans="1:4">
      <c r="A1422" s="66" t="s">
        <v>920</v>
      </c>
      <c r="B1422" s="65">
        <v>227652</v>
      </c>
      <c r="C1422" s="65">
        <v>100</v>
      </c>
      <c r="D1422" s="65">
        <v>3</v>
      </c>
    </row>
    <row r="1423" spans="1:4">
      <c r="A1423" s="66" t="s">
        <v>927</v>
      </c>
      <c r="B1423" s="65">
        <v>1935</v>
      </c>
      <c r="C1423" s="65">
        <v>132</v>
      </c>
      <c r="D1423" s="65">
        <v>3</v>
      </c>
    </row>
    <row r="1424" spans="1:4">
      <c r="A1424" s="66" t="s">
        <v>841</v>
      </c>
      <c r="B1424" s="65">
        <v>135380</v>
      </c>
      <c r="C1424" s="65">
        <v>50</v>
      </c>
      <c r="D1424" s="65">
        <v>3</v>
      </c>
    </row>
    <row r="1425" spans="1:4">
      <c r="A1425" s="66" t="s">
        <v>1107</v>
      </c>
      <c r="B1425" s="65">
        <v>101247</v>
      </c>
      <c r="C1425" s="65">
        <v>14</v>
      </c>
      <c r="D1425" s="65">
        <v>3</v>
      </c>
    </row>
    <row r="1426" spans="1:4">
      <c r="A1426" s="66" t="s">
        <v>1108</v>
      </c>
      <c r="B1426" s="65">
        <v>79448</v>
      </c>
      <c r="C1426" s="65">
        <v>25</v>
      </c>
      <c r="D1426" s="65">
        <v>3</v>
      </c>
    </row>
    <row r="1427" spans="1:4">
      <c r="A1427" s="66" t="s">
        <v>1198</v>
      </c>
      <c r="B1427" s="65">
        <v>97854</v>
      </c>
      <c r="C1427" s="65">
        <v>25</v>
      </c>
      <c r="D1427" s="65">
        <v>3</v>
      </c>
    </row>
    <row r="1428" spans="1:4">
      <c r="A1428" s="66" t="s">
        <v>1004</v>
      </c>
      <c r="B1428" s="65">
        <v>72322</v>
      </c>
      <c r="C1428" s="65">
        <v>5</v>
      </c>
      <c r="D1428" s="65">
        <v>3</v>
      </c>
    </row>
    <row r="1429" spans="1:4">
      <c r="A1429" s="66" t="s">
        <v>845</v>
      </c>
      <c r="B1429" s="65">
        <v>77911</v>
      </c>
      <c r="C1429" s="65">
        <v>60</v>
      </c>
      <c r="D1429" s="65">
        <v>3</v>
      </c>
    </row>
    <row r="1430" spans="1:4">
      <c r="A1430" s="66" t="s">
        <v>653</v>
      </c>
      <c r="B1430" s="65">
        <v>111197</v>
      </c>
      <c r="C1430" s="65">
        <v>13</v>
      </c>
      <c r="D1430" s="65">
        <v>3</v>
      </c>
    </row>
    <row r="1431" spans="1:4">
      <c r="A1431" s="66" t="s">
        <v>859</v>
      </c>
      <c r="B1431" s="65">
        <v>79514</v>
      </c>
      <c r="C1431" s="65">
        <v>43</v>
      </c>
      <c r="D1431" s="65">
        <v>3</v>
      </c>
    </row>
    <row r="1432" spans="1:4">
      <c r="A1432" s="66" t="s">
        <v>764</v>
      </c>
      <c r="B1432" s="65">
        <v>100294</v>
      </c>
      <c r="C1432" s="65">
        <v>10</v>
      </c>
      <c r="D1432" s="65">
        <v>3</v>
      </c>
    </row>
    <row r="1433" spans="1:4">
      <c r="A1433" s="66" t="s">
        <v>956</v>
      </c>
      <c r="B1433" s="65">
        <v>2333</v>
      </c>
      <c r="C1433" s="65">
        <v>70</v>
      </c>
      <c r="D1433" s="65">
        <v>3</v>
      </c>
    </row>
    <row r="1434" spans="1:4">
      <c r="A1434" s="66" t="s">
        <v>887</v>
      </c>
      <c r="B1434" s="65">
        <v>2448</v>
      </c>
      <c r="C1434" s="65">
        <v>60</v>
      </c>
      <c r="D1434" s="65">
        <v>3</v>
      </c>
    </row>
    <row r="1435" spans="1:4">
      <c r="A1435" s="66" t="s">
        <v>1562</v>
      </c>
      <c r="B1435" s="65">
        <v>6667</v>
      </c>
      <c r="C1435" s="65">
        <v>6</v>
      </c>
      <c r="D1435" s="65">
        <v>3</v>
      </c>
    </row>
    <row r="1436" spans="1:4">
      <c r="A1436" s="66" t="s">
        <v>1558</v>
      </c>
      <c r="B1436" s="65">
        <v>16592</v>
      </c>
      <c r="C1436" s="65">
        <v>5</v>
      </c>
      <c r="D1436" s="65">
        <v>3</v>
      </c>
    </row>
    <row r="1437" spans="1:4">
      <c r="A1437" s="66" t="s">
        <v>1793</v>
      </c>
      <c r="B1437" s="65">
        <v>11147</v>
      </c>
      <c r="C1437" s="65">
        <v>9</v>
      </c>
      <c r="D1437" s="65">
        <v>3</v>
      </c>
    </row>
    <row r="1438" spans="1:4">
      <c r="A1438" s="66" t="s">
        <v>1902</v>
      </c>
      <c r="B1438" s="65">
        <v>141166</v>
      </c>
      <c r="C1438" s="65">
        <v>60</v>
      </c>
      <c r="D1438" s="65">
        <v>3</v>
      </c>
    </row>
    <row r="1439" spans="1:4">
      <c r="A1439" s="66" t="s">
        <v>1609</v>
      </c>
      <c r="B1439" s="65">
        <v>160119</v>
      </c>
      <c r="C1439" s="65">
        <v>500</v>
      </c>
      <c r="D1439" s="65">
        <v>3</v>
      </c>
    </row>
    <row r="1440" spans="1:4">
      <c r="A1440" s="66" t="s">
        <v>1421</v>
      </c>
      <c r="B1440" s="65">
        <v>141056</v>
      </c>
      <c r="C1440" s="65">
        <v>60</v>
      </c>
      <c r="D1440" s="65">
        <v>3</v>
      </c>
    </row>
    <row r="1441" spans="1:4">
      <c r="A1441" s="66" t="s">
        <v>1504</v>
      </c>
      <c r="B1441" s="65">
        <v>140952</v>
      </c>
      <c r="C1441" s="65">
        <v>180</v>
      </c>
      <c r="D1441" s="65">
        <v>3</v>
      </c>
    </row>
    <row r="1442" spans="1:4">
      <c r="A1442" s="66" t="s">
        <v>1518</v>
      </c>
      <c r="B1442" s="65">
        <v>141022</v>
      </c>
      <c r="C1442" s="65">
        <v>72</v>
      </c>
      <c r="D1442" s="65">
        <v>3</v>
      </c>
    </row>
    <row r="1443" spans="1:4">
      <c r="A1443" s="66" t="s">
        <v>1507</v>
      </c>
      <c r="B1443" s="65">
        <v>140929</v>
      </c>
      <c r="C1443" s="65">
        <v>144</v>
      </c>
      <c r="D1443" s="65">
        <v>3</v>
      </c>
    </row>
    <row r="1444" spans="1:4">
      <c r="A1444" s="66" t="s">
        <v>1413</v>
      </c>
      <c r="B1444" s="65">
        <v>141005</v>
      </c>
      <c r="C1444" s="65">
        <v>108</v>
      </c>
      <c r="D1444" s="65">
        <v>3</v>
      </c>
    </row>
    <row r="1445" spans="1:4">
      <c r="A1445" s="66" t="s">
        <v>1602</v>
      </c>
      <c r="B1445" s="65">
        <v>132829</v>
      </c>
      <c r="C1445" s="65">
        <v>40</v>
      </c>
      <c r="D1445" s="65">
        <v>3</v>
      </c>
    </row>
    <row r="1446" spans="1:4">
      <c r="A1446" s="66" t="s">
        <v>1386</v>
      </c>
      <c r="B1446" s="65">
        <v>131930</v>
      </c>
      <c r="C1446" s="65">
        <v>15</v>
      </c>
      <c r="D1446" s="65">
        <v>3</v>
      </c>
    </row>
    <row r="1447" spans="1:4">
      <c r="A1447" s="66" t="s">
        <v>1375</v>
      </c>
      <c r="B1447" s="65">
        <v>67409</v>
      </c>
      <c r="C1447" s="65">
        <v>116</v>
      </c>
      <c r="D1447" s="65">
        <v>3</v>
      </c>
    </row>
    <row r="1448" spans="1:4">
      <c r="A1448" s="66" t="s">
        <v>1581</v>
      </c>
      <c r="B1448" s="65">
        <v>138810</v>
      </c>
      <c r="C1448" s="65">
        <v>125</v>
      </c>
      <c r="D1448" s="65">
        <v>3</v>
      </c>
    </row>
    <row r="1449" spans="1:4">
      <c r="A1449" s="66" t="s">
        <v>1512</v>
      </c>
      <c r="B1449" s="65">
        <v>140953</v>
      </c>
      <c r="C1449" s="65">
        <v>144</v>
      </c>
      <c r="D1449" s="65">
        <v>3</v>
      </c>
    </row>
    <row r="1450" spans="1:4">
      <c r="A1450" s="66" t="s">
        <v>1470</v>
      </c>
      <c r="B1450" s="65">
        <v>7294</v>
      </c>
      <c r="C1450" s="65">
        <v>252</v>
      </c>
      <c r="D1450" s="65">
        <v>3</v>
      </c>
    </row>
    <row r="1451" spans="1:4">
      <c r="A1451" s="66" t="s">
        <v>1415</v>
      </c>
      <c r="B1451" s="65">
        <v>140979</v>
      </c>
      <c r="C1451" s="65">
        <v>72</v>
      </c>
      <c r="D1451" s="65">
        <v>3</v>
      </c>
    </row>
    <row r="1452" spans="1:4">
      <c r="A1452" s="66" t="s">
        <v>1406</v>
      </c>
      <c r="B1452" s="65">
        <v>141094</v>
      </c>
      <c r="C1452" s="65">
        <v>180</v>
      </c>
      <c r="D1452" s="65">
        <v>3</v>
      </c>
    </row>
    <row r="1453" spans="1:4">
      <c r="A1453" s="66" t="s">
        <v>1361</v>
      </c>
      <c r="B1453" s="65">
        <v>140962</v>
      </c>
      <c r="C1453" s="65">
        <v>144</v>
      </c>
      <c r="D1453" s="65">
        <v>3</v>
      </c>
    </row>
    <row r="1454" spans="1:4">
      <c r="A1454" s="66" t="s">
        <v>1952</v>
      </c>
      <c r="B1454" s="65">
        <v>140924</v>
      </c>
      <c r="C1454" s="65">
        <v>144</v>
      </c>
      <c r="D1454" s="65">
        <v>3</v>
      </c>
    </row>
    <row r="1455" spans="1:4">
      <c r="A1455" s="66" t="s">
        <v>1953</v>
      </c>
      <c r="B1455" s="65">
        <v>96256</v>
      </c>
      <c r="C1455" s="65">
        <v>180</v>
      </c>
      <c r="D1455" s="65">
        <v>3</v>
      </c>
    </row>
    <row r="1456" spans="1:4">
      <c r="A1456" s="66" t="s">
        <v>1646</v>
      </c>
      <c r="B1456" s="65">
        <v>135156</v>
      </c>
      <c r="C1456" s="65">
        <v>288</v>
      </c>
      <c r="D1456" s="65">
        <v>3</v>
      </c>
    </row>
    <row r="1457" spans="1:4">
      <c r="A1457" s="66" t="s">
        <v>1733</v>
      </c>
      <c r="B1457" s="65">
        <v>140966</v>
      </c>
      <c r="C1457" s="65">
        <v>144</v>
      </c>
      <c r="D1457" s="65">
        <v>3</v>
      </c>
    </row>
    <row r="1458" spans="1:4">
      <c r="A1458" s="66" t="s">
        <v>1757</v>
      </c>
      <c r="B1458" s="65">
        <v>141113</v>
      </c>
      <c r="C1458" s="65">
        <v>264</v>
      </c>
      <c r="D1458" s="65">
        <v>3</v>
      </c>
    </row>
    <row r="1459" spans="1:4">
      <c r="A1459" s="66" t="s">
        <v>1844</v>
      </c>
      <c r="B1459" s="65">
        <v>140981</v>
      </c>
      <c r="C1459" s="65">
        <v>48</v>
      </c>
      <c r="D1459" s="65">
        <v>3</v>
      </c>
    </row>
    <row r="1460" spans="1:4">
      <c r="A1460" s="66" t="s">
        <v>1845</v>
      </c>
      <c r="B1460" s="65">
        <v>140996</v>
      </c>
      <c r="C1460" s="65">
        <v>108</v>
      </c>
      <c r="D1460" s="65">
        <v>3</v>
      </c>
    </row>
    <row r="1461" spans="1:4">
      <c r="A1461" s="66" t="s">
        <v>1950</v>
      </c>
      <c r="B1461" s="65">
        <v>100216</v>
      </c>
      <c r="C1461" s="65">
        <v>300</v>
      </c>
      <c r="D1461" s="65">
        <v>3</v>
      </c>
    </row>
    <row r="1462" spans="1:4">
      <c r="A1462" s="66" t="s">
        <v>1696</v>
      </c>
      <c r="B1462" s="65">
        <v>100748</v>
      </c>
      <c r="C1462" s="65">
        <v>16</v>
      </c>
      <c r="D1462" s="65">
        <v>3</v>
      </c>
    </row>
    <row r="1463" spans="1:4">
      <c r="A1463" s="66" t="s">
        <v>1859</v>
      </c>
      <c r="B1463" s="65">
        <v>140938</v>
      </c>
      <c r="C1463" s="65">
        <v>144</v>
      </c>
      <c r="D1463" s="65">
        <v>3</v>
      </c>
    </row>
    <row r="1464" spans="1:4">
      <c r="A1464" s="66" t="s">
        <v>1635</v>
      </c>
      <c r="B1464" s="65">
        <v>141055</v>
      </c>
      <c r="C1464" s="65">
        <v>72</v>
      </c>
      <c r="D1464" s="65">
        <v>3</v>
      </c>
    </row>
    <row r="1465" spans="1:4">
      <c r="A1465" s="66" t="s">
        <v>1752</v>
      </c>
      <c r="B1465" s="65">
        <v>141083</v>
      </c>
      <c r="C1465" s="65">
        <v>180</v>
      </c>
      <c r="D1465" s="65">
        <v>3</v>
      </c>
    </row>
    <row r="1466" spans="1:4">
      <c r="A1466" s="66" t="s">
        <v>1909</v>
      </c>
      <c r="B1466" s="65">
        <v>83787</v>
      </c>
      <c r="C1466" s="65">
        <v>6</v>
      </c>
      <c r="D1466" s="65">
        <v>3</v>
      </c>
    </row>
    <row r="1467" spans="1:4">
      <c r="A1467" s="66" t="s">
        <v>2497</v>
      </c>
      <c r="B1467" s="65">
        <v>346</v>
      </c>
      <c r="C1467" s="65">
        <v>105</v>
      </c>
      <c r="D1467" s="65">
        <v>3</v>
      </c>
    </row>
    <row r="1468" spans="1:4">
      <c r="A1468" s="66" t="s">
        <v>2290</v>
      </c>
      <c r="B1468" s="65">
        <v>28492</v>
      </c>
      <c r="C1468" s="65">
        <v>150</v>
      </c>
      <c r="D1468" s="65">
        <v>3</v>
      </c>
    </row>
    <row r="1469" spans="1:4">
      <c r="A1469" s="66" t="s">
        <v>2513</v>
      </c>
      <c r="B1469" s="65">
        <v>5499</v>
      </c>
      <c r="C1469" s="65">
        <v>150</v>
      </c>
      <c r="D1469" s="65">
        <v>3</v>
      </c>
    </row>
    <row r="1470" spans="1:4">
      <c r="A1470" s="66" t="s">
        <v>2459</v>
      </c>
      <c r="B1470" s="65">
        <v>110809</v>
      </c>
      <c r="C1470" s="65">
        <v>9</v>
      </c>
      <c r="D1470" s="65">
        <v>3</v>
      </c>
    </row>
    <row r="1471" spans="1:4">
      <c r="A1471" s="66" t="s">
        <v>2475</v>
      </c>
      <c r="B1471" s="65">
        <v>88353</v>
      </c>
      <c r="C1471" s="65">
        <v>9</v>
      </c>
      <c r="D1471" s="65">
        <v>3</v>
      </c>
    </row>
    <row r="1472" spans="1:4">
      <c r="A1472" s="66" t="s">
        <v>2598</v>
      </c>
      <c r="B1472" s="65">
        <v>132597</v>
      </c>
      <c r="C1472" s="65">
        <v>15</v>
      </c>
      <c r="D1472" s="65">
        <v>3</v>
      </c>
    </row>
    <row r="1473" spans="1:4">
      <c r="A1473" s="66" t="s">
        <v>2111</v>
      </c>
      <c r="B1473" s="65">
        <v>14500</v>
      </c>
      <c r="C1473" s="65">
        <v>27</v>
      </c>
      <c r="D1473" s="65">
        <v>3</v>
      </c>
    </row>
    <row r="1474" spans="1:4">
      <c r="A1474" s="66" t="s">
        <v>2033</v>
      </c>
      <c r="B1474" s="65">
        <v>96319</v>
      </c>
      <c r="C1474" s="65">
        <v>6</v>
      </c>
      <c r="D1474" s="65">
        <v>3</v>
      </c>
    </row>
    <row r="1475" spans="1:4">
      <c r="A1475" s="66" t="s">
        <v>2293</v>
      </c>
      <c r="B1475" s="65">
        <v>104</v>
      </c>
      <c r="C1475" s="65">
        <v>72</v>
      </c>
      <c r="D1475" s="65">
        <v>3</v>
      </c>
    </row>
    <row r="1476" spans="1:4">
      <c r="A1476" s="66" t="s">
        <v>2278</v>
      </c>
      <c r="B1476" s="65">
        <v>105010</v>
      </c>
      <c r="C1476" s="65">
        <v>7</v>
      </c>
      <c r="D1476" s="65">
        <v>3</v>
      </c>
    </row>
    <row r="1477" spans="1:4">
      <c r="A1477" s="66" t="s">
        <v>2408</v>
      </c>
      <c r="B1477" s="65">
        <v>18601</v>
      </c>
      <c r="C1477" s="65">
        <v>12</v>
      </c>
      <c r="D1477" s="65">
        <v>3</v>
      </c>
    </row>
    <row r="1478" spans="1:4">
      <c r="A1478" s="66" t="s">
        <v>1957</v>
      </c>
      <c r="B1478" s="65">
        <v>134099</v>
      </c>
      <c r="C1478" s="65">
        <v>36</v>
      </c>
      <c r="D1478" s="65">
        <v>3</v>
      </c>
    </row>
    <row r="1479" spans="1:4">
      <c r="A1479" s="66" t="s">
        <v>2151</v>
      </c>
      <c r="B1479" s="65">
        <v>107963</v>
      </c>
      <c r="C1479" s="65">
        <v>9</v>
      </c>
      <c r="D1479" s="65">
        <v>3</v>
      </c>
    </row>
    <row r="1480" spans="1:4">
      <c r="A1480" s="66" t="s">
        <v>2152</v>
      </c>
      <c r="B1480" s="65">
        <v>98212</v>
      </c>
      <c r="C1480" s="65">
        <v>26</v>
      </c>
      <c r="D1480" s="65">
        <v>3</v>
      </c>
    </row>
    <row r="1481" spans="1:4">
      <c r="A1481" s="66" t="s">
        <v>1959</v>
      </c>
      <c r="B1481" s="65">
        <v>9384</v>
      </c>
      <c r="C1481" s="65">
        <v>11</v>
      </c>
      <c r="D1481" s="65">
        <v>3</v>
      </c>
    </row>
    <row r="1482" spans="1:4">
      <c r="A1482" s="66" t="s">
        <v>2057</v>
      </c>
      <c r="B1482" s="65">
        <v>112421</v>
      </c>
      <c r="C1482" s="65">
        <v>10</v>
      </c>
      <c r="D1482" s="65">
        <v>3</v>
      </c>
    </row>
    <row r="1483" spans="1:4">
      <c r="A1483" s="66" t="s">
        <v>2191</v>
      </c>
      <c r="B1483" s="65">
        <v>132999</v>
      </c>
      <c r="C1483" s="65">
        <v>34</v>
      </c>
      <c r="D1483" s="65">
        <v>3</v>
      </c>
    </row>
    <row r="1484" spans="1:4">
      <c r="A1484" s="66" t="s">
        <v>2195</v>
      </c>
      <c r="B1484" s="65">
        <v>177479</v>
      </c>
      <c r="C1484" s="65">
        <v>71</v>
      </c>
      <c r="D1484" s="65">
        <v>3</v>
      </c>
    </row>
    <row r="1485" spans="1:4">
      <c r="A1485" s="66" t="s">
        <v>1978</v>
      </c>
      <c r="B1485" s="65">
        <v>138404</v>
      </c>
      <c r="C1485" s="65">
        <v>700</v>
      </c>
      <c r="D1485" s="65">
        <v>3</v>
      </c>
    </row>
    <row r="1486" spans="1:4">
      <c r="A1486" s="66" t="s">
        <v>2094</v>
      </c>
      <c r="B1486" s="65">
        <v>100217</v>
      </c>
      <c r="C1486" s="65">
        <v>12</v>
      </c>
      <c r="D1486" s="65">
        <v>3</v>
      </c>
    </row>
    <row r="1487" spans="1:4">
      <c r="A1487" s="66" t="s">
        <v>2213</v>
      </c>
      <c r="B1487" s="65">
        <v>124146</v>
      </c>
      <c r="C1487" s="65">
        <v>18</v>
      </c>
      <c r="D1487" s="65">
        <v>3</v>
      </c>
    </row>
    <row r="1488" spans="1:4">
      <c r="A1488" s="66" t="s">
        <v>239</v>
      </c>
      <c r="B1488" s="65">
        <v>135203</v>
      </c>
      <c r="C1488" s="65">
        <v>8</v>
      </c>
      <c r="D1488" s="65">
        <v>2</v>
      </c>
    </row>
    <row r="1489" spans="1:4">
      <c r="A1489" s="66" t="s">
        <v>131</v>
      </c>
      <c r="B1489" s="65">
        <v>37393</v>
      </c>
      <c r="C1489" s="65">
        <v>1000</v>
      </c>
      <c r="D1489" s="65">
        <v>2</v>
      </c>
    </row>
    <row r="1490" spans="1:4">
      <c r="A1490" s="66" t="s">
        <v>128</v>
      </c>
      <c r="B1490" s="65">
        <v>157430</v>
      </c>
      <c r="C1490" s="65">
        <v>200</v>
      </c>
      <c r="D1490" s="65">
        <v>2</v>
      </c>
    </row>
    <row r="1491" spans="1:4">
      <c r="A1491" s="66" t="s">
        <v>20</v>
      </c>
      <c r="B1491" s="65">
        <v>95389</v>
      </c>
      <c r="C1491" s="65">
        <v>13</v>
      </c>
      <c r="D1491" s="65">
        <v>2</v>
      </c>
    </row>
    <row r="1492" spans="1:4">
      <c r="A1492" s="66" t="s">
        <v>370</v>
      </c>
      <c r="B1492" s="65">
        <v>135745</v>
      </c>
      <c r="C1492" s="65">
        <v>30</v>
      </c>
      <c r="D1492" s="65">
        <v>2</v>
      </c>
    </row>
    <row r="1493" spans="1:4">
      <c r="A1493" s="66" t="s">
        <v>484</v>
      </c>
      <c r="B1493" s="65">
        <v>132706</v>
      </c>
      <c r="C1493" s="65">
        <v>11</v>
      </c>
      <c r="D1493" s="65">
        <v>2</v>
      </c>
    </row>
    <row r="1494" spans="1:4">
      <c r="A1494" s="66" t="s">
        <v>580</v>
      </c>
      <c r="B1494" s="65">
        <v>100105</v>
      </c>
      <c r="C1494" s="65">
        <v>10</v>
      </c>
      <c r="D1494" s="65">
        <v>2</v>
      </c>
    </row>
    <row r="1495" spans="1:4">
      <c r="A1495" s="66" t="s">
        <v>461</v>
      </c>
      <c r="B1495" s="65">
        <v>100409</v>
      </c>
      <c r="C1495" s="65">
        <v>50</v>
      </c>
      <c r="D1495" s="65">
        <v>2</v>
      </c>
    </row>
    <row r="1496" spans="1:4">
      <c r="A1496" s="66" t="s">
        <v>317</v>
      </c>
      <c r="B1496" s="65">
        <v>18602</v>
      </c>
      <c r="C1496" s="65">
        <v>4</v>
      </c>
      <c r="D1496" s="65">
        <v>2</v>
      </c>
    </row>
    <row r="1497" spans="1:4">
      <c r="A1497" s="66" t="s">
        <v>98</v>
      </c>
      <c r="B1497" s="65">
        <v>13801</v>
      </c>
      <c r="C1497" s="65">
        <v>12</v>
      </c>
      <c r="D1497" s="65">
        <v>2</v>
      </c>
    </row>
    <row r="1498" spans="1:4">
      <c r="A1498" s="66" t="s">
        <v>300</v>
      </c>
      <c r="B1498" s="65">
        <v>157703</v>
      </c>
      <c r="C1498" s="65">
        <v>28</v>
      </c>
      <c r="D1498" s="65">
        <v>2</v>
      </c>
    </row>
    <row r="1499" spans="1:4">
      <c r="A1499" s="66" t="s">
        <v>218</v>
      </c>
      <c r="B1499" s="65">
        <v>18598</v>
      </c>
      <c r="C1499" s="65">
        <v>120</v>
      </c>
      <c r="D1499" s="65">
        <v>2</v>
      </c>
    </row>
    <row r="1500" spans="1:4">
      <c r="A1500" s="66" t="s">
        <v>294</v>
      </c>
      <c r="B1500" s="65">
        <v>110684</v>
      </c>
      <c r="C1500" s="65">
        <v>25</v>
      </c>
      <c r="D1500" s="65">
        <v>2</v>
      </c>
    </row>
    <row r="1501" spans="1:4">
      <c r="A1501" s="66" t="s">
        <v>186</v>
      </c>
      <c r="B1501" s="65">
        <v>110685</v>
      </c>
      <c r="C1501" s="65">
        <v>120</v>
      </c>
      <c r="D1501" s="65">
        <v>2</v>
      </c>
    </row>
    <row r="1502" spans="1:4">
      <c r="A1502" s="66" t="s">
        <v>280</v>
      </c>
      <c r="B1502" s="65">
        <v>158112</v>
      </c>
      <c r="C1502" s="65">
        <v>20</v>
      </c>
      <c r="D1502" s="65">
        <v>2</v>
      </c>
    </row>
    <row r="1503" spans="1:4">
      <c r="A1503" s="66" t="s">
        <v>177</v>
      </c>
      <c r="B1503" s="65">
        <v>136872</v>
      </c>
      <c r="C1503" s="65">
        <v>650</v>
      </c>
      <c r="D1503" s="65">
        <v>2</v>
      </c>
    </row>
    <row r="1504" spans="1:4">
      <c r="A1504" s="66" t="s">
        <v>275</v>
      </c>
      <c r="B1504" s="65">
        <v>138662</v>
      </c>
      <c r="C1504" s="65">
        <v>25</v>
      </c>
      <c r="D1504" s="65">
        <v>2</v>
      </c>
    </row>
    <row r="1505" spans="1:4">
      <c r="A1505" s="66" t="s">
        <v>198</v>
      </c>
      <c r="B1505" s="65">
        <v>157858</v>
      </c>
      <c r="C1505" s="65">
        <v>17</v>
      </c>
      <c r="D1505" s="65">
        <v>2</v>
      </c>
    </row>
    <row r="1506" spans="1:4">
      <c r="A1506" s="66" t="s">
        <v>158</v>
      </c>
      <c r="B1506" s="65">
        <v>107985</v>
      </c>
      <c r="C1506" s="65">
        <v>9</v>
      </c>
      <c r="D1506" s="65">
        <v>2</v>
      </c>
    </row>
    <row r="1507" spans="1:4">
      <c r="A1507" s="66" t="s">
        <v>200</v>
      </c>
      <c r="B1507" s="65">
        <v>105911</v>
      </c>
      <c r="C1507" s="65">
        <v>7</v>
      </c>
      <c r="D1507" s="65">
        <v>2</v>
      </c>
    </row>
    <row r="1508" spans="1:4">
      <c r="A1508" s="66" t="s">
        <v>265</v>
      </c>
      <c r="B1508" s="65">
        <v>74609</v>
      </c>
      <c r="C1508" s="65">
        <v>16</v>
      </c>
      <c r="D1508" s="65">
        <v>2</v>
      </c>
    </row>
    <row r="1509" spans="1:4">
      <c r="A1509" s="66" t="s">
        <v>423</v>
      </c>
      <c r="B1509" s="65">
        <v>225893</v>
      </c>
      <c r="C1509" s="65">
        <v>30</v>
      </c>
      <c r="D1509" s="65">
        <v>2</v>
      </c>
    </row>
    <row r="1510" spans="1:4">
      <c r="A1510" s="66" t="s">
        <v>435</v>
      </c>
      <c r="B1510" s="65">
        <v>157431</v>
      </c>
      <c r="C1510" s="65">
        <v>120</v>
      </c>
      <c r="D1510" s="65">
        <v>2</v>
      </c>
    </row>
    <row r="1511" spans="1:4">
      <c r="A1511" s="66" t="s">
        <v>535</v>
      </c>
      <c r="B1511" s="65">
        <v>1078</v>
      </c>
      <c r="C1511" s="65">
        <v>10</v>
      </c>
      <c r="D1511" s="65">
        <v>2</v>
      </c>
    </row>
    <row r="1512" spans="1:4">
      <c r="A1512" s="66" t="s">
        <v>331</v>
      </c>
      <c r="B1512" s="65">
        <v>23505</v>
      </c>
      <c r="C1512" s="65">
        <v>12</v>
      </c>
      <c r="D1512" s="65">
        <v>2</v>
      </c>
    </row>
    <row r="1513" spans="1:4">
      <c r="A1513" s="66" t="s">
        <v>383</v>
      </c>
      <c r="B1513" s="65">
        <v>61719</v>
      </c>
      <c r="C1513" s="65">
        <v>4</v>
      </c>
      <c r="D1513" s="65">
        <v>2</v>
      </c>
    </row>
    <row r="1514" spans="1:4">
      <c r="A1514" s="66" t="s">
        <v>431</v>
      </c>
      <c r="B1514" s="65">
        <v>105893</v>
      </c>
      <c r="C1514" s="65">
        <v>5</v>
      </c>
      <c r="D1514" s="65">
        <v>2</v>
      </c>
    </row>
    <row r="1515" spans="1:4">
      <c r="A1515" s="66" t="s">
        <v>443</v>
      </c>
      <c r="B1515" s="65">
        <v>66660</v>
      </c>
      <c r="C1515" s="65">
        <v>12</v>
      </c>
      <c r="D1515" s="65">
        <v>2</v>
      </c>
    </row>
    <row r="1516" spans="1:4">
      <c r="A1516" s="66" t="s">
        <v>490</v>
      </c>
      <c r="B1516" s="65">
        <v>37154</v>
      </c>
      <c r="C1516" s="65">
        <v>64</v>
      </c>
      <c r="D1516" s="65">
        <v>2</v>
      </c>
    </row>
    <row r="1517" spans="1:4">
      <c r="A1517" s="66" t="s">
        <v>601</v>
      </c>
      <c r="B1517" s="65">
        <v>54376</v>
      </c>
      <c r="C1517" s="65">
        <v>12</v>
      </c>
      <c r="D1517" s="65">
        <v>2</v>
      </c>
    </row>
    <row r="1518" spans="1:4">
      <c r="A1518" s="66" t="s">
        <v>598</v>
      </c>
      <c r="B1518" s="65">
        <v>110485</v>
      </c>
      <c r="C1518" s="65">
        <v>20</v>
      </c>
      <c r="D1518" s="65">
        <v>2</v>
      </c>
    </row>
    <row r="1519" spans="1:4">
      <c r="A1519" s="66" t="s">
        <v>1032</v>
      </c>
      <c r="B1519" s="65">
        <v>225991</v>
      </c>
      <c r="C1519" s="65">
        <v>100</v>
      </c>
      <c r="D1519" s="65">
        <v>2</v>
      </c>
    </row>
    <row r="1520" spans="1:4">
      <c r="A1520" s="66" t="s">
        <v>1098</v>
      </c>
      <c r="B1520" s="65">
        <v>96316</v>
      </c>
      <c r="C1520" s="65">
        <v>3</v>
      </c>
      <c r="D1520" s="65">
        <v>2</v>
      </c>
    </row>
    <row r="1521" spans="1:4">
      <c r="A1521" s="66" t="s">
        <v>1260</v>
      </c>
      <c r="B1521" s="65">
        <v>3653</v>
      </c>
      <c r="C1521" s="65">
        <v>400</v>
      </c>
      <c r="D1521" s="65">
        <v>2</v>
      </c>
    </row>
    <row r="1522" spans="1:4">
      <c r="A1522" s="66" t="s">
        <v>1202</v>
      </c>
      <c r="B1522" s="65">
        <v>14426</v>
      </c>
      <c r="C1522" s="65">
        <v>24</v>
      </c>
      <c r="D1522" s="65">
        <v>2</v>
      </c>
    </row>
    <row r="1523" spans="1:4">
      <c r="A1523" s="66" t="s">
        <v>1101</v>
      </c>
      <c r="B1523" s="65">
        <v>13576</v>
      </c>
      <c r="C1523" s="65">
        <v>40</v>
      </c>
      <c r="D1523" s="65">
        <v>2</v>
      </c>
    </row>
    <row r="1524" spans="1:4">
      <c r="A1524" s="66" t="s">
        <v>1203</v>
      </c>
      <c r="B1524" s="65">
        <v>47658</v>
      </c>
      <c r="C1524" s="65">
        <v>36</v>
      </c>
      <c r="D1524" s="65">
        <v>2</v>
      </c>
    </row>
    <row r="1525" spans="1:4">
      <c r="A1525" s="66" t="s">
        <v>1166</v>
      </c>
      <c r="B1525" s="65">
        <v>156150</v>
      </c>
      <c r="C1525" s="65">
        <v>500</v>
      </c>
      <c r="D1525" s="65">
        <v>2</v>
      </c>
    </row>
    <row r="1526" spans="1:4">
      <c r="A1526" s="66" t="s">
        <v>1173</v>
      </c>
      <c r="B1526" s="65">
        <v>83177</v>
      </c>
      <c r="C1526" s="65">
        <v>5</v>
      </c>
      <c r="D1526" s="65">
        <v>2</v>
      </c>
    </row>
    <row r="1527" spans="1:4">
      <c r="A1527" s="66" t="s">
        <v>1301</v>
      </c>
      <c r="B1527" s="65">
        <v>61373</v>
      </c>
      <c r="C1527" s="65">
        <v>30</v>
      </c>
      <c r="D1527" s="65">
        <v>2</v>
      </c>
    </row>
    <row r="1528" spans="1:4">
      <c r="A1528" s="66" t="s">
        <v>741</v>
      </c>
      <c r="B1528" s="65">
        <v>28560</v>
      </c>
      <c r="C1528" s="65">
        <v>11</v>
      </c>
      <c r="D1528" s="65">
        <v>2</v>
      </c>
    </row>
    <row r="1529" spans="1:4">
      <c r="A1529" s="66" t="s">
        <v>853</v>
      </c>
      <c r="B1529" s="65">
        <v>13892</v>
      </c>
      <c r="C1529" s="65">
        <v>6</v>
      </c>
      <c r="D1529" s="65">
        <v>2</v>
      </c>
    </row>
    <row r="1530" spans="1:4">
      <c r="A1530" s="66" t="s">
        <v>855</v>
      </c>
      <c r="B1530" s="65">
        <v>88073</v>
      </c>
      <c r="C1530" s="65">
        <v>38</v>
      </c>
      <c r="D1530" s="65">
        <v>2</v>
      </c>
    </row>
    <row r="1531" spans="1:4">
      <c r="A1531" s="66" t="s">
        <v>1193</v>
      </c>
      <c r="B1531" s="65">
        <v>112384</v>
      </c>
      <c r="C1531" s="65">
        <v>45</v>
      </c>
      <c r="D1531" s="65">
        <v>2</v>
      </c>
    </row>
    <row r="1532" spans="1:4">
      <c r="A1532" s="66" t="s">
        <v>1206</v>
      </c>
      <c r="B1532" s="65">
        <v>79501</v>
      </c>
      <c r="C1532" s="65">
        <v>12</v>
      </c>
      <c r="D1532" s="65">
        <v>2</v>
      </c>
    </row>
    <row r="1533" spans="1:4">
      <c r="A1533" s="66" t="s">
        <v>1093</v>
      </c>
      <c r="B1533" s="65">
        <v>116946</v>
      </c>
      <c r="C1533" s="65">
        <v>35</v>
      </c>
      <c r="D1533" s="65">
        <v>2</v>
      </c>
    </row>
    <row r="1534" spans="1:4">
      <c r="A1534" s="66" t="s">
        <v>992</v>
      </c>
      <c r="B1534" s="65">
        <v>57380</v>
      </c>
      <c r="C1534" s="65">
        <v>10</v>
      </c>
      <c r="D1534" s="65">
        <v>2</v>
      </c>
    </row>
    <row r="1535" spans="1:4">
      <c r="A1535" s="66" t="s">
        <v>1209</v>
      </c>
      <c r="B1535" s="65">
        <v>1692</v>
      </c>
      <c r="C1535" s="65">
        <v>8</v>
      </c>
      <c r="D1535" s="65">
        <v>2</v>
      </c>
    </row>
    <row r="1536" spans="1:4">
      <c r="A1536" s="66" t="s">
        <v>1243</v>
      </c>
      <c r="B1536" s="65">
        <v>114384</v>
      </c>
      <c r="C1536" s="65">
        <v>14</v>
      </c>
      <c r="D1536" s="65">
        <v>2</v>
      </c>
    </row>
    <row r="1537" spans="1:4">
      <c r="A1537" s="66" t="s">
        <v>1254</v>
      </c>
      <c r="B1537" s="65">
        <v>138930</v>
      </c>
      <c r="C1537" s="65">
        <v>60</v>
      </c>
      <c r="D1537" s="65">
        <v>2</v>
      </c>
    </row>
    <row r="1538" spans="1:4">
      <c r="A1538" s="66" t="s">
        <v>1257</v>
      </c>
      <c r="B1538" s="65">
        <v>138809</v>
      </c>
      <c r="C1538" s="65">
        <v>50</v>
      </c>
      <c r="D1538" s="65">
        <v>2</v>
      </c>
    </row>
    <row r="1539" spans="1:4">
      <c r="A1539" s="66" t="s">
        <v>735</v>
      </c>
      <c r="B1539" s="65">
        <v>12090</v>
      </c>
      <c r="C1539" s="65">
        <v>24</v>
      </c>
      <c r="D1539" s="65">
        <v>2</v>
      </c>
    </row>
    <row r="1540" spans="1:4">
      <c r="A1540" s="66" t="s">
        <v>856</v>
      </c>
      <c r="B1540" s="65">
        <v>59210</v>
      </c>
      <c r="C1540" s="65">
        <v>3</v>
      </c>
      <c r="D1540" s="65">
        <v>2</v>
      </c>
    </row>
    <row r="1541" spans="1:4">
      <c r="A1541" s="66" t="s">
        <v>748</v>
      </c>
      <c r="B1541" s="65">
        <v>226002</v>
      </c>
      <c r="C1541" s="65">
        <v>100</v>
      </c>
      <c r="D1541" s="65">
        <v>2</v>
      </c>
    </row>
    <row r="1542" spans="1:4">
      <c r="A1542" s="66" t="s">
        <v>962</v>
      </c>
      <c r="B1542" s="65">
        <v>37716</v>
      </c>
      <c r="C1542" s="65">
        <v>8</v>
      </c>
      <c r="D1542" s="65">
        <v>2</v>
      </c>
    </row>
    <row r="1543" spans="1:4">
      <c r="A1543" s="66" t="s">
        <v>738</v>
      </c>
      <c r="B1543" s="65">
        <v>159034</v>
      </c>
      <c r="C1543" s="65">
        <v>10</v>
      </c>
      <c r="D1543" s="65">
        <v>2</v>
      </c>
    </row>
    <row r="1544" spans="1:4">
      <c r="A1544" s="66" t="s">
        <v>849</v>
      </c>
      <c r="B1544" s="65">
        <v>119896</v>
      </c>
      <c r="C1544" s="65">
        <v>80</v>
      </c>
      <c r="D1544" s="65">
        <v>2</v>
      </c>
    </row>
    <row r="1545" spans="1:4">
      <c r="A1545" s="66" t="s">
        <v>881</v>
      </c>
      <c r="B1545" s="65">
        <v>129275</v>
      </c>
      <c r="C1545" s="65">
        <v>12</v>
      </c>
      <c r="D1545" s="65">
        <v>2</v>
      </c>
    </row>
    <row r="1546" spans="1:4">
      <c r="A1546" s="66" t="s">
        <v>1451</v>
      </c>
      <c r="B1546" s="65">
        <v>31491</v>
      </c>
      <c r="C1546" s="65">
        <v>100</v>
      </c>
      <c r="D1546" s="65">
        <v>2</v>
      </c>
    </row>
    <row r="1547" spans="1:4">
      <c r="A1547" s="66" t="s">
        <v>1432</v>
      </c>
      <c r="B1547" s="65">
        <v>5972</v>
      </c>
      <c r="C1547" s="65">
        <v>20</v>
      </c>
      <c r="D1547" s="65">
        <v>2</v>
      </c>
    </row>
    <row r="1548" spans="1:4">
      <c r="A1548" s="66" t="s">
        <v>1676</v>
      </c>
      <c r="B1548" s="65">
        <v>128656</v>
      </c>
      <c r="C1548" s="65">
        <v>7</v>
      </c>
      <c r="D1548" s="65">
        <v>2</v>
      </c>
    </row>
    <row r="1549" spans="1:4">
      <c r="A1549" s="66" t="s">
        <v>1784</v>
      </c>
      <c r="B1549" s="65">
        <v>134739</v>
      </c>
      <c r="C1549" s="65">
        <v>90</v>
      </c>
      <c r="D1549" s="65">
        <v>2</v>
      </c>
    </row>
    <row r="1550" spans="1:4">
      <c r="A1550" s="66" t="s">
        <v>1896</v>
      </c>
      <c r="B1550" s="65">
        <v>32015</v>
      </c>
      <c r="C1550" s="65">
        <v>480</v>
      </c>
      <c r="D1550" s="65">
        <v>2</v>
      </c>
    </row>
    <row r="1551" spans="1:4">
      <c r="A1551" s="66" t="s">
        <v>1895</v>
      </c>
      <c r="B1551" s="65">
        <v>1012</v>
      </c>
      <c r="C1551" s="65">
        <v>384</v>
      </c>
      <c r="D1551" s="65">
        <v>2</v>
      </c>
    </row>
    <row r="1552" spans="1:4">
      <c r="A1552" s="66" t="s">
        <v>1396</v>
      </c>
      <c r="B1552" s="65">
        <v>141032</v>
      </c>
      <c r="C1552" s="65">
        <v>48</v>
      </c>
      <c r="D1552" s="65">
        <v>2</v>
      </c>
    </row>
    <row r="1553" spans="1:4">
      <c r="A1553" s="66" t="s">
        <v>1503</v>
      </c>
      <c r="B1553" s="65">
        <v>3822</v>
      </c>
      <c r="C1553" s="65">
        <v>36</v>
      </c>
      <c r="D1553" s="65">
        <v>2</v>
      </c>
    </row>
    <row r="1554" spans="1:4">
      <c r="A1554" s="66" t="s">
        <v>1515</v>
      </c>
      <c r="B1554" s="65">
        <v>140925</v>
      </c>
      <c r="C1554" s="65">
        <v>108</v>
      </c>
      <c r="D1554" s="65">
        <v>2</v>
      </c>
    </row>
    <row r="1555" spans="1:4">
      <c r="A1555" s="66" t="s">
        <v>1619</v>
      </c>
      <c r="B1555" s="65">
        <v>14968</v>
      </c>
      <c r="C1555" s="65">
        <v>60</v>
      </c>
      <c r="D1555" s="65">
        <v>2</v>
      </c>
    </row>
    <row r="1556" spans="1:4">
      <c r="A1556" s="66" t="s">
        <v>1528</v>
      </c>
      <c r="B1556" s="65">
        <v>141090</v>
      </c>
      <c r="C1556" s="65">
        <v>108</v>
      </c>
      <c r="D1556" s="65">
        <v>2</v>
      </c>
    </row>
    <row r="1557" spans="1:4">
      <c r="A1557" s="66" t="s">
        <v>1399</v>
      </c>
      <c r="B1557" s="65">
        <v>140917</v>
      </c>
      <c r="C1557" s="65">
        <v>108</v>
      </c>
      <c r="D1557" s="65">
        <v>2</v>
      </c>
    </row>
    <row r="1558" spans="1:4">
      <c r="A1558" s="66" t="s">
        <v>1613</v>
      </c>
      <c r="B1558" s="65">
        <v>177270</v>
      </c>
      <c r="C1558" s="65">
        <v>144</v>
      </c>
      <c r="D1558" s="65">
        <v>2</v>
      </c>
    </row>
    <row r="1559" spans="1:4">
      <c r="A1559" s="66" t="s">
        <v>1425</v>
      </c>
      <c r="B1559" s="65">
        <v>141046</v>
      </c>
      <c r="C1559" s="65">
        <v>72</v>
      </c>
      <c r="D1559" s="65">
        <v>2</v>
      </c>
    </row>
    <row r="1560" spans="1:4">
      <c r="A1560" s="66" t="s">
        <v>1601</v>
      </c>
      <c r="B1560" s="65">
        <v>108748</v>
      </c>
      <c r="C1560" s="65">
        <v>200</v>
      </c>
      <c r="D1560" s="65">
        <v>2</v>
      </c>
    </row>
    <row r="1561" spans="1:4">
      <c r="A1561" s="66" t="s">
        <v>1378</v>
      </c>
      <c r="B1561" s="65">
        <v>7800</v>
      </c>
      <c r="C1561" s="65">
        <v>150</v>
      </c>
      <c r="D1561" s="65">
        <v>2</v>
      </c>
    </row>
    <row r="1562" spans="1:4">
      <c r="A1562" s="66" t="s">
        <v>1376</v>
      </c>
      <c r="B1562" s="65">
        <v>131791</v>
      </c>
      <c r="C1562" s="65">
        <v>7</v>
      </c>
      <c r="D1562" s="65">
        <v>2</v>
      </c>
    </row>
    <row r="1563" spans="1:4">
      <c r="A1563" s="66" t="s">
        <v>1617</v>
      </c>
      <c r="B1563" s="65">
        <v>121221</v>
      </c>
      <c r="C1563" s="65">
        <v>50</v>
      </c>
      <c r="D1563" s="65">
        <v>2</v>
      </c>
    </row>
    <row r="1564" spans="1:4">
      <c r="A1564" s="66" t="s">
        <v>1615</v>
      </c>
      <c r="B1564" s="65">
        <v>156193</v>
      </c>
      <c r="C1564" s="65">
        <v>24</v>
      </c>
      <c r="D1564" s="65">
        <v>2</v>
      </c>
    </row>
    <row r="1565" spans="1:4">
      <c r="A1565" s="66" t="s">
        <v>1567</v>
      </c>
      <c r="B1565" s="65">
        <v>108958</v>
      </c>
      <c r="C1565" s="65">
        <v>6</v>
      </c>
      <c r="D1565" s="65">
        <v>2</v>
      </c>
    </row>
    <row r="1566" spans="1:4">
      <c r="A1566" s="66" t="s">
        <v>1852</v>
      </c>
      <c r="B1566" s="65">
        <v>141093</v>
      </c>
      <c r="C1566" s="65">
        <v>72</v>
      </c>
      <c r="D1566" s="65">
        <v>2</v>
      </c>
    </row>
    <row r="1567" spans="1:4">
      <c r="A1567" s="66" t="s">
        <v>1951</v>
      </c>
      <c r="B1567" s="65">
        <v>76826</v>
      </c>
      <c r="C1567" s="65">
        <v>144</v>
      </c>
      <c r="D1567" s="65">
        <v>2</v>
      </c>
    </row>
    <row r="1568" spans="1:4">
      <c r="A1568" s="66" t="s">
        <v>1731</v>
      </c>
      <c r="B1568" s="65">
        <v>141070</v>
      </c>
      <c r="C1568" s="65">
        <v>84</v>
      </c>
      <c r="D1568" s="65">
        <v>2</v>
      </c>
    </row>
    <row r="1569" spans="1:4">
      <c r="A1569" s="66" t="s">
        <v>1745</v>
      </c>
      <c r="B1569" s="65">
        <v>141063</v>
      </c>
      <c r="C1569" s="65">
        <v>216</v>
      </c>
      <c r="D1569" s="65">
        <v>2</v>
      </c>
    </row>
    <row r="1570" spans="1:4">
      <c r="A1570" s="66" t="s">
        <v>1856</v>
      </c>
      <c r="B1570" s="65">
        <v>7280</v>
      </c>
      <c r="C1570" s="65">
        <v>24</v>
      </c>
      <c r="D1570" s="65">
        <v>2</v>
      </c>
    </row>
    <row r="1571" spans="1:4">
      <c r="A1571" s="66" t="s">
        <v>1955</v>
      </c>
      <c r="B1571" s="65">
        <v>2485</v>
      </c>
      <c r="C1571" s="65">
        <v>72</v>
      </c>
      <c r="D1571" s="65">
        <v>2</v>
      </c>
    </row>
    <row r="1572" spans="1:4">
      <c r="A1572" s="66" t="s">
        <v>1726</v>
      </c>
      <c r="B1572" s="65">
        <v>83233</v>
      </c>
      <c r="C1572" s="65">
        <v>100</v>
      </c>
      <c r="D1572" s="65">
        <v>2</v>
      </c>
    </row>
    <row r="1573" spans="1:4">
      <c r="A1573" s="66" t="s">
        <v>1735</v>
      </c>
      <c r="B1573" s="65">
        <v>5737</v>
      </c>
      <c r="C1573" s="65">
        <v>48</v>
      </c>
      <c r="D1573" s="65">
        <v>2</v>
      </c>
    </row>
    <row r="1574" spans="1:4">
      <c r="A1574" s="66" t="s">
        <v>1858</v>
      </c>
      <c r="B1574" s="65">
        <v>88650</v>
      </c>
      <c r="C1574" s="65">
        <v>10</v>
      </c>
      <c r="D1574" s="65">
        <v>2</v>
      </c>
    </row>
    <row r="1575" spans="1:4">
      <c r="A1575" s="66" t="s">
        <v>1912</v>
      </c>
      <c r="B1575" s="65">
        <v>83749</v>
      </c>
      <c r="C1575" s="65">
        <v>72</v>
      </c>
      <c r="D1575" s="65">
        <v>2</v>
      </c>
    </row>
    <row r="1576" spans="1:4">
      <c r="A1576" s="66" t="s">
        <v>1633</v>
      </c>
      <c r="B1576" s="65">
        <v>141080</v>
      </c>
      <c r="C1576" s="65">
        <v>108</v>
      </c>
      <c r="D1576" s="65">
        <v>2</v>
      </c>
    </row>
    <row r="1577" spans="1:4">
      <c r="A1577" s="66" t="s">
        <v>1803</v>
      </c>
      <c r="B1577" s="65">
        <v>78262</v>
      </c>
      <c r="C1577" s="65">
        <v>216</v>
      </c>
      <c r="D1577" s="65">
        <v>2</v>
      </c>
    </row>
    <row r="1578" spans="1:4">
      <c r="A1578" s="66" t="s">
        <v>1914</v>
      </c>
      <c r="B1578" s="65">
        <v>12449</v>
      </c>
      <c r="C1578" s="65">
        <v>216</v>
      </c>
      <c r="D1578" s="65">
        <v>2</v>
      </c>
    </row>
    <row r="1579" spans="1:4">
      <c r="A1579" s="66" t="s">
        <v>1693</v>
      </c>
      <c r="B1579" s="65">
        <v>9928</v>
      </c>
      <c r="C1579" s="65">
        <v>120</v>
      </c>
      <c r="D1579" s="65">
        <v>2</v>
      </c>
    </row>
    <row r="1580" spans="1:4">
      <c r="A1580" s="66" t="s">
        <v>1804</v>
      </c>
      <c r="B1580" s="65">
        <v>141021</v>
      </c>
      <c r="C1580" s="65">
        <v>36</v>
      </c>
      <c r="D1580" s="65">
        <v>2</v>
      </c>
    </row>
    <row r="1581" spans="1:4">
      <c r="A1581" s="66" t="s">
        <v>1916</v>
      </c>
      <c r="B1581" s="65">
        <v>117067</v>
      </c>
      <c r="C1581" s="65">
        <v>24</v>
      </c>
      <c r="D1581" s="65">
        <v>2</v>
      </c>
    </row>
    <row r="1582" spans="1:4">
      <c r="A1582" s="66" t="s">
        <v>1851</v>
      </c>
      <c r="B1582" s="65">
        <v>5846</v>
      </c>
      <c r="C1582" s="65">
        <v>144</v>
      </c>
      <c r="D1582" s="65">
        <v>2</v>
      </c>
    </row>
    <row r="1583" spans="1:4">
      <c r="A1583" s="66" t="s">
        <v>1863</v>
      </c>
      <c r="B1583" s="65">
        <v>14434</v>
      </c>
      <c r="C1583" s="65">
        <v>144</v>
      </c>
      <c r="D1583" s="65">
        <v>2</v>
      </c>
    </row>
    <row r="1584" spans="1:4">
      <c r="A1584" s="66" t="s">
        <v>1911</v>
      </c>
      <c r="B1584" s="65">
        <v>59</v>
      </c>
      <c r="C1584" s="65">
        <v>6</v>
      </c>
      <c r="D1584" s="65">
        <v>2</v>
      </c>
    </row>
    <row r="1585" spans="1:4">
      <c r="A1585" s="66" t="s">
        <v>1910</v>
      </c>
      <c r="B1585" s="65">
        <v>140670</v>
      </c>
      <c r="C1585" s="65">
        <v>2000</v>
      </c>
      <c r="D1585" s="65">
        <v>2</v>
      </c>
    </row>
    <row r="1586" spans="1:4">
      <c r="A1586" s="66" t="s">
        <v>2385</v>
      </c>
      <c r="B1586" s="65">
        <v>60066</v>
      </c>
      <c r="C1586" s="65">
        <v>17</v>
      </c>
      <c r="D1586" s="65">
        <v>2</v>
      </c>
    </row>
    <row r="1587" spans="1:4">
      <c r="A1587" s="66" t="s">
        <v>2397</v>
      </c>
      <c r="B1587" s="65">
        <v>51895</v>
      </c>
      <c r="C1587" s="65">
        <v>30</v>
      </c>
      <c r="D1587" s="65">
        <v>2</v>
      </c>
    </row>
    <row r="1588" spans="1:4">
      <c r="A1588" s="66" t="s">
        <v>2281</v>
      </c>
      <c r="B1588" s="65">
        <v>144223</v>
      </c>
      <c r="C1588" s="65">
        <v>20</v>
      </c>
      <c r="D1588" s="65">
        <v>2</v>
      </c>
    </row>
    <row r="1589" spans="1:4">
      <c r="A1589" s="66" t="s">
        <v>2387</v>
      </c>
      <c r="B1589" s="65">
        <v>80739</v>
      </c>
      <c r="C1589" s="65">
        <v>7</v>
      </c>
      <c r="D1589" s="65">
        <v>2</v>
      </c>
    </row>
    <row r="1590" spans="1:4">
      <c r="A1590" s="66" t="s">
        <v>2498</v>
      </c>
      <c r="B1590" s="65">
        <v>17095</v>
      </c>
      <c r="C1590" s="65">
        <v>8</v>
      </c>
      <c r="D1590" s="65">
        <v>2</v>
      </c>
    </row>
    <row r="1591" spans="1:4">
      <c r="A1591" s="66" t="s">
        <v>2511</v>
      </c>
      <c r="B1591" s="65">
        <v>101119</v>
      </c>
      <c r="C1591" s="65">
        <v>30</v>
      </c>
      <c r="D1591" s="65">
        <v>2</v>
      </c>
    </row>
    <row r="1592" spans="1:4">
      <c r="A1592" s="66" t="s">
        <v>2401</v>
      </c>
      <c r="B1592" s="65">
        <v>100133</v>
      </c>
      <c r="C1592" s="65">
        <v>5</v>
      </c>
      <c r="D1592" s="65">
        <v>2</v>
      </c>
    </row>
    <row r="1593" spans="1:4">
      <c r="A1593" s="66" t="s">
        <v>2560</v>
      </c>
      <c r="B1593" s="65">
        <v>7897</v>
      </c>
      <c r="C1593" s="65">
        <v>5</v>
      </c>
      <c r="D1593" s="65">
        <v>2</v>
      </c>
    </row>
    <row r="1594" spans="1:4">
      <c r="A1594" s="66" t="s">
        <v>2596</v>
      </c>
      <c r="B1594" s="65">
        <v>110810</v>
      </c>
      <c r="C1594" s="65">
        <v>3</v>
      </c>
      <c r="D1594" s="65">
        <v>2</v>
      </c>
    </row>
    <row r="1595" spans="1:4">
      <c r="A1595" s="66" t="s">
        <v>2053</v>
      </c>
      <c r="B1595" s="65">
        <v>90501</v>
      </c>
      <c r="C1595" s="65">
        <v>6</v>
      </c>
      <c r="D1595" s="65">
        <v>2</v>
      </c>
    </row>
    <row r="1596" spans="1:4">
      <c r="A1596" s="66" t="s">
        <v>2391</v>
      </c>
      <c r="B1596" s="65">
        <v>96650</v>
      </c>
      <c r="C1596" s="65">
        <v>4</v>
      </c>
      <c r="D1596" s="65">
        <v>2</v>
      </c>
    </row>
    <row r="1597" spans="1:4">
      <c r="A1597" s="66" t="s">
        <v>2383</v>
      </c>
      <c r="B1597" s="65">
        <v>481</v>
      </c>
      <c r="C1597" s="65">
        <v>2</v>
      </c>
      <c r="D1597" s="65">
        <v>2</v>
      </c>
    </row>
    <row r="1598" spans="1:4">
      <c r="A1598" s="66" t="s">
        <v>2506</v>
      </c>
      <c r="B1598" s="65">
        <v>8328</v>
      </c>
      <c r="C1598" s="65">
        <v>8</v>
      </c>
      <c r="D1598" s="65">
        <v>2</v>
      </c>
    </row>
    <row r="1599" spans="1:4">
      <c r="A1599" s="66" t="s">
        <v>2520</v>
      </c>
      <c r="B1599" s="65">
        <v>83367</v>
      </c>
      <c r="C1599" s="65">
        <v>5</v>
      </c>
      <c r="D1599" s="65">
        <v>2</v>
      </c>
    </row>
    <row r="1600" spans="1:4">
      <c r="A1600" s="66" t="s">
        <v>2434</v>
      </c>
      <c r="B1600" s="65">
        <v>125478</v>
      </c>
      <c r="C1600" s="65">
        <v>8</v>
      </c>
      <c r="D1600" s="65">
        <v>2</v>
      </c>
    </row>
    <row r="1601" spans="1:4">
      <c r="A1601" s="66" t="s">
        <v>2070</v>
      </c>
      <c r="B1601" s="65">
        <v>113974</v>
      </c>
      <c r="C1601" s="65">
        <v>14</v>
      </c>
      <c r="D1601" s="65">
        <v>2</v>
      </c>
    </row>
    <row r="1602" spans="1:4">
      <c r="A1602" s="66" t="s">
        <v>2168</v>
      </c>
      <c r="B1602" s="65">
        <v>54930</v>
      </c>
      <c r="C1602" s="65">
        <v>10</v>
      </c>
      <c r="D1602" s="65">
        <v>2</v>
      </c>
    </row>
    <row r="1603" spans="1:4">
      <c r="A1603" s="66" t="s">
        <v>1966</v>
      </c>
      <c r="B1603" s="65">
        <v>138617</v>
      </c>
      <c r="C1603" s="65">
        <v>115</v>
      </c>
      <c r="D1603" s="65">
        <v>2</v>
      </c>
    </row>
    <row r="1604" spans="1:4">
      <c r="A1604" s="66" t="s">
        <v>123</v>
      </c>
      <c r="B1604" s="65">
        <v>159074</v>
      </c>
      <c r="C1604" s="65">
        <v>2</v>
      </c>
      <c r="D1604" s="65">
        <v>1</v>
      </c>
    </row>
    <row r="1605" spans="1:4">
      <c r="A1605" s="66" t="s">
        <v>121</v>
      </c>
      <c r="B1605" s="65">
        <v>160486</v>
      </c>
      <c r="C1605" s="65">
        <v>2</v>
      </c>
      <c r="D1605" s="65">
        <v>1</v>
      </c>
    </row>
    <row r="1606" spans="1:4">
      <c r="A1606" s="66" t="s">
        <v>119</v>
      </c>
      <c r="B1606" s="65">
        <v>133639</v>
      </c>
      <c r="C1606" s="65">
        <v>40</v>
      </c>
      <c r="D1606" s="65">
        <v>1</v>
      </c>
    </row>
    <row r="1607" spans="1:4">
      <c r="A1607" s="66" t="s">
        <v>14</v>
      </c>
      <c r="B1607" s="65">
        <v>159069</v>
      </c>
      <c r="C1607" s="65">
        <v>600</v>
      </c>
      <c r="D1607" s="65">
        <v>1</v>
      </c>
    </row>
    <row r="1608" spans="1:4">
      <c r="A1608" s="66" t="s">
        <v>374</v>
      </c>
      <c r="B1608" s="65">
        <v>110680</v>
      </c>
      <c r="C1608" s="65">
        <v>50</v>
      </c>
      <c r="D1608" s="65">
        <v>1</v>
      </c>
    </row>
    <row r="1609" spans="1:4">
      <c r="A1609" s="66" t="s">
        <v>481</v>
      </c>
      <c r="B1609" s="65">
        <v>155999</v>
      </c>
      <c r="C1609" s="65">
        <v>25</v>
      </c>
      <c r="D1609" s="65">
        <v>1</v>
      </c>
    </row>
    <row r="1610" spans="1:4">
      <c r="A1610" s="66" t="s">
        <v>592</v>
      </c>
      <c r="B1610" s="65">
        <v>443</v>
      </c>
      <c r="C1610" s="65">
        <v>12</v>
      </c>
      <c r="D1610" s="65">
        <v>1</v>
      </c>
    </row>
    <row r="1611" spans="1:4">
      <c r="A1611" s="66" t="s">
        <v>367</v>
      </c>
      <c r="B1611" s="65">
        <v>130156</v>
      </c>
      <c r="C1611" s="65">
        <v>20</v>
      </c>
      <c r="D1611" s="65">
        <v>1</v>
      </c>
    </row>
    <row r="1612" spans="1:4">
      <c r="A1612" s="66" t="s">
        <v>365</v>
      </c>
      <c r="B1612" s="65">
        <v>17967</v>
      </c>
      <c r="C1612" s="65">
        <v>2</v>
      </c>
      <c r="D1612" s="65">
        <v>1</v>
      </c>
    </row>
    <row r="1613" spans="1:4">
      <c r="A1613" s="66" t="s">
        <v>470</v>
      </c>
      <c r="B1613" s="65">
        <v>135154</v>
      </c>
      <c r="C1613" s="65">
        <v>40</v>
      </c>
      <c r="D1613" s="65">
        <v>1</v>
      </c>
    </row>
    <row r="1614" spans="1:4">
      <c r="A1614" s="66" t="s">
        <v>463</v>
      </c>
      <c r="B1614" s="65">
        <v>93343</v>
      </c>
      <c r="C1614" s="65">
        <v>6</v>
      </c>
      <c r="D1614" s="65">
        <v>1</v>
      </c>
    </row>
    <row r="1615" spans="1:4">
      <c r="A1615" s="66" t="s">
        <v>579</v>
      </c>
      <c r="B1615" s="65">
        <v>81131</v>
      </c>
      <c r="C1615" s="65">
        <v>24</v>
      </c>
      <c r="D1615" s="65">
        <v>1</v>
      </c>
    </row>
    <row r="1616" spans="1:4">
      <c r="A1616" s="66" t="s">
        <v>344</v>
      </c>
      <c r="B1616" s="65">
        <v>1045</v>
      </c>
      <c r="C1616" s="65">
        <v>1</v>
      </c>
      <c r="D1616" s="65">
        <v>1</v>
      </c>
    </row>
    <row r="1617" spans="1:4">
      <c r="A1617" s="66" t="s">
        <v>83</v>
      </c>
      <c r="B1617" s="65">
        <v>62617</v>
      </c>
      <c r="C1617" s="65">
        <v>2</v>
      </c>
      <c r="D1617" s="65">
        <v>1</v>
      </c>
    </row>
    <row r="1618" spans="1:4">
      <c r="A1618" s="66" t="s">
        <v>214</v>
      </c>
      <c r="B1618" s="65">
        <v>100134</v>
      </c>
      <c r="C1618" s="65">
        <v>2</v>
      </c>
      <c r="D1618" s="65">
        <v>1</v>
      </c>
    </row>
    <row r="1619" spans="1:4">
      <c r="A1619" s="66" t="s">
        <v>110</v>
      </c>
      <c r="B1619" s="65">
        <v>330</v>
      </c>
      <c r="C1619" s="65">
        <v>3</v>
      </c>
      <c r="D1619" s="65">
        <v>1</v>
      </c>
    </row>
    <row r="1620" spans="1:4">
      <c r="A1620" s="66" t="s">
        <v>180</v>
      </c>
      <c r="B1620" s="65">
        <v>138815</v>
      </c>
      <c r="C1620" s="65">
        <v>25</v>
      </c>
      <c r="D1620" s="65">
        <v>1</v>
      </c>
    </row>
    <row r="1621" spans="1:4">
      <c r="A1621" s="66" t="s">
        <v>172</v>
      </c>
      <c r="B1621" s="65">
        <v>100613</v>
      </c>
      <c r="C1621" s="65">
        <v>7</v>
      </c>
      <c r="D1621" s="65">
        <v>1</v>
      </c>
    </row>
    <row r="1622" spans="1:4">
      <c r="A1622" s="66" t="s">
        <v>53</v>
      </c>
      <c r="B1622" s="65">
        <v>35067</v>
      </c>
      <c r="C1622" s="65">
        <v>30</v>
      </c>
      <c r="D1622" s="65">
        <v>1</v>
      </c>
    </row>
    <row r="1623" spans="1:4">
      <c r="A1623" s="66" t="s">
        <v>197</v>
      </c>
      <c r="B1623" s="65">
        <v>63509</v>
      </c>
      <c r="C1623" s="65">
        <v>4</v>
      </c>
      <c r="D1623" s="65">
        <v>1</v>
      </c>
    </row>
    <row r="1624" spans="1:4">
      <c r="A1624" s="66" t="s">
        <v>104</v>
      </c>
      <c r="B1624" s="65">
        <v>67025</v>
      </c>
      <c r="C1624" s="65">
        <v>10</v>
      </c>
      <c r="D1624" s="65">
        <v>1</v>
      </c>
    </row>
    <row r="1625" spans="1:4">
      <c r="A1625" s="66" t="s">
        <v>212</v>
      </c>
      <c r="B1625" s="65">
        <v>100024</v>
      </c>
      <c r="C1625" s="65">
        <v>10</v>
      </c>
      <c r="D1625" s="65">
        <v>1</v>
      </c>
    </row>
    <row r="1626" spans="1:4">
      <c r="A1626" s="66" t="s">
        <v>50</v>
      </c>
      <c r="B1626" s="65">
        <v>342</v>
      </c>
      <c r="C1626" s="65">
        <v>1</v>
      </c>
      <c r="D1626" s="65">
        <v>1</v>
      </c>
    </row>
    <row r="1627" spans="1:4">
      <c r="A1627" s="66" t="s">
        <v>106</v>
      </c>
      <c r="B1627" s="65">
        <v>72373</v>
      </c>
      <c r="C1627" s="65">
        <v>4</v>
      </c>
      <c r="D1627" s="65">
        <v>1</v>
      </c>
    </row>
    <row r="1628" spans="1:4">
      <c r="A1628" s="66" t="s">
        <v>150</v>
      </c>
      <c r="B1628" s="65">
        <v>109777</v>
      </c>
      <c r="C1628" s="65">
        <v>12</v>
      </c>
      <c r="D1628" s="65">
        <v>1</v>
      </c>
    </row>
    <row r="1629" spans="1:4">
      <c r="A1629" s="66" t="s">
        <v>336</v>
      </c>
      <c r="B1629" s="65">
        <v>849</v>
      </c>
      <c r="C1629" s="65">
        <v>2</v>
      </c>
      <c r="D1629" s="65">
        <v>1</v>
      </c>
    </row>
    <row r="1630" spans="1:4">
      <c r="A1630" s="66" t="s">
        <v>421</v>
      </c>
      <c r="B1630" s="65">
        <v>17407</v>
      </c>
      <c r="C1630" s="65">
        <v>3</v>
      </c>
      <c r="D1630" s="65">
        <v>1</v>
      </c>
    </row>
    <row r="1631" spans="1:4">
      <c r="A1631" s="66" t="s">
        <v>445</v>
      </c>
      <c r="B1631" s="65">
        <v>37892</v>
      </c>
      <c r="C1631" s="65">
        <v>10</v>
      </c>
      <c r="D1631" s="65">
        <v>1</v>
      </c>
    </row>
    <row r="1632" spans="1:4">
      <c r="A1632" s="66" t="s">
        <v>532</v>
      </c>
      <c r="B1632" s="65">
        <v>77663</v>
      </c>
      <c r="C1632" s="65">
        <v>4</v>
      </c>
      <c r="D1632" s="65">
        <v>1</v>
      </c>
    </row>
    <row r="1633" spans="1:4">
      <c r="A1633" s="66" t="s">
        <v>434</v>
      </c>
      <c r="B1633" s="65">
        <v>158121</v>
      </c>
      <c r="C1633" s="65">
        <v>50</v>
      </c>
      <c r="D1633" s="65">
        <v>1</v>
      </c>
    </row>
    <row r="1634" spans="1:4">
      <c r="A1634" s="66" t="s">
        <v>558</v>
      </c>
      <c r="B1634" s="65">
        <v>60079</v>
      </c>
      <c r="C1634" s="65">
        <v>12</v>
      </c>
      <c r="D1634" s="65">
        <v>1</v>
      </c>
    </row>
    <row r="1635" spans="1:4">
      <c r="A1635" s="66" t="s">
        <v>645</v>
      </c>
      <c r="B1635" s="65">
        <v>7896</v>
      </c>
      <c r="C1635" s="65">
        <v>6</v>
      </c>
      <c r="D1635" s="65">
        <v>1</v>
      </c>
    </row>
    <row r="1636" spans="1:4">
      <c r="A1636" s="66" t="s">
        <v>641</v>
      </c>
      <c r="B1636" s="65">
        <v>107810</v>
      </c>
      <c r="C1636" s="65">
        <v>25</v>
      </c>
      <c r="D1636" s="65">
        <v>1</v>
      </c>
    </row>
    <row r="1637" spans="1:4">
      <c r="A1637" s="66" t="s">
        <v>332</v>
      </c>
      <c r="B1637" s="65">
        <v>83415</v>
      </c>
      <c r="C1637" s="65">
        <v>1</v>
      </c>
      <c r="D1637" s="65">
        <v>1</v>
      </c>
    </row>
    <row r="1638" spans="1:4">
      <c r="A1638" s="66" t="s">
        <v>428</v>
      </c>
      <c r="B1638" s="65">
        <v>100681</v>
      </c>
      <c r="C1638" s="65">
        <v>20</v>
      </c>
      <c r="D1638" s="65">
        <v>1</v>
      </c>
    </row>
    <row r="1639" spans="1:4">
      <c r="A1639" s="66" t="s">
        <v>429</v>
      </c>
      <c r="B1639" s="65">
        <v>105901</v>
      </c>
      <c r="C1639" s="65">
        <v>2</v>
      </c>
      <c r="D1639" s="65">
        <v>1</v>
      </c>
    </row>
    <row r="1640" spans="1:4">
      <c r="A1640" s="66" t="s">
        <v>608</v>
      </c>
      <c r="B1640" s="65">
        <v>112369</v>
      </c>
      <c r="C1640" s="65">
        <v>4</v>
      </c>
      <c r="D1640" s="65">
        <v>1</v>
      </c>
    </row>
    <row r="1641" spans="1:4">
      <c r="A1641" s="66" t="s">
        <v>387</v>
      </c>
      <c r="B1641" s="65">
        <v>101571</v>
      </c>
      <c r="C1641" s="65">
        <v>3</v>
      </c>
      <c r="D1641" s="65">
        <v>1</v>
      </c>
    </row>
    <row r="1642" spans="1:4">
      <c r="A1642" s="66" t="s">
        <v>543</v>
      </c>
      <c r="B1642" s="65">
        <v>71432</v>
      </c>
      <c r="C1642" s="65">
        <v>4</v>
      </c>
      <c r="D1642" s="65">
        <v>1</v>
      </c>
    </row>
    <row r="1643" spans="1:4">
      <c r="A1643" s="66" t="s">
        <v>555</v>
      </c>
      <c r="B1643" s="65">
        <v>71433</v>
      </c>
      <c r="C1643" s="65">
        <v>4</v>
      </c>
      <c r="D1643" s="65">
        <v>1</v>
      </c>
    </row>
    <row r="1644" spans="1:4">
      <c r="A1644" s="66" t="s">
        <v>380</v>
      </c>
      <c r="B1644" s="65">
        <v>110677</v>
      </c>
      <c r="C1644" s="65">
        <v>15</v>
      </c>
      <c r="D1644" s="65">
        <v>1</v>
      </c>
    </row>
    <row r="1645" spans="1:4">
      <c r="A1645" s="66" t="s">
        <v>1033</v>
      </c>
      <c r="B1645" s="65">
        <v>208285</v>
      </c>
      <c r="C1645" s="65">
        <v>200</v>
      </c>
      <c r="D1645" s="65">
        <v>1</v>
      </c>
    </row>
    <row r="1646" spans="1:4">
      <c r="A1646" s="66" t="s">
        <v>1270</v>
      </c>
      <c r="B1646" s="65">
        <v>143722</v>
      </c>
      <c r="C1646" s="65">
        <v>90</v>
      </c>
      <c r="D1646" s="65">
        <v>1</v>
      </c>
    </row>
    <row r="1647" spans="1:4">
      <c r="A1647" s="66" t="s">
        <v>1165</v>
      </c>
      <c r="B1647" s="65">
        <v>138808</v>
      </c>
      <c r="C1647" s="65">
        <v>25</v>
      </c>
      <c r="D1647" s="65">
        <v>1</v>
      </c>
    </row>
    <row r="1648" spans="1:4">
      <c r="A1648" s="66" t="s">
        <v>1174</v>
      </c>
      <c r="B1648" s="65">
        <v>37765</v>
      </c>
      <c r="C1648" s="65">
        <v>5</v>
      </c>
      <c r="D1648" s="65">
        <v>1</v>
      </c>
    </row>
    <row r="1649" spans="1:4">
      <c r="A1649" s="66" t="s">
        <v>1287</v>
      </c>
      <c r="B1649" s="65">
        <v>104534</v>
      </c>
      <c r="C1649" s="65">
        <v>3</v>
      </c>
      <c r="D1649" s="65">
        <v>1</v>
      </c>
    </row>
    <row r="1650" spans="1:4">
      <c r="A1650" s="66" t="s">
        <v>1297</v>
      </c>
      <c r="B1650" s="65">
        <v>137425</v>
      </c>
      <c r="C1650" s="65">
        <v>10</v>
      </c>
      <c r="D1650" s="65">
        <v>1</v>
      </c>
    </row>
    <row r="1651" spans="1:4">
      <c r="A1651" s="66" t="s">
        <v>1304</v>
      </c>
      <c r="B1651" s="65">
        <v>9840</v>
      </c>
      <c r="C1651" s="65">
        <v>2</v>
      </c>
      <c r="D1651" s="65">
        <v>1</v>
      </c>
    </row>
    <row r="1652" spans="1:4">
      <c r="A1652" s="66" t="s">
        <v>742</v>
      </c>
      <c r="B1652" s="65">
        <v>100161</v>
      </c>
      <c r="C1652" s="65">
        <v>4</v>
      </c>
      <c r="D1652" s="65">
        <v>1</v>
      </c>
    </row>
    <row r="1653" spans="1:4">
      <c r="A1653" s="66" t="s">
        <v>801</v>
      </c>
      <c r="B1653" s="65">
        <v>156679</v>
      </c>
      <c r="C1653" s="65">
        <v>4</v>
      </c>
      <c r="D1653" s="65">
        <v>1</v>
      </c>
    </row>
    <row r="1654" spans="1:4">
      <c r="A1654" s="66" t="s">
        <v>743</v>
      </c>
      <c r="B1654" s="65">
        <v>62520</v>
      </c>
      <c r="C1654" s="65">
        <v>10</v>
      </c>
      <c r="D1654" s="65">
        <v>1</v>
      </c>
    </row>
    <row r="1655" spans="1:4">
      <c r="A1655" s="66" t="s">
        <v>805</v>
      </c>
      <c r="B1655" s="65">
        <v>107986</v>
      </c>
      <c r="C1655" s="65">
        <v>10</v>
      </c>
      <c r="D1655" s="65">
        <v>1</v>
      </c>
    </row>
    <row r="1656" spans="1:4">
      <c r="A1656" s="66" t="s">
        <v>1205</v>
      </c>
      <c r="B1656" s="65">
        <v>95575</v>
      </c>
      <c r="C1656" s="65">
        <v>10</v>
      </c>
      <c r="D1656" s="65">
        <v>1</v>
      </c>
    </row>
    <row r="1657" spans="1:4">
      <c r="A1657" s="66" t="s">
        <v>1081</v>
      </c>
      <c r="B1657" s="65">
        <v>727</v>
      </c>
      <c r="C1657" s="65">
        <v>4</v>
      </c>
      <c r="D1657" s="65">
        <v>1</v>
      </c>
    </row>
    <row r="1658" spans="1:4">
      <c r="A1658" s="66" t="s">
        <v>1014</v>
      </c>
      <c r="B1658" s="65">
        <v>137505</v>
      </c>
      <c r="C1658" s="65">
        <v>20</v>
      </c>
      <c r="D1658" s="65">
        <v>1</v>
      </c>
    </row>
    <row r="1659" spans="1:4">
      <c r="A1659" s="66" t="s">
        <v>953</v>
      </c>
      <c r="B1659" s="65">
        <v>22706</v>
      </c>
      <c r="C1659" s="65">
        <v>300</v>
      </c>
      <c r="D1659" s="65">
        <v>1</v>
      </c>
    </row>
    <row r="1660" spans="1:4">
      <c r="A1660" s="66" t="s">
        <v>857</v>
      </c>
      <c r="B1660" s="65">
        <v>131875</v>
      </c>
      <c r="C1660" s="65">
        <v>6</v>
      </c>
      <c r="D1660" s="65">
        <v>1</v>
      </c>
    </row>
    <row r="1661" spans="1:4">
      <c r="A1661" s="66" t="s">
        <v>954</v>
      </c>
      <c r="B1661" s="65">
        <v>71002</v>
      </c>
      <c r="C1661" s="65">
        <v>4</v>
      </c>
      <c r="D1661" s="65">
        <v>1</v>
      </c>
    </row>
    <row r="1662" spans="1:4">
      <c r="A1662" s="66" t="s">
        <v>872</v>
      </c>
      <c r="B1662" s="65">
        <v>101360</v>
      </c>
      <c r="C1662" s="65">
        <v>4</v>
      </c>
      <c r="D1662" s="65">
        <v>1</v>
      </c>
    </row>
    <row r="1663" spans="1:4">
      <c r="A1663" s="66" t="s">
        <v>740</v>
      </c>
      <c r="B1663" s="65">
        <v>89003</v>
      </c>
      <c r="C1663" s="65">
        <v>1</v>
      </c>
      <c r="D1663" s="65">
        <v>1</v>
      </c>
    </row>
    <row r="1664" spans="1:4">
      <c r="A1664" s="66" t="s">
        <v>778</v>
      </c>
      <c r="B1664" s="65">
        <v>132720</v>
      </c>
      <c r="C1664" s="65">
        <v>6</v>
      </c>
      <c r="D1664" s="65">
        <v>1</v>
      </c>
    </row>
    <row r="1665" spans="1:4">
      <c r="A1665" s="66" t="s">
        <v>789</v>
      </c>
      <c r="B1665" s="65">
        <v>172656</v>
      </c>
      <c r="C1665" s="65">
        <v>120</v>
      </c>
      <c r="D1665" s="65">
        <v>1</v>
      </c>
    </row>
    <row r="1666" spans="1:4">
      <c r="A1666" s="66" t="s">
        <v>1447</v>
      </c>
      <c r="B1666" s="65">
        <v>130571</v>
      </c>
      <c r="C1666" s="65">
        <v>12</v>
      </c>
      <c r="D1666" s="65">
        <v>1</v>
      </c>
    </row>
    <row r="1667" spans="1:4">
      <c r="A1667" s="66" t="s">
        <v>1883</v>
      </c>
      <c r="B1667" s="65">
        <v>134060</v>
      </c>
      <c r="C1667" s="65">
        <v>18</v>
      </c>
      <c r="D1667" s="65">
        <v>1</v>
      </c>
    </row>
    <row r="1668" spans="1:4">
      <c r="A1668" s="66" t="s">
        <v>1657</v>
      </c>
      <c r="B1668" s="65">
        <v>134062</v>
      </c>
      <c r="C1668" s="65">
        <v>6</v>
      </c>
      <c r="D1668" s="65">
        <v>1</v>
      </c>
    </row>
    <row r="1669" spans="1:4">
      <c r="A1669" s="66" t="s">
        <v>1527</v>
      </c>
      <c r="B1669" s="65">
        <v>141079</v>
      </c>
      <c r="C1669" s="65">
        <v>24</v>
      </c>
      <c r="D1669" s="65">
        <v>1</v>
      </c>
    </row>
    <row r="1670" spans="1:4">
      <c r="A1670" s="66" t="s">
        <v>1627</v>
      </c>
      <c r="B1670" s="65">
        <v>5383</v>
      </c>
      <c r="C1670" s="65">
        <v>24</v>
      </c>
      <c r="D1670" s="65">
        <v>1</v>
      </c>
    </row>
    <row r="1671" spans="1:4">
      <c r="A1671" s="66" t="s">
        <v>1620</v>
      </c>
      <c r="B1671" s="65">
        <v>141065</v>
      </c>
      <c r="C1671" s="65">
        <v>36</v>
      </c>
      <c r="D1671" s="65">
        <v>1</v>
      </c>
    </row>
    <row r="1672" spans="1:4">
      <c r="A1672" s="66" t="s">
        <v>1530</v>
      </c>
      <c r="B1672" s="65">
        <v>7288</v>
      </c>
      <c r="C1672" s="65">
        <v>36</v>
      </c>
      <c r="D1672" s="65">
        <v>1</v>
      </c>
    </row>
    <row r="1673" spans="1:4">
      <c r="A1673" s="66" t="s">
        <v>1612</v>
      </c>
      <c r="B1673" s="65">
        <v>141012</v>
      </c>
      <c r="C1673" s="65">
        <v>72</v>
      </c>
      <c r="D1673" s="65">
        <v>1</v>
      </c>
    </row>
    <row r="1674" spans="1:4">
      <c r="A1674" s="66" t="s">
        <v>1531</v>
      </c>
      <c r="B1674" s="65">
        <v>14297</v>
      </c>
      <c r="C1674" s="65">
        <v>36</v>
      </c>
      <c r="D1674" s="65">
        <v>1</v>
      </c>
    </row>
    <row r="1675" spans="1:4">
      <c r="A1675" s="66" t="s">
        <v>1621</v>
      </c>
      <c r="B1675" s="65">
        <v>140994</v>
      </c>
      <c r="C1675" s="65">
        <v>144</v>
      </c>
      <c r="D1675" s="65">
        <v>1</v>
      </c>
    </row>
    <row r="1676" spans="1:4">
      <c r="A1676" s="66" t="s">
        <v>1508</v>
      </c>
      <c r="B1676" s="65">
        <v>141091</v>
      </c>
      <c r="C1676" s="65">
        <v>72</v>
      </c>
      <c r="D1676" s="65">
        <v>1</v>
      </c>
    </row>
    <row r="1677" spans="1:4">
      <c r="A1677" s="66" t="s">
        <v>1520</v>
      </c>
      <c r="B1677" s="65">
        <v>127215</v>
      </c>
      <c r="C1677" s="65">
        <v>24</v>
      </c>
      <c r="D1677" s="65">
        <v>1</v>
      </c>
    </row>
    <row r="1678" spans="1:4">
      <c r="A1678" s="66" t="s">
        <v>1614</v>
      </c>
      <c r="B1678" s="65">
        <v>140913</v>
      </c>
      <c r="C1678" s="65">
        <v>24</v>
      </c>
      <c r="D1678" s="65">
        <v>1</v>
      </c>
    </row>
    <row r="1679" spans="1:4">
      <c r="A1679" s="66" t="s">
        <v>1622</v>
      </c>
      <c r="B1679" s="65">
        <v>140912</v>
      </c>
      <c r="C1679" s="65">
        <v>12</v>
      </c>
      <c r="D1679" s="65">
        <v>1</v>
      </c>
    </row>
    <row r="1680" spans="1:4">
      <c r="A1680" s="66" t="s">
        <v>1630</v>
      </c>
      <c r="B1680" s="65">
        <v>1002</v>
      </c>
      <c r="C1680" s="65">
        <v>24</v>
      </c>
      <c r="D1680" s="65">
        <v>1</v>
      </c>
    </row>
    <row r="1681" spans="1:4">
      <c r="A1681" s="66" t="s">
        <v>1388</v>
      </c>
      <c r="B1681" s="65">
        <v>108604</v>
      </c>
      <c r="C1681" s="65">
        <v>4</v>
      </c>
      <c r="D1681" s="65">
        <v>1</v>
      </c>
    </row>
    <row r="1682" spans="1:4">
      <c r="A1682" s="66" t="s">
        <v>1578</v>
      </c>
      <c r="B1682" s="65">
        <v>20246</v>
      </c>
      <c r="C1682" s="65">
        <v>3</v>
      </c>
      <c r="D1682" s="65">
        <v>1</v>
      </c>
    </row>
    <row r="1683" spans="1:4">
      <c r="A1683" s="66" t="s">
        <v>1575</v>
      </c>
      <c r="B1683" s="65">
        <v>7295</v>
      </c>
      <c r="C1683" s="65">
        <v>72</v>
      </c>
      <c r="D1683" s="65">
        <v>1</v>
      </c>
    </row>
    <row r="1684" spans="1:4">
      <c r="A1684" s="66" t="s">
        <v>1574</v>
      </c>
      <c r="B1684" s="65">
        <v>348</v>
      </c>
      <c r="C1684" s="65">
        <v>36</v>
      </c>
      <c r="D1684" s="65">
        <v>1</v>
      </c>
    </row>
    <row r="1685" spans="1:4">
      <c r="A1685" s="66" t="s">
        <v>1416</v>
      </c>
      <c r="B1685" s="65">
        <v>140972</v>
      </c>
      <c r="C1685" s="65">
        <v>72</v>
      </c>
      <c r="D1685" s="65">
        <v>1</v>
      </c>
    </row>
    <row r="1686" spans="1:4">
      <c r="A1686" s="66" t="s">
        <v>1403</v>
      </c>
      <c r="B1686" s="65">
        <v>6130</v>
      </c>
      <c r="C1686" s="65">
        <v>36</v>
      </c>
      <c r="D1686" s="65">
        <v>1</v>
      </c>
    </row>
    <row r="1687" spans="1:4">
      <c r="A1687" s="66" t="s">
        <v>1365</v>
      </c>
      <c r="B1687" s="65">
        <v>141096</v>
      </c>
      <c r="C1687" s="65">
        <v>72</v>
      </c>
      <c r="D1687" s="65">
        <v>1</v>
      </c>
    </row>
    <row r="1688" spans="1:4">
      <c r="A1688" s="66" t="s">
        <v>1364</v>
      </c>
      <c r="B1688" s="65">
        <v>140964</v>
      </c>
      <c r="C1688" s="65">
        <v>144</v>
      </c>
      <c r="D1688" s="65">
        <v>1</v>
      </c>
    </row>
    <row r="1689" spans="1:4">
      <c r="A1689" s="66" t="s">
        <v>1741</v>
      </c>
      <c r="B1689" s="65">
        <v>135899</v>
      </c>
      <c r="C1689" s="65">
        <v>72</v>
      </c>
      <c r="D1689" s="65">
        <v>1</v>
      </c>
    </row>
    <row r="1690" spans="1:4">
      <c r="A1690" s="66" t="s">
        <v>1753</v>
      </c>
      <c r="B1690" s="65">
        <v>9484</v>
      </c>
      <c r="C1690" s="65">
        <v>260</v>
      </c>
      <c r="D1690" s="65">
        <v>1</v>
      </c>
    </row>
    <row r="1691" spans="1:4">
      <c r="A1691" s="66" t="s">
        <v>1865</v>
      </c>
      <c r="B1691" s="65">
        <v>141013</v>
      </c>
      <c r="C1691" s="65">
        <v>12</v>
      </c>
      <c r="D1691" s="65">
        <v>1</v>
      </c>
    </row>
    <row r="1692" spans="1:4">
      <c r="A1692" s="66" t="s">
        <v>1639</v>
      </c>
      <c r="B1692" s="65">
        <v>134162</v>
      </c>
      <c r="C1692" s="65">
        <v>72</v>
      </c>
      <c r="D1692" s="65">
        <v>1</v>
      </c>
    </row>
    <row r="1693" spans="1:4">
      <c r="A1693" s="66" t="s">
        <v>1647</v>
      </c>
      <c r="B1693" s="65">
        <v>141110</v>
      </c>
      <c r="C1693" s="65">
        <v>12</v>
      </c>
      <c r="D1693" s="65">
        <v>1</v>
      </c>
    </row>
    <row r="1694" spans="1:4">
      <c r="A1694" s="66" t="s">
        <v>1746</v>
      </c>
      <c r="B1694" s="65">
        <v>140980</v>
      </c>
      <c r="C1694" s="65">
        <v>72</v>
      </c>
      <c r="D1694" s="65">
        <v>1</v>
      </c>
    </row>
    <row r="1695" spans="1:4">
      <c r="A1695" s="66" t="s">
        <v>1869</v>
      </c>
      <c r="B1695" s="65">
        <v>117060</v>
      </c>
      <c r="C1695" s="65">
        <v>24</v>
      </c>
      <c r="D1695" s="65">
        <v>1</v>
      </c>
    </row>
    <row r="1696" spans="1:4">
      <c r="A1696" s="66" t="s">
        <v>1846</v>
      </c>
      <c r="B1696" s="65">
        <v>141092</v>
      </c>
      <c r="C1696" s="65">
        <v>72</v>
      </c>
      <c r="D1696" s="65">
        <v>1</v>
      </c>
    </row>
    <row r="1697" spans="1:4">
      <c r="A1697" s="66" t="s">
        <v>1737</v>
      </c>
      <c r="B1697" s="65">
        <v>2217</v>
      </c>
      <c r="C1697" s="65">
        <v>60</v>
      </c>
      <c r="D1697" s="65">
        <v>1</v>
      </c>
    </row>
    <row r="1698" spans="1:4">
      <c r="A1698" s="66" t="s">
        <v>1749</v>
      </c>
      <c r="B1698" s="65">
        <v>5964</v>
      </c>
      <c r="C1698" s="65">
        <v>72</v>
      </c>
      <c r="D1698" s="65">
        <v>1</v>
      </c>
    </row>
    <row r="1699" spans="1:4">
      <c r="A1699" s="66" t="s">
        <v>1848</v>
      </c>
      <c r="B1699" s="65">
        <v>140907</v>
      </c>
      <c r="C1699" s="65">
        <v>12</v>
      </c>
      <c r="D1699" s="65">
        <v>1</v>
      </c>
    </row>
    <row r="1700" spans="1:4">
      <c r="A1700" s="66" t="s">
        <v>1860</v>
      </c>
      <c r="B1700" s="65">
        <v>47842</v>
      </c>
      <c r="C1700" s="65">
        <v>72</v>
      </c>
      <c r="D1700" s="65">
        <v>1</v>
      </c>
    </row>
    <row r="1701" spans="1:4">
      <c r="A1701" s="66" t="s">
        <v>1849</v>
      </c>
      <c r="B1701" s="65">
        <v>854</v>
      </c>
      <c r="C1701" s="65">
        <v>36</v>
      </c>
      <c r="D1701" s="65">
        <v>1</v>
      </c>
    </row>
    <row r="1702" spans="1:4">
      <c r="A1702" s="66" t="s">
        <v>1805</v>
      </c>
      <c r="B1702" s="65">
        <v>141077</v>
      </c>
      <c r="C1702" s="65">
        <v>24</v>
      </c>
      <c r="D1702" s="65">
        <v>1</v>
      </c>
    </row>
    <row r="1703" spans="1:4">
      <c r="A1703" s="66" t="s">
        <v>1796</v>
      </c>
      <c r="B1703" s="65">
        <v>9280</v>
      </c>
      <c r="C1703" s="65">
        <v>4</v>
      </c>
      <c r="D1703" s="65">
        <v>1</v>
      </c>
    </row>
    <row r="1704" spans="1:4">
      <c r="A1704" s="66" t="s">
        <v>2288</v>
      </c>
      <c r="B1704" s="65">
        <v>131890</v>
      </c>
      <c r="C1704" s="65">
        <v>25</v>
      </c>
      <c r="D1704" s="65">
        <v>1</v>
      </c>
    </row>
    <row r="1705" spans="1:4">
      <c r="A1705" s="66" t="s">
        <v>2334</v>
      </c>
      <c r="B1705" s="65">
        <v>1778</v>
      </c>
      <c r="C1705" s="65">
        <v>1</v>
      </c>
      <c r="D1705" s="65">
        <v>1</v>
      </c>
    </row>
    <row r="1706" spans="1:4">
      <c r="A1706" s="66" t="s">
        <v>2496</v>
      </c>
      <c r="B1706" s="65">
        <v>69252</v>
      </c>
      <c r="C1706" s="65">
        <v>2</v>
      </c>
      <c r="D1706" s="65">
        <v>1</v>
      </c>
    </row>
    <row r="1707" spans="1:4">
      <c r="A1707" s="66" t="s">
        <v>2449</v>
      </c>
      <c r="B1707" s="65">
        <v>100021</v>
      </c>
      <c r="C1707" s="65">
        <v>10</v>
      </c>
      <c r="D1707" s="65">
        <v>1</v>
      </c>
    </row>
    <row r="1708" spans="1:4">
      <c r="A1708" s="66" t="s">
        <v>2501</v>
      </c>
      <c r="B1708" s="65">
        <v>104757</v>
      </c>
      <c r="C1708" s="65">
        <v>10</v>
      </c>
      <c r="D1708" s="65">
        <v>1</v>
      </c>
    </row>
    <row r="1709" spans="1:4">
      <c r="A1709" s="66" t="s">
        <v>2061</v>
      </c>
      <c r="B1709" s="65">
        <v>1079</v>
      </c>
      <c r="C1709" s="65">
        <v>10</v>
      </c>
      <c r="D1709" s="65">
        <v>1</v>
      </c>
    </row>
    <row r="1710" spans="1:4">
      <c r="A1710" s="66" t="s">
        <v>2051</v>
      </c>
      <c r="B1710" s="65">
        <v>113326</v>
      </c>
      <c r="C1710" s="65">
        <v>50</v>
      </c>
      <c r="D1710" s="65">
        <v>1</v>
      </c>
    </row>
    <row r="1711" spans="1:4">
      <c r="A1711" s="66" t="s">
        <v>2174</v>
      </c>
      <c r="B1711" s="65">
        <v>60168</v>
      </c>
      <c r="C1711" s="65">
        <v>2</v>
      </c>
      <c r="D1711" s="65">
        <v>1</v>
      </c>
    </row>
    <row r="1712" spans="1:4">
      <c r="A1712" s="66" t="s">
        <v>2128</v>
      </c>
      <c r="B1712" s="65">
        <v>157514</v>
      </c>
      <c r="C1712" s="65">
        <v>2</v>
      </c>
      <c r="D1712" s="65">
        <v>1</v>
      </c>
    </row>
    <row r="1713" spans="1:4">
      <c r="A1713" s="66" t="s">
        <v>2147</v>
      </c>
      <c r="B1713" s="65">
        <v>122622</v>
      </c>
      <c r="C1713" s="65">
        <v>1</v>
      </c>
      <c r="D1713" s="65">
        <v>1</v>
      </c>
    </row>
    <row r="1714" spans="1:4">
      <c r="A1714" s="66" t="s">
        <v>2150</v>
      </c>
      <c r="B1714" s="65">
        <v>130114</v>
      </c>
      <c r="C1714" s="65">
        <v>5</v>
      </c>
      <c r="D1714" s="65">
        <v>1</v>
      </c>
    </row>
    <row r="1715" spans="1:4">
      <c r="A1715" s="66" t="s">
        <v>2555</v>
      </c>
      <c r="B1715" s="65">
        <v>3731</v>
      </c>
      <c r="C1715" s="65">
        <v>10</v>
      </c>
      <c r="D1715" s="65">
        <v>1</v>
      </c>
    </row>
    <row r="1716" spans="1:4">
      <c r="A1716" s="66" t="s">
        <v>2054</v>
      </c>
      <c r="B1716" s="65">
        <v>3119</v>
      </c>
      <c r="C1716" s="65">
        <v>1</v>
      </c>
      <c r="D1716" s="65">
        <v>1</v>
      </c>
    </row>
    <row r="1717" spans="1:4">
      <c r="A1717" s="66" t="s">
        <v>2260</v>
      </c>
      <c r="B1717" s="65">
        <v>116955</v>
      </c>
      <c r="C1717" s="65">
        <v>6</v>
      </c>
      <c r="D1717" s="65">
        <v>1</v>
      </c>
    </row>
    <row r="1718" spans="1:4">
      <c r="A1718" s="66" t="s">
        <v>2156</v>
      </c>
      <c r="B1718" s="65">
        <v>117036</v>
      </c>
      <c r="C1718" s="65">
        <v>20</v>
      </c>
      <c r="D1718" s="65">
        <v>1</v>
      </c>
    </row>
    <row r="1719" spans="1:4">
      <c r="A1719" s="66" t="s">
        <v>1972</v>
      </c>
      <c r="B1719" s="65">
        <v>127757</v>
      </c>
      <c r="C1719" s="65">
        <v>50</v>
      </c>
      <c r="D1719" s="65">
        <v>1</v>
      </c>
    </row>
    <row r="1720" spans="1:4">
      <c r="A1720" s="66" t="s">
        <v>2091</v>
      </c>
      <c r="B1720" s="65">
        <v>115524</v>
      </c>
      <c r="C1720" s="65">
        <v>20</v>
      </c>
      <c r="D1720" s="65">
        <v>1</v>
      </c>
    </row>
    <row r="1721" spans="1:4">
      <c r="A1721" s="66" t="s">
        <v>2093</v>
      </c>
      <c r="B1721" s="65">
        <v>1381</v>
      </c>
      <c r="C1721" s="65">
        <v>40</v>
      </c>
      <c r="D1721" s="65">
        <v>1</v>
      </c>
    </row>
    <row r="1722" spans="1:4">
      <c r="A1722" s="66" t="s">
        <v>1983</v>
      </c>
      <c r="B1722" s="65">
        <v>84017</v>
      </c>
      <c r="C1722" s="65">
        <v>4</v>
      </c>
      <c r="D1722" s="65">
        <v>1</v>
      </c>
    </row>
    <row r="1723" spans="1:4">
      <c r="A1723" s="66" t="s">
        <v>1990</v>
      </c>
      <c r="B1723" s="65">
        <v>74241</v>
      </c>
      <c r="C1723" s="65">
        <v>6</v>
      </c>
      <c r="D1723" s="65">
        <v>1</v>
      </c>
    </row>
  </sheetData>
  <autoFilter ref="A1:D1723" xr:uid="{E508AD71-AE2B-4EA9-9E64-97BEFA60CBEC}">
    <sortState xmlns:xlrd2="http://schemas.microsoft.com/office/spreadsheetml/2017/richdata2" ref="A2:D1723">
      <sortCondition descending="1" ref="D1:D1723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4CD2-58B3-4ADE-AE5E-E0FFDD7A1687}">
  <dimension ref="A1:G218"/>
  <sheetViews>
    <sheetView workbookViewId="0">
      <selection activeCell="E9" sqref="E9"/>
    </sheetView>
  </sheetViews>
  <sheetFormatPr defaultColWidth="8.85546875" defaultRowHeight="15"/>
  <cols>
    <col min="1" max="1" width="10" bestFit="1" customWidth="1"/>
    <col min="2" max="2" width="9" bestFit="1" customWidth="1"/>
    <col min="3" max="3" width="8.42578125" bestFit="1" customWidth="1"/>
    <col min="4" max="4" width="5.42578125" bestFit="1" customWidth="1"/>
    <col min="5" max="5" width="8" style="23" bestFit="1" customWidth="1"/>
    <col min="6" max="6" width="8.7109375" style="23"/>
  </cols>
  <sheetData>
    <row r="1" spans="1:7" ht="53.45" customHeight="1">
      <c r="A1" s="67" t="s">
        <v>6782</v>
      </c>
      <c r="B1" s="67" t="s">
        <v>3588</v>
      </c>
      <c r="C1" s="67" t="s">
        <v>3591</v>
      </c>
      <c r="D1" s="141" t="s">
        <v>3592</v>
      </c>
      <c r="E1" s="144" t="s">
        <v>6783</v>
      </c>
      <c r="F1" s="142" t="s">
        <v>6784</v>
      </c>
      <c r="G1" s="147" t="s">
        <v>6785</v>
      </c>
    </row>
    <row r="2" spans="1:7">
      <c r="A2" s="148" t="s">
        <v>1154</v>
      </c>
      <c r="B2" s="149">
        <v>35148</v>
      </c>
      <c r="C2" s="150">
        <v>14916</v>
      </c>
      <c r="D2" s="151">
        <v>1011</v>
      </c>
      <c r="E2" s="152">
        <v>3</v>
      </c>
      <c r="F2" s="153"/>
      <c r="G2" s="153"/>
    </row>
    <row r="3" spans="1:7">
      <c r="A3" s="148" t="s">
        <v>1722</v>
      </c>
      <c r="B3" s="149">
        <v>113597</v>
      </c>
      <c r="C3" s="150">
        <v>358200</v>
      </c>
      <c r="D3" s="151">
        <v>900</v>
      </c>
      <c r="E3" s="152"/>
      <c r="F3" s="153"/>
      <c r="G3" s="154"/>
    </row>
    <row r="4" spans="1:7">
      <c r="A4" s="148" t="s">
        <v>1721</v>
      </c>
      <c r="B4" s="149">
        <v>156697</v>
      </c>
      <c r="C4" s="150">
        <v>2510</v>
      </c>
      <c r="D4" s="151">
        <v>873</v>
      </c>
      <c r="E4" s="152"/>
      <c r="F4" s="153"/>
      <c r="G4" s="154"/>
    </row>
    <row r="5" spans="1:7">
      <c r="A5" s="148" t="s">
        <v>408</v>
      </c>
      <c r="B5" s="149">
        <v>111868</v>
      </c>
      <c r="C5" s="150">
        <v>3342</v>
      </c>
      <c r="D5" s="151">
        <v>822</v>
      </c>
      <c r="E5" s="152"/>
      <c r="F5" s="153"/>
      <c r="G5" s="154"/>
    </row>
    <row r="6" spans="1:7">
      <c r="A6" s="148" t="s">
        <v>2409</v>
      </c>
      <c r="B6" s="149">
        <v>111</v>
      </c>
      <c r="C6" s="150">
        <v>6246</v>
      </c>
      <c r="D6" s="151">
        <v>734</v>
      </c>
      <c r="E6" s="152"/>
      <c r="F6" s="153"/>
      <c r="G6" s="154"/>
    </row>
    <row r="7" spans="1:7">
      <c r="A7" s="148" t="s">
        <v>2077</v>
      </c>
      <c r="B7" s="149">
        <v>129751</v>
      </c>
      <c r="C7" s="150">
        <v>15388</v>
      </c>
      <c r="D7" s="151">
        <v>687</v>
      </c>
      <c r="E7" s="152"/>
      <c r="F7" s="153"/>
      <c r="G7" s="154"/>
    </row>
    <row r="8" spans="1:7">
      <c r="A8" s="148" t="s">
        <v>413</v>
      </c>
      <c r="B8" s="149">
        <v>157426</v>
      </c>
      <c r="C8" s="150">
        <v>13215</v>
      </c>
      <c r="D8" s="151">
        <v>675</v>
      </c>
      <c r="E8" s="152"/>
      <c r="F8" s="153"/>
      <c r="G8" s="154"/>
    </row>
    <row r="9" spans="1:7">
      <c r="A9" s="148" t="s">
        <v>2451</v>
      </c>
      <c r="B9" s="149">
        <v>120004</v>
      </c>
      <c r="C9" s="150">
        <v>254100</v>
      </c>
      <c r="D9" s="151">
        <v>665</v>
      </c>
      <c r="E9" s="152"/>
      <c r="F9" s="153"/>
      <c r="G9" s="154"/>
    </row>
    <row r="10" spans="1:7">
      <c r="A10" s="148" t="s">
        <v>2004</v>
      </c>
      <c r="B10" s="149">
        <v>133777</v>
      </c>
      <c r="C10" s="150">
        <v>83830</v>
      </c>
      <c r="D10" s="151">
        <v>615</v>
      </c>
      <c r="E10" s="152"/>
      <c r="F10" s="153"/>
      <c r="G10" s="154"/>
    </row>
    <row r="11" spans="1:7">
      <c r="A11" s="148" t="s">
        <v>407</v>
      </c>
      <c r="B11" s="149">
        <v>116916</v>
      </c>
      <c r="C11" s="150">
        <v>13301</v>
      </c>
      <c r="D11" s="151">
        <v>573</v>
      </c>
      <c r="E11" s="152"/>
      <c r="F11" s="153"/>
      <c r="G11" s="154"/>
    </row>
    <row r="12" spans="1:7">
      <c r="A12" s="148" t="s">
        <v>395</v>
      </c>
      <c r="B12" s="149">
        <v>111867</v>
      </c>
      <c r="C12" s="150">
        <v>2162</v>
      </c>
      <c r="D12" s="151">
        <v>563</v>
      </c>
      <c r="E12" s="152"/>
      <c r="F12" s="153"/>
      <c r="G12" s="154"/>
    </row>
    <row r="13" spans="1:7">
      <c r="A13" s="148" t="s">
        <v>2572</v>
      </c>
      <c r="B13" s="149">
        <v>178499</v>
      </c>
      <c r="C13" s="150">
        <v>14093</v>
      </c>
      <c r="D13" s="151">
        <v>535</v>
      </c>
      <c r="E13" s="152"/>
      <c r="F13" s="153"/>
      <c r="G13" s="154"/>
    </row>
    <row r="14" spans="1:7">
      <c r="A14" s="148" t="s">
        <v>1704</v>
      </c>
      <c r="B14" s="149">
        <v>111869</v>
      </c>
      <c r="C14" s="150">
        <v>1986</v>
      </c>
      <c r="D14" s="151">
        <v>526</v>
      </c>
      <c r="E14" s="152"/>
      <c r="F14" s="153"/>
      <c r="G14" s="154"/>
    </row>
    <row r="15" spans="1:7">
      <c r="A15" s="148" t="s">
        <v>2452</v>
      </c>
      <c r="B15" s="149">
        <v>2456</v>
      </c>
      <c r="C15" s="150">
        <v>10555</v>
      </c>
      <c r="D15" s="151">
        <v>514</v>
      </c>
      <c r="E15" s="152"/>
      <c r="F15" s="153"/>
      <c r="G15" s="154"/>
    </row>
    <row r="16" spans="1:7">
      <c r="A16" s="148" t="s">
        <v>2116</v>
      </c>
      <c r="B16" s="149">
        <v>65585</v>
      </c>
      <c r="C16" s="150">
        <v>1691</v>
      </c>
      <c r="D16" s="151">
        <v>502</v>
      </c>
      <c r="E16" s="152"/>
      <c r="F16" s="153"/>
      <c r="G16" s="154"/>
    </row>
    <row r="17" spans="1:7">
      <c r="A17" s="148" t="s">
        <v>402</v>
      </c>
      <c r="B17" s="149">
        <v>176166</v>
      </c>
      <c r="C17" s="150">
        <v>20077</v>
      </c>
      <c r="D17" s="151">
        <v>495</v>
      </c>
      <c r="E17" s="152"/>
      <c r="F17" s="153"/>
      <c r="G17" s="154"/>
    </row>
    <row r="18" spans="1:7">
      <c r="A18" s="148" t="s">
        <v>2427</v>
      </c>
      <c r="B18" s="149">
        <v>1459</v>
      </c>
      <c r="C18" s="150">
        <v>7589</v>
      </c>
      <c r="D18" s="151">
        <v>494</v>
      </c>
      <c r="E18" s="152"/>
      <c r="F18" s="153"/>
      <c r="G18" s="154"/>
    </row>
    <row r="19" spans="1:7">
      <c r="A19" s="148" t="s">
        <v>2418</v>
      </c>
      <c r="B19" s="149">
        <v>54</v>
      </c>
      <c r="C19" s="150">
        <v>12707</v>
      </c>
      <c r="D19" s="151">
        <v>492</v>
      </c>
      <c r="E19" s="152"/>
      <c r="F19" s="153"/>
      <c r="G19" s="154"/>
    </row>
    <row r="20" spans="1:7">
      <c r="A20" s="148" t="s">
        <v>1160</v>
      </c>
      <c r="B20" s="149">
        <v>110451</v>
      </c>
      <c r="C20" s="150">
        <v>1129</v>
      </c>
      <c r="D20" s="151">
        <v>485</v>
      </c>
      <c r="E20" s="152"/>
      <c r="F20" s="153"/>
      <c r="G20" s="154"/>
    </row>
    <row r="21" spans="1:7">
      <c r="A21" s="148" t="s">
        <v>809</v>
      </c>
      <c r="B21" s="149">
        <v>100875</v>
      </c>
      <c r="C21" s="150">
        <v>7366</v>
      </c>
      <c r="D21" s="151">
        <v>485</v>
      </c>
      <c r="E21" s="152"/>
      <c r="F21" s="153"/>
      <c r="G21" s="154"/>
    </row>
    <row r="22" spans="1:7">
      <c r="A22" s="148" t="s">
        <v>2081</v>
      </c>
      <c r="B22" s="149">
        <v>113622</v>
      </c>
      <c r="C22" s="150">
        <v>7678</v>
      </c>
      <c r="D22" s="151">
        <v>473</v>
      </c>
      <c r="E22" s="152"/>
      <c r="F22" s="153"/>
      <c r="G22" s="154"/>
    </row>
    <row r="23" spans="1:7">
      <c r="A23" s="148" t="s">
        <v>1151</v>
      </c>
      <c r="B23" s="149">
        <v>135743</v>
      </c>
      <c r="C23" s="150">
        <v>78550</v>
      </c>
      <c r="D23" s="151">
        <v>467</v>
      </c>
      <c r="E23" s="152"/>
      <c r="F23" s="153"/>
      <c r="G23" s="154"/>
    </row>
    <row r="24" spans="1:7">
      <c r="A24" s="148" t="s">
        <v>995</v>
      </c>
      <c r="B24" s="149">
        <v>112169</v>
      </c>
      <c r="C24" s="150">
        <v>6785</v>
      </c>
      <c r="D24" s="151">
        <v>466</v>
      </c>
      <c r="E24" s="152"/>
      <c r="F24" s="153"/>
      <c r="G24" s="154"/>
    </row>
    <row r="25" spans="1:7">
      <c r="A25" s="148" t="s">
        <v>2627</v>
      </c>
      <c r="B25" s="149">
        <v>128030</v>
      </c>
      <c r="C25" s="150">
        <v>5484</v>
      </c>
      <c r="D25" s="151">
        <v>454</v>
      </c>
      <c r="E25" s="152"/>
      <c r="F25" s="153"/>
      <c r="G25" s="154"/>
    </row>
    <row r="26" spans="1:7">
      <c r="A26" s="148" t="s">
        <v>1716</v>
      </c>
      <c r="B26" s="149">
        <v>130235</v>
      </c>
      <c r="C26" s="150">
        <v>9120</v>
      </c>
      <c r="D26" s="151">
        <v>451</v>
      </c>
      <c r="E26" s="152"/>
      <c r="F26" s="153"/>
      <c r="G26" s="154"/>
    </row>
    <row r="27" spans="1:7">
      <c r="A27" s="148" t="s">
        <v>1496</v>
      </c>
      <c r="B27" s="149">
        <v>140229</v>
      </c>
      <c r="C27" s="150">
        <v>21920</v>
      </c>
      <c r="D27" s="151">
        <v>443</v>
      </c>
      <c r="E27" s="152"/>
      <c r="F27" s="153"/>
      <c r="G27" s="154"/>
    </row>
    <row r="28" spans="1:7">
      <c r="A28" s="148" t="s">
        <v>1159</v>
      </c>
      <c r="B28" s="149">
        <v>100107</v>
      </c>
      <c r="C28" s="150">
        <v>23280</v>
      </c>
      <c r="D28" s="151">
        <v>438</v>
      </c>
      <c r="E28" s="152"/>
      <c r="F28" s="153"/>
      <c r="G28" s="154"/>
    </row>
    <row r="29" spans="1:7">
      <c r="A29" s="148" t="s">
        <v>396</v>
      </c>
      <c r="B29" s="149">
        <v>160086</v>
      </c>
      <c r="C29" s="150">
        <v>18420</v>
      </c>
      <c r="D29" s="151">
        <v>434</v>
      </c>
      <c r="E29" s="152"/>
      <c r="F29" s="153"/>
      <c r="G29" s="154"/>
    </row>
    <row r="30" spans="1:7">
      <c r="A30" s="148" t="s">
        <v>1587</v>
      </c>
      <c r="B30" s="149">
        <v>157068</v>
      </c>
      <c r="C30" s="150">
        <v>8820</v>
      </c>
      <c r="D30" s="151">
        <v>432</v>
      </c>
      <c r="E30" s="152"/>
      <c r="F30" s="153"/>
      <c r="G30" s="154"/>
    </row>
    <row r="31" spans="1:7">
      <c r="A31" s="148" t="s">
        <v>807</v>
      </c>
      <c r="B31" s="149">
        <v>125897</v>
      </c>
      <c r="C31" s="150">
        <v>882</v>
      </c>
      <c r="D31" s="151">
        <v>431</v>
      </c>
      <c r="E31" s="152"/>
      <c r="F31" s="153"/>
      <c r="G31" s="154"/>
    </row>
    <row r="32" spans="1:7">
      <c r="A32" s="148" t="s">
        <v>773</v>
      </c>
      <c r="B32" s="149">
        <v>112566</v>
      </c>
      <c r="C32" s="150">
        <v>184200</v>
      </c>
      <c r="D32" s="151">
        <v>427</v>
      </c>
      <c r="E32" s="152"/>
      <c r="F32" s="153"/>
      <c r="G32" s="154"/>
    </row>
    <row r="33" spans="1:7">
      <c r="A33" s="148" t="s">
        <v>2414</v>
      </c>
      <c r="B33" s="149">
        <v>428</v>
      </c>
      <c r="C33" s="150">
        <v>9355</v>
      </c>
      <c r="D33" s="151">
        <v>405</v>
      </c>
      <c r="E33" s="152"/>
      <c r="F33" s="153"/>
      <c r="G33" s="154"/>
    </row>
    <row r="34" spans="1:7">
      <c r="A34" s="148" t="s">
        <v>769</v>
      </c>
      <c r="B34" s="149">
        <v>135227</v>
      </c>
      <c r="C34" s="150">
        <v>11995</v>
      </c>
      <c r="D34" s="151">
        <v>404</v>
      </c>
      <c r="E34" s="152"/>
      <c r="F34" s="153"/>
      <c r="G34" s="154"/>
    </row>
    <row r="35" spans="1:7">
      <c r="A35" s="148" t="s">
        <v>1289</v>
      </c>
      <c r="B35" s="149">
        <v>225537</v>
      </c>
      <c r="C35" s="150">
        <v>7665</v>
      </c>
      <c r="D35" s="151">
        <v>399</v>
      </c>
      <c r="E35" s="152"/>
      <c r="F35" s="153"/>
      <c r="G35" s="154"/>
    </row>
    <row r="36" spans="1:7">
      <c r="A36" s="148" t="s">
        <v>2620</v>
      </c>
      <c r="B36" s="149">
        <v>100907</v>
      </c>
      <c r="C36" s="150">
        <v>19429</v>
      </c>
      <c r="D36" s="151">
        <v>394</v>
      </c>
      <c r="E36" s="152"/>
      <c r="F36" s="153"/>
      <c r="G36" s="154"/>
    </row>
    <row r="37" spans="1:7">
      <c r="A37" s="148" t="s">
        <v>1448</v>
      </c>
      <c r="B37" s="149">
        <v>100955</v>
      </c>
      <c r="C37" s="150">
        <v>5839</v>
      </c>
      <c r="D37" s="151">
        <v>393</v>
      </c>
      <c r="E37" s="152"/>
      <c r="F37" s="153"/>
      <c r="G37" s="154"/>
    </row>
    <row r="38" spans="1:7">
      <c r="A38" s="148" t="s">
        <v>2134</v>
      </c>
      <c r="B38" s="149">
        <v>123728</v>
      </c>
      <c r="C38" s="150">
        <v>12806</v>
      </c>
      <c r="D38" s="151">
        <v>384</v>
      </c>
      <c r="E38" s="152"/>
      <c r="F38" s="153"/>
      <c r="G38" s="154"/>
    </row>
    <row r="39" spans="1:7">
      <c r="A39" s="148" t="s">
        <v>768</v>
      </c>
      <c r="B39" s="149">
        <v>113611</v>
      </c>
      <c r="C39" s="150">
        <v>4025</v>
      </c>
      <c r="D39" s="151">
        <v>380</v>
      </c>
      <c r="E39" s="152"/>
      <c r="F39" s="153"/>
      <c r="G39" s="154"/>
    </row>
    <row r="40" spans="1:7">
      <c r="A40" s="148" t="s">
        <v>2076</v>
      </c>
      <c r="B40" s="149">
        <v>138405</v>
      </c>
      <c r="C40" s="150">
        <v>4217</v>
      </c>
      <c r="D40" s="151">
        <v>379</v>
      </c>
      <c r="E40" s="152"/>
      <c r="F40" s="153"/>
      <c r="G40" s="154"/>
    </row>
    <row r="41" spans="1:7">
      <c r="A41" s="148" t="s">
        <v>2454</v>
      </c>
      <c r="B41" s="149">
        <v>118779</v>
      </c>
      <c r="C41" s="150">
        <v>56850</v>
      </c>
      <c r="D41" s="151">
        <v>377</v>
      </c>
      <c r="E41" s="152"/>
      <c r="F41" s="153"/>
      <c r="G41" s="154"/>
    </row>
    <row r="42" spans="1:7">
      <c r="A42" s="148" t="s">
        <v>455</v>
      </c>
      <c r="B42" s="149">
        <v>100771</v>
      </c>
      <c r="C42" s="150">
        <v>4074</v>
      </c>
      <c r="D42" s="151">
        <v>374</v>
      </c>
      <c r="E42" s="152"/>
      <c r="F42" s="153"/>
      <c r="G42" s="154"/>
    </row>
    <row r="43" spans="1:7">
      <c r="A43" s="148" t="s">
        <v>1169</v>
      </c>
      <c r="B43" s="149">
        <v>12747</v>
      </c>
      <c r="C43" s="150">
        <v>4090</v>
      </c>
      <c r="D43" s="151">
        <v>373</v>
      </c>
      <c r="E43" s="152"/>
      <c r="F43" s="153"/>
      <c r="G43" s="154"/>
    </row>
    <row r="44" spans="1:7">
      <c r="A44" s="148" t="s">
        <v>2579</v>
      </c>
      <c r="B44" s="149">
        <v>101321</v>
      </c>
      <c r="C44" s="150">
        <v>6415</v>
      </c>
      <c r="D44" s="151">
        <v>367</v>
      </c>
      <c r="E44" s="152"/>
      <c r="F44" s="153"/>
      <c r="G44" s="154"/>
    </row>
    <row r="45" spans="1:7">
      <c r="A45" s="148" t="s">
        <v>2119</v>
      </c>
      <c r="B45" s="149">
        <v>566</v>
      </c>
      <c r="C45" s="150">
        <v>16850</v>
      </c>
      <c r="D45" s="151">
        <v>363</v>
      </c>
      <c r="E45" s="152"/>
      <c r="F45" s="153"/>
      <c r="G45" s="154"/>
    </row>
    <row r="46" spans="1:7">
      <c r="A46" s="148" t="s">
        <v>414</v>
      </c>
      <c r="B46" s="149">
        <v>156698</v>
      </c>
      <c r="C46" s="150">
        <v>951</v>
      </c>
      <c r="D46" s="151">
        <v>359</v>
      </c>
      <c r="E46" s="152"/>
      <c r="F46" s="153"/>
      <c r="G46" s="154"/>
    </row>
    <row r="47" spans="1:7">
      <c r="A47" s="148" t="s">
        <v>2008</v>
      </c>
      <c r="B47" s="149">
        <v>129750</v>
      </c>
      <c r="C47" s="150">
        <v>4719</v>
      </c>
      <c r="D47" s="151">
        <v>357</v>
      </c>
      <c r="E47" s="152"/>
      <c r="F47" s="153"/>
      <c r="G47" s="154"/>
    </row>
    <row r="48" spans="1:7">
      <c r="A48" s="148" t="s">
        <v>1266</v>
      </c>
      <c r="B48" s="149">
        <v>120003</v>
      </c>
      <c r="C48" s="150">
        <v>25598</v>
      </c>
      <c r="D48" s="151">
        <v>351</v>
      </c>
      <c r="E48" s="152"/>
      <c r="F48" s="153"/>
      <c r="G48" s="154"/>
    </row>
    <row r="49" spans="1:7">
      <c r="A49" s="148" t="s">
        <v>1184</v>
      </c>
      <c r="B49" s="149">
        <v>114795</v>
      </c>
      <c r="C49" s="150">
        <v>3896</v>
      </c>
      <c r="D49" s="151">
        <v>348</v>
      </c>
      <c r="E49" s="152"/>
      <c r="F49" s="153"/>
      <c r="G49" s="154"/>
    </row>
    <row r="50" spans="1:7">
      <c r="A50" s="148" t="s">
        <v>2456</v>
      </c>
      <c r="B50" s="149">
        <v>108869</v>
      </c>
      <c r="C50" s="150">
        <v>620800</v>
      </c>
      <c r="D50" s="151">
        <v>346</v>
      </c>
      <c r="E50" s="152"/>
      <c r="F50" s="153"/>
      <c r="G50" s="154"/>
    </row>
    <row r="51" spans="1:7">
      <c r="A51" s="148" t="s">
        <v>2117</v>
      </c>
      <c r="B51" s="149">
        <v>158212</v>
      </c>
      <c r="C51" s="150">
        <v>3793</v>
      </c>
      <c r="D51" s="151">
        <v>340</v>
      </c>
      <c r="E51" s="152"/>
      <c r="F51" s="153"/>
      <c r="G51" s="154"/>
    </row>
    <row r="52" spans="1:7">
      <c r="A52" s="148" t="s">
        <v>815</v>
      </c>
      <c r="B52" s="149">
        <v>129752</v>
      </c>
      <c r="C52" s="150">
        <v>5112</v>
      </c>
      <c r="D52" s="151">
        <v>337</v>
      </c>
      <c r="E52" s="152"/>
      <c r="F52" s="153"/>
      <c r="G52" s="154"/>
    </row>
    <row r="53" spans="1:7">
      <c r="A53" s="148" t="s">
        <v>2484</v>
      </c>
      <c r="B53" s="149">
        <v>130558</v>
      </c>
      <c r="C53" s="150">
        <v>2661</v>
      </c>
      <c r="D53" s="151">
        <v>334</v>
      </c>
      <c r="E53" s="152"/>
      <c r="F53" s="153"/>
      <c r="G53" s="154"/>
    </row>
    <row r="54" spans="1:7">
      <c r="A54" s="148" t="s">
        <v>1372</v>
      </c>
      <c r="B54" s="149">
        <v>42860</v>
      </c>
      <c r="C54" s="150">
        <v>16041</v>
      </c>
      <c r="D54" s="151">
        <v>332</v>
      </c>
      <c r="E54" s="152"/>
      <c r="F54" s="153"/>
      <c r="G54" s="154"/>
    </row>
    <row r="55" spans="1:7">
      <c r="A55" s="148" t="s">
        <v>2370</v>
      </c>
      <c r="B55" s="149">
        <v>129854</v>
      </c>
      <c r="C55" s="150">
        <v>4162</v>
      </c>
      <c r="D55" s="151">
        <v>331</v>
      </c>
      <c r="E55" s="152"/>
      <c r="F55" s="153"/>
      <c r="G55" s="154"/>
    </row>
    <row r="56" spans="1:7">
      <c r="A56" s="148" t="s">
        <v>1964</v>
      </c>
      <c r="B56" s="149">
        <v>113615</v>
      </c>
      <c r="C56" s="150">
        <v>6942</v>
      </c>
      <c r="D56" s="151">
        <v>328</v>
      </c>
      <c r="E56" s="152"/>
      <c r="F56" s="153"/>
      <c r="G56" s="154"/>
    </row>
    <row r="57" spans="1:7">
      <c r="A57" s="148" t="s">
        <v>401</v>
      </c>
      <c r="B57" s="149">
        <v>174195</v>
      </c>
      <c r="C57" s="150">
        <v>4307</v>
      </c>
      <c r="D57" s="151">
        <v>325</v>
      </c>
      <c r="E57" s="152"/>
      <c r="F57" s="153"/>
      <c r="G57" s="154"/>
    </row>
    <row r="58" spans="1:7">
      <c r="A58" s="148" t="s">
        <v>1715</v>
      </c>
      <c r="B58" s="149">
        <v>120031</v>
      </c>
      <c r="C58" s="150">
        <v>6273</v>
      </c>
      <c r="D58" s="151">
        <v>320</v>
      </c>
      <c r="E58" s="152"/>
      <c r="F58" s="153"/>
      <c r="G58" s="154"/>
    </row>
    <row r="59" spans="1:7">
      <c r="A59" s="148" t="s">
        <v>2424</v>
      </c>
      <c r="B59" s="149">
        <v>72893</v>
      </c>
      <c r="C59" s="150">
        <v>6418</v>
      </c>
      <c r="D59" s="151">
        <v>312</v>
      </c>
      <c r="E59" s="152"/>
      <c r="F59" s="153"/>
      <c r="G59" s="154"/>
    </row>
    <row r="60" spans="1:7">
      <c r="A60" s="148" t="s">
        <v>813</v>
      </c>
      <c r="B60" s="149">
        <v>106272</v>
      </c>
      <c r="C60" s="150">
        <v>1190</v>
      </c>
      <c r="D60" s="151">
        <v>311</v>
      </c>
      <c r="E60" s="152"/>
      <c r="F60" s="153"/>
      <c r="G60" s="154"/>
    </row>
    <row r="61" spans="1:7">
      <c r="A61" s="148" t="s">
        <v>1231</v>
      </c>
      <c r="B61" s="149">
        <v>127720</v>
      </c>
      <c r="C61" s="150">
        <v>8629</v>
      </c>
      <c r="D61" s="151">
        <v>311</v>
      </c>
      <c r="E61" s="152"/>
      <c r="F61" s="153"/>
      <c r="G61" s="154"/>
    </row>
    <row r="62" spans="1:7">
      <c r="A62" s="148" t="s">
        <v>883</v>
      </c>
      <c r="B62" s="149">
        <v>127395</v>
      </c>
      <c r="C62" s="150">
        <v>3379</v>
      </c>
      <c r="D62" s="151">
        <v>311</v>
      </c>
      <c r="E62" s="152"/>
      <c r="F62" s="153"/>
      <c r="G62" s="154"/>
    </row>
    <row r="63" spans="1:7">
      <c r="A63" s="148" t="s">
        <v>2115</v>
      </c>
      <c r="B63" s="149">
        <v>137591</v>
      </c>
      <c r="C63" s="150">
        <v>3462</v>
      </c>
      <c r="D63" s="151">
        <v>311</v>
      </c>
      <c r="E63" s="152"/>
      <c r="F63" s="153"/>
      <c r="G63" s="154"/>
    </row>
    <row r="64" spans="1:7">
      <c r="A64" s="148" t="s">
        <v>2521</v>
      </c>
      <c r="B64" s="149">
        <v>107042</v>
      </c>
      <c r="C64" s="150">
        <v>81500</v>
      </c>
      <c r="D64" s="151">
        <v>311</v>
      </c>
      <c r="E64" s="152"/>
      <c r="F64" s="153"/>
      <c r="G64" s="154"/>
    </row>
    <row r="65" spans="1:7">
      <c r="A65" s="148" t="s">
        <v>1117</v>
      </c>
      <c r="B65" s="149">
        <v>129167</v>
      </c>
      <c r="C65" s="150">
        <v>1735</v>
      </c>
      <c r="D65" s="151">
        <v>302</v>
      </c>
      <c r="E65" s="152"/>
      <c r="F65" s="153"/>
      <c r="G65" s="154"/>
    </row>
    <row r="66" spans="1:7">
      <c r="A66" s="148" t="s">
        <v>1124</v>
      </c>
      <c r="B66" s="149">
        <v>1001</v>
      </c>
      <c r="C66" s="150">
        <v>1730</v>
      </c>
      <c r="D66" s="151">
        <v>301</v>
      </c>
      <c r="E66" s="152"/>
      <c r="F66" s="153"/>
      <c r="G66" s="154"/>
    </row>
    <row r="67" spans="1:7">
      <c r="A67" s="148" t="s">
        <v>151</v>
      </c>
      <c r="B67" s="149">
        <v>177263</v>
      </c>
      <c r="C67" s="150">
        <v>3855</v>
      </c>
      <c r="D67" s="151">
        <v>300</v>
      </c>
      <c r="E67" s="152"/>
      <c r="F67" s="153"/>
      <c r="G67" s="154"/>
    </row>
    <row r="68" spans="1:7">
      <c r="A68" s="148" t="s">
        <v>492</v>
      </c>
      <c r="B68" s="149">
        <v>178640</v>
      </c>
      <c r="C68" s="150">
        <v>1944</v>
      </c>
      <c r="D68" s="151">
        <v>297</v>
      </c>
      <c r="E68" s="152"/>
      <c r="F68" s="153"/>
      <c r="G68" s="154"/>
    </row>
    <row r="69" spans="1:7">
      <c r="A69" s="148" t="s">
        <v>2011</v>
      </c>
      <c r="B69" s="149">
        <v>570</v>
      </c>
      <c r="C69" s="150">
        <v>2702</v>
      </c>
      <c r="D69" s="151">
        <v>297</v>
      </c>
      <c r="E69" s="152"/>
      <c r="F69" s="153"/>
      <c r="G69" s="154"/>
    </row>
    <row r="70" spans="1:7">
      <c r="A70" s="148" t="s">
        <v>2079</v>
      </c>
      <c r="B70" s="149">
        <v>173454</v>
      </c>
      <c r="C70" s="150">
        <v>65500</v>
      </c>
      <c r="D70" s="151">
        <v>296</v>
      </c>
      <c r="E70" s="152">
        <v>2</v>
      </c>
      <c r="F70" s="153"/>
      <c r="G70" s="154"/>
    </row>
    <row r="71" spans="1:7">
      <c r="A71" s="148" t="s">
        <v>2417</v>
      </c>
      <c r="B71" s="149">
        <v>118440</v>
      </c>
      <c r="C71" s="150">
        <v>2771</v>
      </c>
      <c r="D71" s="151">
        <v>292</v>
      </c>
      <c r="E71" s="152"/>
      <c r="F71" s="153"/>
      <c r="G71" s="154"/>
    </row>
    <row r="72" spans="1:7">
      <c r="A72" s="148" t="s">
        <v>1121</v>
      </c>
      <c r="B72" s="149">
        <v>138553</v>
      </c>
      <c r="C72" s="150">
        <v>58400</v>
      </c>
      <c r="D72" s="151">
        <v>286</v>
      </c>
      <c r="E72" s="152"/>
      <c r="F72" s="153"/>
      <c r="G72" s="154"/>
    </row>
    <row r="73" spans="1:7">
      <c r="A73" s="148" t="s">
        <v>2623</v>
      </c>
      <c r="B73" s="149">
        <v>143835</v>
      </c>
      <c r="C73" s="150">
        <v>916</v>
      </c>
      <c r="D73" s="151">
        <v>285</v>
      </c>
      <c r="E73" s="152"/>
      <c r="F73" s="153"/>
      <c r="G73" s="154"/>
    </row>
    <row r="74" spans="1:7">
      <c r="A74" s="148" t="s">
        <v>1453</v>
      </c>
      <c r="B74" s="149">
        <v>173075</v>
      </c>
      <c r="C74" s="150">
        <v>2218</v>
      </c>
      <c r="D74" s="151">
        <v>277</v>
      </c>
      <c r="E74" s="152"/>
      <c r="F74" s="153"/>
      <c r="G74" s="154"/>
    </row>
    <row r="75" spans="1:7">
      <c r="A75" s="148" t="s">
        <v>934</v>
      </c>
      <c r="B75" s="149">
        <v>136385</v>
      </c>
      <c r="C75" s="150">
        <v>19305</v>
      </c>
      <c r="D75" s="151">
        <v>276</v>
      </c>
      <c r="E75" s="152"/>
      <c r="F75" s="153"/>
      <c r="G75" s="154"/>
    </row>
    <row r="76" spans="1:7">
      <c r="A76" s="148" t="s">
        <v>926</v>
      </c>
      <c r="B76" s="149">
        <v>42859</v>
      </c>
      <c r="C76" s="150">
        <v>12458</v>
      </c>
      <c r="D76" s="151">
        <v>275</v>
      </c>
      <c r="E76" s="152"/>
      <c r="F76" s="153"/>
      <c r="G76" s="154"/>
    </row>
    <row r="77" spans="1:7">
      <c r="A77" s="148" t="s">
        <v>811</v>
      </c>
      <c r="B77" s="149">
        <v>130177</v>
      </c>
      <c r="C77" s="150">
        <v>36700</v>
      </c>
      <c r="D77" s="151">
        <v>267</v>
      </c>
      <c r="E77" s="152"/>
      <c r="F77" s="153"/>
      <c r="G77" s="154"/>
    </row>
    <row r="78" spans="1:7">
      <c r="A78" s="148" t="s">
        <v>2625</v>
      </c>
      <c r="B78" s="149">
        <v>25814</v>
      </c>
      <c r="C78" s="150">
        <v>53646</v>
      </c>
      <c r="D78" s="151">
        <v>263</v>
      </c>
      <c r="E78" s="152"/>
      <c r="F78" s="153"/>
      <c r="G78" s="154"/>
    </row>
    <row r="79" spans="1:7">
      <c r="A79" s="148" t="s">
        <v>1969</v>
      </c>
      <c r="B79" s="149">
        <v>90149</v>
      </c>
      <c r="C79" s="150">
        <v>2912</v>
      </c>
      <c r="D79" s="151">
        <v>259</v>
      </c>
      <c r="E79" s="152"/>
      <c r="F79" s="153"/>
      <c r="G79" s="154"/>
    </row>
    <row r="80" spans="1:7">
      <c r="A80" s="148" t="s">
        <v>1126</v>
      </c>
      <c r="B80" s="149">
        <v>114044</v>
      </c>
      <c r="C80" s="150">
        <v>31459</v>
      </c>
      <c r="D80" s="151">
        <v>257</v>
      </c>
      <c r="E80" s="152"/>
      <c r="F80" s="153"/>
      <c r="G80" s="154"/>
    </row>
    <row r="81" spans="1:7">
      <c r="A81" s="148" t="s">
        <v>2118</v>
      </c>
      <c r="B81" s="149">
        <v>60318</v>
      </c>
      <c r="C81" s="150">
        <v>48600</v>
      </c>
      <c r="D81" s="151">
        <v>257</v>
      </c>
      <c r="E81" s="152"/>
      <c r="F81" s="153"/>
      <c r="G81" s="154"/>
    </row>
    <row r="82" spans="1:7">
      <c r="A82" s="148" t="s">
        <v>189</v>
      </c>
      <c r="B82" s="149">
        <v>100379</v>
      </c>
      <c r="C82" s="150">
        <v>3633</v>
      </c>
      <c r="D82" s="151">
        <v>255</v>
      </c>
      <c r="E82" s="152">
        <v>3</v>
      </c>
      <c r="F82" s="153"/>
      <c r="G82" s="154"/>
    </row>
    <row r="83" spans="1:7">
      <c r="A83" s="148" t="s">
        <v>2626</v>
      </c>
      <c r="B83" s="149">
        <v>118955</v>
      </c>
      <c r="C83" s="150">
        <v>70400</v>
      </c>
      <c r="D83" s="151">
        <v>254</v>
      </c>
      <c r="E83" s="152"/>
      <c r="F83" s="153"/>
      <c r="G83" s="154"/>
    </row>
    <row r="84" spans="1:7">
      <c r="A84" s="148" t="s">
        <v>2597</v>
      </c>
      <c r="B84" s="149">
        <v>103226</v>
      </c>
      <c r="C84" s="150">
        <v>2786</v>
      </c>
      <c r="D84" s="151">
        <v>251</v>
      </c>
      <c r="E84" s="152"/>
      <c r="F84" s="153"/>
      <c r="G84" s="154"/>
    </row>
    <row r="85" spans="1:7">
      <c r="A85" s="148" t="s">
        <v>2084</v>
      </c>
      <c r="B85" s="149">
        <v>130120</v>
      </c>
      <c r="C85" s="150">
        <v>3815</v>
      </c>
      <c r="D85" s="151">
        <v>251</v>
      </c>
      <c r="E85" s="152"/>
      <c r="F85" s="153"/>
      <c r="G85" s="154"/>
    </row>
    <row r="86" spans="1:7">
      <c r="A86" s="148" t="s">
        <v>659</v>
      </c>
      <c r="B86" s="149">
        <v>31490</v>
      </c>
      <c r="C86" s="150">
        <v>31907</v>
      </c>
      <c r="D86" s="151">
        <v>245</v>
      </c>
      <c r="E86" s="152"/>
      <c r="F86" s="153"/>
      <c r="G86" s="154"/>
    </row>
    <row r="87" spans="1:7">
      <c r="A87" s="148" t="s">
        <v>2101</v>
      </c>
      <c r="B87" s="149">
        <v>121302</v>
      </c>
      <c r="C87" s="150">
        <v>19500</v>
      </c>
      <c r="D87" s="151">
        <v>240</v>
      </c>
      <c r="E87" s="152"/>
      <c r="F87" s="153"/>
      <c r="G87" s="154"/>
    </row>
    <row r="88" spans="1:7">
      <c r="A88" s="148" t="s">
        <v>700</v>
      </c>
      <c r="B88" s="149">
        <v>2921</v>
      </c>
      <c r="C88" s="150">
        <v>2016</v>
      </c>
      <c r="D88" s="151">
        <v>238</v>
      </c>
      <c r="E88" s="145"/>
      <c r="F88" s="146"/>
      <c r="G88" s="95"/>
    </row>
    <row r="89" spans="1:7">
      <c r="A89" s="148" t="s">
        <v>2420</v>
      </c>
      <c r="B89" s="149">
        <v>46</v>
      </c>
      <c r="C89" s="150">
        <v>27215</v>
      </c>
      <c r="D89" s="151">
        <v>233</v>
      </c>
      <c r="E89" s="145"/>
      <c r="F89" s="146"/>
      <c r="G89" s="95"/>
    </row>
    <row r="90" spans="1:7">
      <c r="A90" s="148" t="s">
        <v>231</v>
      </c>
      <c r="B90" s="149">
        <v>1398</v>
      </c>
      <c r="C90" s="150">
        <v>14544</v>
      </c>
      <c r="D90" s="151">
        <v>231</v>
      </c>
      <c r="E90" s="145"/>
      <c r="F90" s="146"/>
      <c r="G90" s="95"/>
    </row>
    <row r="91" spans="1:7">
      <c r="A91" s="148" t="s">
        <v>877</v>
      </c>
      <c r="B91" s="149">
        <v>61393</v>
      </c>
      <c r="C91" s="150">
        <v>50500</v>
      </c>
      <c r="D91" s="151">
        <v>231</v>
      </c>
      <c r="E91" s="145"/>
      <c r="F91" s="146"/>
      <c r="G91" s="95"/>
    </row>
    <row r="92" spans="1:7">
      <c r="A92" s="148" t="s">
        <v>2562</v>
      </c>
      <c r="B92" s="149">
        <v>100185</v>
      </c>
      <c r="C92" s="150">
        <v>2504</v>
      </c>
      <c r="D92" s="151">
        <v>231</v>
      </c>
      <c r="E92" s="145"/>
      <c r="F92" s="146"/>
      <c r="G92" s="95"/>
    </row>
    <row r="93" spans="1:7">
      <c r="A93" s="148" t="s">
        <v>1545</v>
      </c>
      <c r="B93" s="149">
        <v>160072</v>
      </c>
      <c r="C93" s="150">
        <v>1924</v>
      </c>
      <c r="D93" s="151">
        <v>228</v>
      </c>
      <c r="E93" s="145">
        <v>2</v>
      </c>
      <c r="F93" s="146"/>
      <c r="G93" s="95"/>
    </row>
    <row r="94" spans="1:7">
      <c r="A94" s="148" t="s">
        <v>358</v>
      </c>
      <c r="B94" s="149">
        <v>388</v>
      </c>
      <c r="C94" s="150">
        <v>1237</v>
      </c>
      <c r="D94" s="151">
        <v>225</v>
      </c>
      <c r="E94" s="145"/>
      <c r="F94" s="146"/>
      <c r="G94" s="95"/>
    </row>
    <row r="95" spans="1:7">
      <c r="A95" s="148" t="s">
        <v>2573</v>
      </c>
      <c r="B95" s="149">
        <v>199</v>
      </c>
      <c r="C95" s="150">
        <v>1869</v>
      </c>
      <c r="D95" s="151">
        <v>219</v>
      </c>
      <c r="E95" s="145"/>
      <c r="F95" s="146"/>
      <c r="G95" s="95"/>
    </row>
    <row r="96" spans="1:7">
      <c r="A96" s="148" t="s">
        <v>676</v>
      </c>
      <c r="B96" s="149">
        <v>157428</v>
      </c>
      <c r="C96" s="150">
        <v>4127</v>
      </c>
      <c r="D96" s="151">
        <v>217</v>
      </c>
      <c r="E96" s="145"/>
      <c r="F96" s="146"/>
      <c r="G96" s="95"/>
    </row>
    <row r="97" spans="1:7">
      <c r="A97" s="148" t="s">
        <v>1271</v>
      </c>
      <c r="B97" s="149">
        <v>157698</v>
      </c>
      <c r="C97" s="150">
        <v>2140</v>
      </c>
      <c r="D97" s="151">
        <v>211</v>
      </c>
      <c r="E97" s="145"/>
      <c r="F97" s="146"/>
      <c r="G97" s="95"/>
    </row>
    <row r="98" spans="1:7">
      <c r="A98" s="148" t="s">
        <v>1970</v>
      </c>
      <c r="B98" s="149">
        <v>142655</v>
      </c>
      <c r="C98" s="150">
        <v>1307</v>
      </c>
      <c r="D98" s="151">
        <v>208</v>
      </c>
      <c r="E98" s="145"/>
      <c r="F98" s="146"/>
      <c r="G98" s="95"/>
    </row>
    <row r="99" spans="1:7">
      <c r="A99" s="148" t="s">
        <v>1428</v>
      </c>
      <c r="B99" s="149">
        <v>63778</v>
      </c>
      <c r="C99" s="150">
        <v>2651</v>
      </c>
      <c r="D99" s="151">
        <v>206</v>
      </c>
      <c r="E99" s="145"/>
      <c r="F99" s="146"/>
      <c r="G99" s="95"/>
    </row>
    <row r="100" spans="1:7">
      <c r="A100" s="148" t="s">
        <v>2423</v>
      </c>
      <c r="B100" s="149">
        <v>126216</v>
      </c>
      <c r="C100" s="150">
        <v>4633</v>
      </c>
      <c r="D100" s="151">
        <v>203</v>
      </c>
      <c r="E100" s="145"/>
      <c r="F100" s="146"/>
      <c r="G100" s="95"/>
    </row>
    <row r="101" spans="1:7">
      <c r="A101" s="148" t="s">
        <v>779</v>
      </c>
      <c r="B101" s="149">
        <v>125053</v>
      </c>
      <c r="C101" s="150">
        <v>3701</v>
      </c>
      <c r="D101" s="151">
        <v>200</v>
      </c>
      <c r="E101" s="145"/>
      <c r="F101" s="146"/>
      <c r="G101" s="95"/>
    </row>
    <row r="102" spans="1:7">
      <c r="A102" s="148" t="s">
        <v>2343</v>
      </c>
      <c r="B102" s="149">
        <v>112564</v>
      </c>
      <c r="C102" s="150">
        <v>98000</v>
      </c>
      <c r="D102" s="151">
        <v>200</v>
      </c>
      <c r="E102" s="145"/>
      <c r="F102" s="146"/>
      <c r="G102" s="95"/>
    </row>
    <row r="103" spans="1:7">
      <c r="A103" s="148" t="s">
        <v>2009</v>
      </c>
      <c r="B103" s="149">
        <v>60043</v>
      </c>
      <c r="C103" s="150">
        <v>2782</v>
      </c>
      <c r="D103" s="151">
        <v>199</v>
      </c>
      <c r="E103" s="145"/>
      <c r="F103" s="146"/>
      <c r="G103" s="95"/>
    </row>
    <row r="104" spans="1:7">
      <c r="A104" s="148" t="s">
        <v>2181</v>
      </c>
      <c r="B104" s="149">
        <v>108747</v>
      </c>
      <c r="C104" s="150">
        <v>33200</v>
      </c>
      <c r="D104" s="151">
        <v>199</v>
      </c>
      <c r="E104" s="145"/>
      <c r="F104" s="146"/>
      <c r="G104" s="95"/>
    </row>
    <row r="105" spans="1:7">
      <c r="A105" s="148" t="s">
        <v>1049</v>
      </c>
      <c r="B105" s="149">
        <v>101545</v>
      </c>
      <c r="C105" s="150">
        <v>1302</v>
      </c>
      <c r="D105" s="151">
        <v>197</v>
      </c>
      <c r="E105" s="145"/>
      <c r="F105" s="146"/>
      <c r="G105" s="95"/>
    </row>
    <row r="106" spans="1:7">
      <c r="A106" s="148" t="s">
        <v>576</v>
      </c>
      <c r="B106" s="149">
        <v>116843</v>
      </c>
      <c r="C106" s="150">
        <v>4043</v>
      </c>
      <c r="D106" s="151">
        <v>194</v>
      </c>
      <c r="E106" s="145"/>
      <c r="F106" s="146"/>
      <c r="G106" s="95"/>
    </row>
    <row r="107" spans="1:7">
      <c r="A107" s="148" t="s">
        <v>82</v>
      </c>
      <c r="B107" s="149">
        <v>223967</v>
      </c>
      <c r="C107" s="150">
        <v>2427</v>
      </c>
      <c r="D107" s="151">
        <v>192</v>
      </c>
      <c r="E107" s="145"/>
      <c r="F107" s="146"/>
      <c r="G107" s="95"/>
    </row>
    <row r="108" spans="1:7">
      <c r="A108" s="148" t="s">
        <v>2526</v>
      </c>
      <c r="B108" s="149">
        <v>111865</v>
      </c>
      <c r="C108" s="150">
        <v>472</v>
      </c>
      <c r="D108" s="151">
        <v>191</v>
      </c>
      <c r="E108" s="145"/>
      <c r="F108" s="146"/>
      <c r="G108" s="95"/>
    </row>
    <row r="109" spans="1:7">
      <c r="A109" s="148" t="s">
        <v>2357</v>
      </c>
      <c r="B109" s="149">
        <v>561</v>
      </c>
      <c r="C109" s="150">
        <v>32600</v>
      </c>
      <c r="D109" s="151">
        <v>190</v>
      </c>
      <c r="E109" s="145"/>
      <c r="F109" s="146"/>
      <c r="G109" s="95"/>
    </row>
    <row r="110" spans="1:7">
      <c r="A110" s="148" t="s">
        <v>2375</v>
      </c>
      <c r="B110" s="149">
        <v>81252</v>
      </c>
      <c r="C110" s="150">
        <v>2005</v>
      </c>
      <c r="D110" s="151">
        <v>187</v>
      </c>
      <c r="E110" s="145"/>
      <c r="F110" s="146"/>
      <c r="G110" s="95"/>
    </row>
    <row r="111" spans="1:7">
      <c r="A111" s="148" t="s">
        <v>917</v>
      </c>
      <c r="B111" s="149">
        <v>121</v>
      </c>
      <c r="C111" s="150">
        <v>2934</v>
      </c>
      <c r="D111" s="151">
        <v>185</v>
      </c>
      <c r="E111" s="145"/>
      <c r="F111" s="146"/>
      <c r="G111" s="95"/>
    </row>
    <row r="112" spans="1:7">
      <c r="A112" s="148" t="s">
        <v>2530</v>
      </c>
      <c r="B112" s="149">
        <v>104554</v>
      </c>
      <c r="C112" s="150">
        <v>4728</v>
      </c>
      <c r="D112" s="151">
        <v>184</v>
      </c>
      <c r="E112" s="145"/>
      <c r="F112" s="146"/>
      <c r="G112" s="95"/>
    </row>
    <row r="113" spans="1:7">
      <c r="A113" s="148" t="s">
        <v>2522</v>
      </c>
      <c r="B113" s="149">
        <v>126332</v>
      </c>
      <c r="C113" s="150">
        <v>4507</v>
      </c>
      <c r="D113" s="151">
        <v>183</v>
      </c>
      <c r="E113" s="145"/>
      <c r="F113" s="146"/>
      <c r="G113" s="95"/>
    </row>
    <row r="114" spans="1:7">
      <c r="A114" s="148" t="s">
        <v>657</v>
      </c>
      <c r="B114" s="149">
        <v>9808</v>
      </c>
      <c r="C114" s="150">
        <v>833</v>
      </c>
      <c r="D114" s="151">
        <v>182</v>
      </c>
      <c r="E114" s="145"/>
      <c r="F114" s="146"/>
      <c r="G114" s="95"/>
    </row>
    <row r="115" spans="1:7">
      <c r="A115" s="148" t="s">
        <v>1048</v>
      </c>
      <c r="B115" s="149">
        <v>156758</v>
      </c>
      <c r="C115" s="150">
        <v>1877</v>
      </c>
      <c r="D115" s="151">
        <v>179</v>
      </c>
      <c r="E115" s="145"/>
      <c r="F115" s="146"/>
      <c r="G115" s="95"/>
    </row>
    <row r="116" spans="1:7">
      <c r="A116" s="148" t="s">
        <v>1037</v>
      </c>
      <c r="B116" s="149">
        <v>157621</v>
      </c>
      <c r="C116" s="150">
        <v>4020</v>
      </c>
      <c r="D116" s="151">
        <v>179</v>
      </c>
      <c r="E116" s="145"/>
      <c r="F116" s="146"/>
      <c r="G116" s="95"/>
    </row>
    <row r="117" spans="1:7">
      <c r="A117" s="148" t="s">
        <v>2347</v>
      </c>
      <c r="B117" s="149">
        <v>111146</v>
      </c>
      <c r="C117" s="150">
        <v>1782</v>
      </c>
      <c r="D117" s="151">
        <v>179</v>
      </c>
      <c r="E117" s="145"/>
      <c r="F117" s="146"/>
      <c r="G117" s="95"/>
    </row>
    <row r="118" spans="1:7">
      <c r="A118" s="148" t="s">
        <v>1125</v>
      </c>
      <c r="B118" s="149">
        <v>42040</v>
      </c>
      <c r="C118" s="150">
        <v>1633</v>
      </c>
      <c r="D118" s="151">
        <v>177</v>
      </c>
      <c r="E118" s="145"/>
      <c r="F118" s="146"/>
      <c r="G118" s="95"/>
    </row>
    <row r="119" spans="1:7">
      <c r="A119" s="148" t="s">
        <v>1277</v>
      </c>
      <c r="B119" s="149">
        <v>110165</v>
      </c>
      <c r="C119" s="150">
        <v>61300</v>
      </c>
      <c r="D119" s="151">
        <v>175</v>
      </c>
      <c r="E119" s="145"/>
      <c r="F119" s="146"/>
      <c r="G119" s="95"/>
    </row>
    <row r="120" spans="1:7">
      <c r="A120" s="148" t="s">
        <v>1336</v>
      </c>
      <c r="B120" s="149">
        <v>118782</v>
      </c>
      <c r="C120" s="150">
        <v>1144</v>
      </c>
      <c r="D120" s="151">
        <v>175</v>
      </c>
      <c r="E120" s="145"/>
      <c r="F120" s="146"/>
      <c r="G120" s="95"/>
    </row>
    <row r="121" spans="1:7">
      <c r="A121" s="138" t="s">
        <v>1710</v>
      </c>
      <c r="B121" s="139">
        <v>124670</v>
      </c>
      <c r="C121" s="140">
        <v>3233</v>
      </c>
      <c r="D121" s="143">
        <v>175</v>
      </c>
      <c r="E121" s="145"/>
      <c r="F121" s="146"/>
      <c r="G121" s="95"/>
    </row>
    <row r="122" spans="1:7">
      <c r="A122" s="148" t="s">
        <v>2474</v>
      </c>
      <c r="B122" s="149">
        <v>99854</v>
      </c>
      <c r="C122" s="150">
        <v>2002</v>
      </c>
      <c r="D122" s="151">
        <v>175</v>
      </c>
      <c r="E122" s="145"/>
      <c r="F122" s="146"/>
      <c r="G122" s="95"/>
    </row>
    <row r="123" spans="1:7">
      <c r="A123" s="148" t="s">
        <v>1963</v>
      </c>
      <c r="B123" s="149">
        <v>124994</v>
      </c>
      <c r="C123" s="150">
        <v>414</v>
      </c>
      <c r="D123" s="151">
        <v>173</v>
      </c>
      <c r="E123" s="145"/>
      <c r="F123" s="146"/>
      <c r="G123" s="95"/>
    </row>
    <row r="124" spans="1:7">
      <c r="A124" s="148" t="s">
        <v>893</v>
      </c>
      <c r="B124" s="149">
        <v>100861</v>
      </c>
      <c r="C124" s="150">
        <v>1726</v>
      </c>
      <c r="D124" s="151">
        <v>171</v>
      </c>
      <c r="E124" s="145"/>
      <c r="F124" s="146"/>
      <c r="G124" s="95"/>
    </row>
    <row r="125" spans="1:7">
      <c r="A125" s="148" t="s">
        <v>2083</v>
      </c>
      <c r="B125" s="149">
        <v>130173</v>
      </c>
      <c r="C125" s="150">
        <v>14700</v>
      </c>
      <c r="D125" s="151">
        <v>171</v>
      </c>
      <c r="E125" s="145"/>
      <c r="F125" s="146"/>
      <c r="G125" s="95"/>
    </row>
    <row r="126" spans="1:7">
      <c r="A126" s="148" t="s">
        <v>1429</v>
      </c>
      <c r="B126" s="149">
        <v>106</v>
      </c>
      <c r="C126" s="150">
        <v>1263</v>
      </c>
      <c r="D126" s="151">
        <v>170</v>
      </c>
      <c r="E126" s="145"/>
      <c r="F126" s="146"/>
      <c r="G126" s="95"/>
    </row>
    <row r="127" spans="1:7">
      <c r="A127" s="148" t="s">
        <v>1047</v>
      </c>
      <c r="B127" s="149">
        <v>112479</v>
      </c>
      <c r="C127" s="150">
        <v>1460</v>
      </c>
      <c r="D127" s="151">
        <v>163</v>
      </c>
      <c r="E127" s="145"/>
      <c r="F127" s="146"/>
      <c r="G127" s="95"/>
    </row>
    <row r="128" spans="1:7">
      <c r="A128" s="148" t="s">
        <v>818</v>
      </c>
      <c r="B128" s="149">
        <v>101245</v>
      </c>
      <c r="C128" s="150">
        <v>1110</v>
      </c>
      <c r="D128" s="151">
        <v>161</v>
      </c>
      <c r="E128" s="145"/>
      <c r="F128" s="146"/>
      <c r="G128" s="95"/>
    </row>
    <row r="129" spans="1:7">
      <c r="A129" s="148" t="s">
        <v>1250</v>
      </c>
      <c r="B129" s="149">
        <v>127468</v>
      </c>
      <c r="C129" s="150">
        <v>14620</v>
      </c>
      <c r="D129" s="151">
        <v>161</v>
      </c>
      <c r="E129" s="145"/>
      <c r="F129" s="146"/>
      <c r="G129" s="95"/>
    </row>
    <row r="130" spans="1:7">
      <c r="A130" s="148" t="s">
        <v>1444</v>
      </c>
      <c r="B130" s="149">
        <v>89151</v>
      </c>
      <c r="C130" s="150">
        <v>4121</v>
      </c>
      <c r="D130" s="151">
        <v>160</v>
      </c>
      <c r="E130" s="145"/>
      <c r="F130" s="146"/>
      <c r="G130" s="95"/>
    </row>
    <row r="131" spans="1:7">
      <c r="A131" s="148" t="s">
        <v>2571</v>
      </c>
      <c r="B131" s="149">
        <v>39717</v>
      </c>
      <c r="C131" s="150">
        <v>6925</v>
      </c>
      <c r="D131" s="151">
        <v>160</v>
      </c>
      <c r="E131" s="145"/>
      <c r="F131" s="146"/>
      <c r="G131" s="95"/>
    </row>
    <row r="132" spans="1:7">
      <c r="A132" s="148" t="s">
        <v>310</v>
      </c>
      <c r="B132" s="149">
        <v>1811</v>
      </c>
      <c r="C132" s="150">
        <v>2667</v>
      </c>
      <c r="D132" s="151">
        <v>159</v>
      </c>
      <c r="E132" s="145"/>
      <c r="F132" s="146"/>
      <c r="G132" s="95"/>
    </row>
    <row r="133" spans="1:7">
      <c r="A133" s="148" t="s">
        <v>2304</v>
      </c>
      <c r="B133" s="149">
        <v>71771</v>
      </c>
      <c r="C133" s="150">
        <v>3204</v>
      </c>
      <c r="D133" s="151">
        <v>159</v>
      </c>
      <c r="E133" s="145"/>
      <c r="F133" s="146"/>
      <c r="G133" s="95"/>
    </row>
    <row r="134" spans="1:7">
      <c r="A134" s="148" t="s">
        <v>181</v>
      </c>
      <c r="B134" s="149">
        <v>225877</v>
      </c>
      <c r="C134" s="150">
        <v>1048</v>
      </c>
      <c r="D134" s="151">
        <v>153</v>
      </c>
      <c r="E134" s="145"/>
      <c r="F134" s="146"/>
      <c r="G134" s="95"/>
    </row>
    <row r="135" spans="1:7">
      <c r="A135" s="148" t="s">
        <v>2460</v>
      </c>
      <c r="B135" s="149">
        <v>125900</v>
      </c>
      <c r="C135" s="150">
        <v>17285</v>
      </c>
      <c r="D135" s="151">
        <v>153</v>
      </c>
      <c r="E135" s="145">
        <v>3</v>
      </c>
      <c r="F135" s="146"/>
      <c r="G135" s="95"/>
    </row>
    <row r="136" spans="1:7">
      <c r="A136" s="148" t="s">
        <v>656</v>
      </c>
      <c r="B136" s="149">
        <v>1394</v>
      </c>
      <c r="C136" s="150">
        <v>1142</v>
      </c>
      <c r="D136" s="151">
        <v>151</v>
      </c>
      <c r="E136" s="145"/>
      <c r="F136" s="146"/>
      <c r="G136" s="95"/>
    </row>
    <row r="137" spans="1:7">
      <c r="A137" s="148" t="s">
        <v>2528</v>
      </c>
      <c r="B137" s="149">
        <v>73228</v>
      </c>
      <c r="C137" s="150">
        <v>29500</v>
      </c>
      <c r="D137" s="151">
        <v>149</v>
      </c>
      <c r="E137" s="145"/>
      <c r="F137" s="146"/>
      <c r="G137" s="95"/>
    </row>
    <row r="138" spans="1:7">
      <c r="A138" s="148" t="s">
        <v>664</v>
      </c>
      <c r="B138" s="149">
        <v>110817</v>
      </c>
      <c r="C138" s="150">
        <v>448</v>
      </c>
      <c r="D138" s="151">
        <v>148</v>
      </c>
      <c r="E138" s="145"/>
      <c r="F138" s="146"/>
      <c r="G138" s="95"/>
    </row>
    <row r="139" spans="1:7">
      <c r="A139" s="148" t="s">
        <v>662</v>
      </c>
      <c r="B139" s="149">
        <v>20417</v>
      </c>
      <c r="C139" s="150">
        <v>31930</v>
      </c>
      <c r="D139" s="151">
        <v>145</v>
      </c>
      <c r="E139" s="145"/>
      <c r="F139" s="146"/>
      <c r="G139" s="95"/>
    </row>
    <row r="140" spans="1:7">
      <c r="A140" s="148" t="s">
        <v>2341</v>
      </c>
      <c r="B140" s="149">
        <v>120002</v>
      </c>
      <c r="C140" s="150">
        <v>6635</v>
      </c>
      <c r="D140" s="151">
        <v>144</v>
      </c>
      <c r="E140" s="145"/>
      <c r="F140" s="146"/>
      <c r="G140" s="95"/>
    </row>
    <row r="141" spans="1:7">
      <c r="A141" s="148" t="s">
        <v>2122</v>
      </c>
      <c r="B141" s="149">
        <v>157623</v>
      </c>
      <c r="C141" s="150">
        <v>1216</v>
      </c>
      <c r="D141" s="151">
        <v>144</v>
      </c>
      <c r="E141" s="145"/>
      <c r="F141" s="146"/>
      <c r="G141" s="95"/>
    </row>
    <row r="142" spans="1:7">
      <c r="A142" s="148" t="s">
        <v>2525</v>
      </c>
      <c r="B142" s="149">
        <v>1413</v>
      </c>
      <c r="C142" s="150">
        <v>951</v>
      </c>
      <c r="D142" s="151">
        <v>144</v>
      </c>
      <c r="E142" s="145"/>
      <c r="F142" s="146"/>
      <c r="G142" s="95"/>
    </row>
    <row r="143" spans="1:7">
      <c r="A143" s="148" t="s">
        <v>663</v>
      </c>
      <c r="B143" s="149">
        <v>97197</v>
      </c>
      <c r="C143" s="150">
        <v>4230</v>
      </c>
      <c r="D143" s="151">
        <v>140</v>
      </c>
      <c r="E143" s="145"/>
      <c r="F143" s="146"/>
      <c r="G143" s="95"/>
    </row>
    <row r="144" spans="1:7">
      <c r="A144" s="148" t="s">
        <v>2505</v>
      </c>
      <c r="B144" s="149">
        <v>101187</v>
      </c>
      <c r="C144" s="150">
        <v>7470</v>
      </c>
      <c r="D144" s="151">
        <v>140</v>
      </c>
      <c r="E144" s="145"/>
      <c r="F144" s="146"/>
      <c r="G144" s="95"/>
    </row>
    <row r="145" spans="1:7">
      <c r="A145" s="148" t="s">
        <v>2088</v>
      </c>
      <c r="B145" s="149">
        <v>108449</v>
      </c>
      <c r="C145" s="150">
        <v>43600</v>
      </c>
      <c r="D145" s="151">
        <v>139</v>
      </c>
      <c r="E145" s="145"/>
      <c r="F145" s="146"/>
      <c r="G145" s="95"/>
    </row>
    <row r="146" spans="1:7">
      <c r="A146" s="148" t="s">
        <v>2433</v>
      </c>
      <c r="B146" s="149">
        <v>105374</v>
      </c>
      <c r="C146" s="150">
        <v>660</v>
      </c>
      <c r="D146" s="151">
        <v>138</v>
      </c>
      <c r="E146" s="145"/>
      <c r="F146" s="146"/>
      <c r="G146" s="95"/>
    </row>
    <row r="147" spans="1:7">
      <c r="A147" s="148" t="s">
        <v>1046</v>
      </c>
      <c r="B147" s="149">
        <v>110163</v>
      </c>
      <c r="C147" s="150">
        <v>43100</v>
      </c>
      <c r="D147" s="151">
        <v>137</v>
      </c>
      <c r="E147" s="145"/>
      <c r="F147" s="146"/>
      <c r="G147" s="95"/>
    </row>
    <row r="148" spans="1:7">
      <c r="A148" s="148" t="s">
        <v>2568</v>
      </c>
      <c r="B148" s="149">
        <v>14111</v>
      </c>
      <c r="C148" s="150">
        <v>1354</v>
      </c>
      <c r="D148" s="151">
        <v>137</v>
      </c>
      <c r="E148" s="145"/>
      <c r="F148" s="146"/>
      <c r="G148" s="95"/>
    </row>
    <row r="149" spans="1:7">
      <c r="A149" s="148" t="s">
        <v>2074</v>
      </c>
      <c r="B149" s="149">
        <v>160317</v>
      </c>
      <c r="C149" s="150">
        <v>229</v>
      </c>
      <c r="D149" s="151">
        <v>137</v>
      </c>
      <c r="E149" s="145"/>
      <c r="F149" s="146"/>
      <c r="G149" s="95"/>
    </row>
    <row r="150" spans="1:7">
      <c r="A150" s="148" t="s">
        <v>356</v>
      </c>
      <c r="B150" s="149">
        <v>174179</v>
      </c>
      <c r="C150" s="150">
        <v>331</v>
      </c>
      <c r="D150" s="151">
        <v>134</v>
      </c>
      <c r="E150" s="145"/>
      <c r="F150" s="146"/>
      <c r="G150" s="95"/>
    </row>
    <row r="151" spans="1:7">
      <c r="A151" s="148" t="s">
        <v>2012</v>
      </c>
      <c r="B151" s="149">
        <v>159191</v>
      </c>
      <c r="C151" s="150">
        <v>4540</v>
      </c>
      <c r="D151" s="151">
        <v>130</v>
      </c>
      <c r="E151" s="145"/>
      <c r="F151" s="146"/>
      <c r="G151" s="95"/>
    </row>
    <row r="152" spans="1:7">
      <c r="A152" s="148" t="s">
        <v>1976</v>
      </c>
      <c r="B152" s="149">
        <v>127255</v>
      </c>
      <c r="C152" s="150">
        <v>700</v>
      </c>
      <c r="D152" s="151">
        <v>129</v>
      </c>
      <c r="E152" s="145"/>
      <c r="F152" s="146"/>
      <c r="G152" s="95"/>
    </row>
    <row r="153" spans="1:7">
      <c r="A153" s="148" t="s">
        <v>1445</v>
      </c>
      <c r="B153" s="149">
        <v>124935</v>
      </c>
      <c r="C153" s="150">
        <v>1058</v>
      </c>
      <c r="D153" s="151">
        <v>128</v>
      </c>
      <c r="E153" s="145"/>
      <c r="F153" s="146"/>
      <c r="G153" s="95"/>
    </row>
    <row r="154" spans="1:7">
      <c r="A154" s="148" t="s">
        <v>1343</v>
      </c>
      <c r="B154" s="149">
        <v>108503</v>
      </c>
      <c r="C154" s="150">
        <v>49800</v>
      </c>
      <c r="D154" s="151">
        <v>124</v>
      </c>
      <c r="E154" s="145"/>
      <c r="F154" s="146"/>
      <c r="G154" s="95"/>
    </row>
    <row r="155" spans="1:7">
      <c r="A155" s="138" t="s">
        <v>1688</v>
      </c>
      <c r="B155" s="139">
        <v>116949</v>
      </c>
      <c r="C155" s="140">
        <v>3425</v>
      </c>
      <c r="D155" s="143">
        <v>123</v>
      </c>
      <c r="E155" s="145"/>
      <c r="F155" s="146"/>
      <c r="G155" s="95"/>
    </row>
    <row r="156" spans="1:7">
      <c r="A156" s="148" t="s">
        <v>2238</v>
      </c>
      <c r="B156" s="149">
        <v>100965</v>
      </c>
      <c r="C156" s="150">
        <v>1070</v>
      </c>
      <c r="D156" s="151">
        <v>123</v>
      </c>
      <c r="E156" s="145"/>
      <c r="F156" s="146"/>
      <c r="G156" s="95"/>
    </row>
    <row r="157" spans="1:7">
      <c r="A157" s="148" t="s">
        <v>76</v>
      </c>
      <c r="B157" s="149">
        <v>129753</v>
      </c>
      <c r="C157" s="150">
        <v>1285</v>
      </c>
      <c r="D157" s="151">
        <v>122</v>
      </c>
      <c r="E157" s="145"/>
      <c r="F157" s="146"/>
      <c r="G157" s="95"/>
    </row>
    <row r="158" spans="1:7">
      <c r="A158" s="148" t="s">
        <v>918</v>
      </c>
      <c r="B158" s="149">
        <v>108763</v>
      </c>
      <c r="C158" s="150">
        <v>97000</v>
      </c>
      <c r="D158" s="151">
        <v>122</v>
      </c>
      <c r="E158" s="145"/>
      <c r="F158" s="146"/>
      <c r="G158" s="95"/>
    </row>
    <row r="159" spans="1:7">
      <c r="A159" s="148" t="s">
        <v>932</v>
      </c>
      <c r="B159" s="149">
        <v>1111</v>
      </c>
      <c r="C159" s="150">
        <v>1964</v>
      </c>
      <c r="D159" s="151">
        <v>121</v>
      </c>
      <c r="E159" s="145"/>
      <c r="F159" s="146"/>
      <c r="G159" s="95"/>
    </row>
    <row r="160" spans="1:7">
      <c r="A160" s="148" t="s">
        <v>1450</v>
      </c>
      <c r="B160" s="149">
        <v>1850</v>
      </c>
      <c r="C160" s="150">
        <v>1549</v>
      </c>
      <c r="D160" s="151">
        <v>121</v>
      </c>
      <c r="E160" s="145"/>
      <c r="F160" s="146"/>
      <c r="G160" s="95"/>
    </row>
    <row r="161" spans="1:7">
      <c r="A161" s="148" t="s">
        <v>1540</v>
      </c>
      <c r="B161" s="149">
        <v>21218</v>
      </c>
      <c r="C161" s="150">
        <v>6145</v>
      </c>
      <c r="D161" s="151">
        <v>121</v>
      </c>
      <c r="E161" s="145"/>
      <c r="F161" s="146"/>
      <c r="G161" s="95"/>
    </row>
    <row r="162" spans="1:7">
      <c r="A162" s="148" t="s">
        <v>1538</v>
      </c>
      <c r="B162" s="149">
        <v>115041</v>
      </c>
      <c r="C162" s="150">
        <v>1216</v>
      </c>
      <c r="D162" s="151">
        <v>121</v>
      </c>
      <c r="E162" s="145"/>
      <c r="F162" s="146"/>
      <c r="G162" s="95"/>
    </row>
    <row r="163" spans="1:7">
      <c r="A163" s="148" t="s">
        <v>1249</v>
      </c>
      <c r="B163" s="149">
        <v>103236</v>
      </c>
      <c r="C163" s="150">
        <v>2252</v>
      </c>
      <c r="D163" s="151">
        <v>120</v>
      </c>
      <c r="E163" s="145"/>
      <c r="F163" s="146"/>
      <c r="G163" s="95"/>
    </row>
    <row r="164" spans="1:7">
      <c r="A164" s="148" t="s">
        <v>919</v>
      </c>
      <c r="B164" s="149">
        <v>113610</v>
      </c>
      <c r="C164" s="150">
        <v>506</v>
      </c>
      <c r="D164" s="151">
        <v>119</v>
      </c>
      <c r="E164" s="145"/>
      <c r="F164" s="146"/>
      <c r="G164" s="95"/>
    </row>
    <row r="165" spans="1:7">
      <c r="A165" s="148" t="s">
        <v>879</v>
      </c>
      <c r="B165" s="149">
        <v>122</v>
      </c>
      <c r="C165" s="150">
        <v>1195</v>
      </c>
      <c r="D165" s="151">
        <v>119</v>
      </c>
      <c r="E165" s="145"/>
      <c r="F165" s="146"/>
      <c r="G165" s="95"/>
    </row>
    <row r="166" spans="1:7">
      <c r="A166" s="148" t="s">
        <v>2349</v>
      </c>
      <c r="B166" s="149">
        <v>155718</v>
      </c>
      <c r="C166" s="150">
        <v>19650</v>
      </c>
      <c r="D166" s="151">
        <v>119</v>
      </c>
      <c r="E166" s="145"/>
      <c r="F166" s="146"/>
      <c r="G166" s="95"/>
    </row>
    <row r="167" spans="1:7">
      <c r="A167" s="148" t="s">
        <v>891</v>
      </c>
      <c r="B167" s="149">
        <v>110185</v>
      </c>
      <c r="C167" s="150">
        <v>1036</v>
      </c>
      <c r="D167" s="151">
        <v>116</v>
      </c>
      <c r="E167" s="145"/>
      <c r="F167" s="146"/>
      <c r="G167" s="95"/>
    </row>
    <row r="168" spans="1:7">
      <c r="A168" s="148" t="s">
        <v>2310</v>
      </c>
      <c r="B168" s="149">
        <v>157880</v>
      </c>
      <c r="C168" s="150">
        <v>12560</v>
      </c>
      <c r="D168" s="151">
        <v>116</v>
      </c>
      <c r="E168" s="145"/>
      <c r="F168" s="146"/>
      <c r="G168" s="95"/>
    </row>
    <row r="169" spans="1:7">
      <c r="A169" s="148" t="s">
        <v>2366</v>
      </c>
      <c r="B169" s="149">
        <v>156911</v>
      </c>
      <c r="C169" s="150">
        <v>7920</v>
      </c>
      <c r="D169" s="151">
        <v>115</v>
      </c>
      <c r="E169" s="145"/>
      <c r="F169" s="146"/>
      <c r="G169" s="95"/>
    </row>
    <row r="170" spans="1:7">
      <c r="A170" s="148" t="s">
        <v>1006</v>
      </c>
      <c r="B170" s="149">
        <v>109249</v>
      </c>
      <c r="C170" s="150">
        <v>113100</v>
      </c>
      <c r="D170" s="151">
        <v>114</v>
      </c>
      <c r="E170" s="145"/>
      <c r="F170" s="146"/>
      <c r="G170" s="95"/>
    </row>
    <row r="171" spans="1:7">
      <c r="A171" s="148" t="s">
        <v>2565</v>
      </c>
      <c r="B171" s="149">
        <v>14103</v>
      </c>
      <c r="C171" s="150">
        <v>279</v>
      </c>
      <c r="D171" s="151">
        <v>114</v>
      </c>
      <c r="E171" s="145"/>
      <c r="F171" s="146"/>
      <c r="G171" s="95"/>
    </row>
    <row r="172" spans="1:7">
      <c r="A172" s="148" t="s">
        <v>2085</v>
      </c>
      <c r="B172" s="149">
        <v>35137</v>
      </c>
      <c r="C172" s="150">
        <v>458</v>
      </c>
      <c r="D172" s="151">
        <v>114</v>
      </c>
      <c r="E172" s="145"/>
      <c r="F172" s="146"/>
      <c r="G172" s="95"/>
    </row>
    <row r="173" spans="1:7">
      <c r="A173" s="148" t="s">
        <v>1232</v>
      </c>
      <c r="B173" s="149">
        <v>110671</v>
      </c>
      <c r="C173" s="150">
        <v>252</v>
      </c>
      <c r="D173" s="151">
        <v>113</v>
      </c>
      <c r="E173" s="145"/>
      <c r="F173" s="146"/>
      <c r="G173" s="95"/>
    </row>
    <row r="174" spans="1:7">
      <c r="A174" s="148" t="s">
        <v>1548</v>
      </c>
      <c r="B174" s="149">
        <v>176122</v>
      </c>
      <c r="C174" s="150">
        <v>528</v>
      </c>
      <c r="D174" s="151">
        <v>113</v>
      </c>
      <c r="E174" s="145">
        <v>2</v>
      </c>
      <c r="F174" s="146"/>
      <c r="G174" s="95"/>
    </row>
    <row r="175" spans="1:7">
      <c r="A175" s="148" t="s">
        <v>1965</v>
      </c>
      <c r="B175" s="149">
        <v>105219</v>
      </c>
      <c r="C175" s="150">
        <v>1110</v>
      </c>
      <c r="D175" s="151">
        <v>112</v>
      </c>
      <c r="E175" s="145"/>
      <c r="F175" s="146"/>
      <c r="G175" s="95"/>
    </row>
    <row r="176" spans="1:7">
      <c r="A176" s="148" t="s">
        <v>922</v>
      </c>
      <c r="B176" s="149">
        <v>30248</v>
      </c>
      <c r="C176" s="150">
        <v>25700</v>
      </c>
      <c r="D176" s="151">
        <v>110</v>
      </c>
      <c r="E176" s="145"/>
      <c r="F176" s="146"/>
      <c r="G176" s="95"/>
    </row>
    <row r="177" spans="1:7">
      <c r="A177" s="148" t="s">
        <v>2225</v>
      </c>
      <c r="B177" s="149">
        <v>120</v>
      </c>
      <c r="C177" s="150">
        <v>1742</v>
      </c>
      <c r="D177" s="151">
        <v>108</v>
      </c>
      <c r="E177" s="145"/>
      <c r="F177" s="146"/>
      <c r="G177" s="95"/>
    </row>
    <row r="178" spans="1:7">
      <c r="A178" s="148" t="s">
        <v>697</v>
      </c>
      <c r="B178" s="149">
        <v>132592</v>
      </c>
      <c r="C178" s="150">
        <v>680</v>
      </c>
      <c r="D178" s="151">
        <v>107</v>
      </c>
      <c r="E178" s="145"/>
      <c r="F178" s="146"/>
      <c r="G178" s="95"/>
    </row>
    <row r="179" spans="1:7">
      <c r="A179" s="148" t="s">
        <v>915</v>
      </c>
      <c r="B179" s="149">
        <v>155746</v>
      </c>
      <c r="C179" s="150">
        <v>524</v>
      </c>
      <c r="D179" s="151">
        <v>106</v>
      </c>
      <c r="E179" s="145"/>
      <c r="F179" s="146"/>
      <c r="G179" s="95"/>
    </row>
    <row r="180" spans="1:7">
      <c r="A180" s="148" t="s">
        <v>2467</v>
      </c>
      <c r="B180" s="149">
        <v>2647</v>
      </c>
      <c r="C180" s="150">
        <v>1320</v>
      </c>
      <c r="D180" s="151">
        <v>106</v>
      </c>
      <c r="E180" s="145"/>
      <c r="F180" s="146"/>
      <c r="G180" s="95"/>
    </row>
    <row r="181" spans="1:7">
      <c r="A181" s="148" t="s">
        <v>1043</v>
      </c>
      <c r="B181" s="149">
        <v>65345</v>
      </c>
      <c r="C181" s="150">
        <v>1620</v>
      </c>
      <c r="D181" s="151">
        <v>105</v>
      </c>
      <c r="E181" s="145"/>
      <c r="F181" s="146"/>
      <c r="G181" s="95"/>
    </row>
    <row r="182" spans="1:7">
      <c r="A182" s="148" t="s">
        <v>923</v>
      </c>
      <c r="B182" s="149">
        <v>120024</v>
      </c>
      <c r="C182" s="150">
        <v>2486</v>
      </c>
      <c r="D182" s="151">
        <v>105</v>
      </c>
      <c r="E182" s="145"/>
      <c r="F182" s="146"/>
      <c r="G182" s="95"/>
    </row>
    <row r="183" spans="1:7">
      <c r="A183" s="148" t="s">
        <v>2305</v>
      </c>
      <c r="B183" s="149">
        <v>42861</v>
      </c>
      <c r="C183" s="150">
        <v>4130</v>
      </c>
      <c r="D183" s="151">
        <v>105</v>
      </c>
      <c r="E183" s="145"/>
      <c r="F183" s="146"/>
      <c r="G183" s="95"/>
    </row>
    <row r="184" spans="1:7">
      <c r="A184" s="138" t="s">
        <v>2527</v>
      </c>
      <c r="B184" s="139">
        <v>2160</v>
      </c>
      <c r="C184" s="140">
        <v>1672</v>
      </c>
      <c r="D184" s="143">
        <v>104</v>
      </c>
      <c r="E184" s="145"/>
      <c r="F184" s="146"/>
      <c r="G184" s="95"/>
    </row>
    <row r="185" spans="1:7">
      <c r="A185" s="138" t="s">
        <v>1438</v>
      </c>
      <c r="B185" s="139">
        <v>35111</v>
      </c>
      <c r="C185" s="140">
        <v>2324</v>
      </c>
      <c r="D185" s="143">
        <v>103</v>
      </c>
      <c r="E185" s="145"/>
      <c r="F185" s="146"/>
      <c r="G185" s="95"/>
    </row>
    <row r="186" spans="1:7">
      <c r="A186" s="138" t="s">
        <v>1703</v>
      </c>
      <c r="B186" s="139">
        <v>138922</v>
      </c>
      <c r="C186" s="140">
        <v>2630</v>
      </c>
      <c r="D186" s="143">
        <v>102</v>
      </c>
      <c r="E186" s="145"/>
      <c r="F186" s="146"/>
      <c r="G186" s="95"/>
    </row>
    <row r="187" spans="1:7">
      <c r="A187" s="138" t="s">
        <v>2340</v>
      </c>
      <c r="B187" s="139">
        <v>50165</v>
      </c>
      <c r="C187" s="140">
        <v>1925</v>
      </c>
      <c r="D187" s="143">
        <v>102</v>
      </c>
      <c r="E187" s="145"/>
      <c r="F187" s="146"/>
      <c r="G187" s="95"/>
    </row>
    <row r="188" spans="1:7">
      <c r="A188" s="138" t="s">
        <v>1157</v>
      </c>
      <c r="B188" s="139">
        <v>35286</v>
      </c>
      <c r="C188" s="140">
        <v>391</v>
      </c>
      <c r="D188" s="143">
        <v>100</v>
      </c>
      <c r="E188" s="145"/>
      <c r="F188" s="146"/>
      <c r="G188" s="95"/>
    </row>
    <row r="189" spans="1:7">
      <c r="A189" s="138" t="s">
        <v>1058</v>
      </c>
      <c r="B189" s="139">
        <v>135941</v>
      </c>
      <c r="C189" s="140">
        <v>1772</v>
      </c>
      <c r="D189" s="143">
        <v>100</v>
      </c>
      <c r="E189" s="145"/>
      <c r="F189" s="146"/>
      <c r="G189" s="95"/>
    </row>
    <row r="190" spans="1:7">
      <c r="A190" s="138" t="s">
        <v>2306</v>
      </c>
      <c r="B190" s="139">
        <v>31457</v>
      </c>
      <c r="C190" s="140">
        <v>6300</v>
      </c>
      <c r="D190" s="143">
        <v>100</v>
      </c>
      <c r="E190" s="145"/>
      <c r="F190" s="146"/>
      <c r="G190" s="95"/>
    </row>
    <row r="191" spans="1:7">
      <c r="A191" s="138" t="s">
        <v>2533</v>
      </c>
      <c r="B191" s="139">
        <v>137719</v>
      </c>
      <c r="C191" s="140">
        <v>1246</v>
      </c>
      <c r="D191" s="143">
        <v>99</v>
      </c>
      <c r="E191" s="145"/>
      <c r="F191" s="146"/>
      <c r="G191" s="95"/>
    </row>
    <row r="192" spans="1:7">
      <c r="A192" s="138" t="s">
        <v>703</v>
      </c>
      <c r="B192" s="139">
        <v>129090</v>
      </c>
      <c r="C192" s="140">
        <v>12300</v>
      </c>
      <c r="D192" s="143">
        <v>98</v>
      </c>
      <c r="E192" s="145"/>
      <c r="F192" s="146"/>
      <c r="G192" s="95"/>
    </row>
    <row r="193" spans="1:7">
      <c r="A193" s="138" t="s">
        <v>781</v>
      </c>
      <c r="B193" s="139">
        <v>86658</v>
      </c>
      <c r="C193" s="140">
        <v>6596</v>
      </c>
      <c r="D193" s="143">
        <v>98</v>
      </c>
      <c r="E193" s="145"/>
      <c r="F193" s="146"/>
      <c r="G193" s="95"/>
    </row>
    <row r="194" spans="1:7">
      <c r="A194" s="138" t="s">
        <v>1441</v>
      </c>
      <c r="B194" s="139">
        <v>79061</v>
      </c>
      <c r="C194" s="140">
        <v>1184</v>
      </c>
      <c r="D194" s="143">
        <v>98</v>
      </c>
      <c r="E194" s="145"/>
      <c r="F194" s="146"/>
      <c r="G194" s="95"/>
    </row>
    <row r="195" spans="1:7">
      <c r="A195" s="138" t="s">
        <v>113</v>
      </c>
      <c r="B195" s="139">
        <v>661</v>
      </c>
      <c r="C195" s="140">
        <v>1215</v>
      </c>
      <c r="D195" s="143">
        <v>97</v>
      </c>
      <c r="E195" s="145"/>
      <c r="F195" s="146"/>
      <c r="G195" s="95"/>
    </row>
    <row r="196" spans="1:7">
      <c r="A196" s="138" t="s">
        <v>998</v>
      </c>
      <c r="B196" s="139">
        <v>73225</v>
      </c>
      <c r="C196" s="140">
        <v>19600</v>
      </c>
      <c r="D196" s="143">
        <v>97</v>
      </c>
      <c r="E196" s="145"/>
      <c r="F196" s="146"/>
      <c r="G196" s="95"/>
    </row>
    <row r="197" spans="1:7">
      <c r="A197" s="138" t="s">
        <v>1337</v>
      </c>
      <c r="B197" s="139">
        <v>1969</v>
      </c>
      <c r="C197" s="140">
        <v>3076</v>
      </c>
      <c r="D197" s="143">
        <v>97</v>
      </c>
      <c r="E197" s="145"/>
      <c r="F197" s="146"/>
      <c r="G197" s="95"/>
    </row>
    <row r="198" spans="1:7">
      <c r="A198" s="138" t="s">
        <v>1275</v>
      </c>
      <c r="B198" s="139">
        <v>124946</v>
      </c>
      <c r="C198" s="140">
        <v>1707</v>
      </c>
      <c r="D198" s="143">
        <v>96</v>
      </c>
      <c r="E198" s="145"/>
      <c r="F198" s="146"/>
      <c r="G198" s="95"/>
    </row>
    <row r="199" spans="1:7">
      <c r="A199" s="138" t="s">
        <v>1279</v>
      </c>
      <c r="B199" s="139">
        <v>7487</v>
      </c>
      <c r="C199" s="140">
        <v>814</v>
      </c>
      <c r="D199" s="143">
        <v>96</v>
      </c>
      <c r="E199" s="145">
        <v>2</v>
      </c>
      <c r="F199" s="146"/>
      <c r="G199" s="95"/>
    </row>
    <row r="200" spans="1:7">
      <c r="A200" s="138" t="s">
        <v>1013</v>
      </c>
      <c r="B200" s="139">
        <v>1359</v>
      </c>
      <c r="C200" s="140">
        <v>684</v>
      </c>
      <c r="D200" s="143">
        <v>96</v>
      </c>
      <c r="E200" s="145"/>
      <c r="F200" s="146"/>
      <c r="G200" s="95"/>
    </row>
    <row r="201" spans="1:7">
      <c r="A201" s="138" t="s">
        <v>1325</v>
      </c>
      <c r="B201" s="139">
        <v>9314</v>
      </c>
      <c r="C201" s="140">
        <v>29631</v>
      </c>
      <c r="D201" s="143">
        <v>96</v>
      </c>
      <c r="E201" s="145"/>
      <c r="F201" s="146"/>
      <c r="G201" s="95"/>
    </row>
    <row r="202" spans="1:7">
      <c r="A202" s="138" t="s">
        <v>924</v>
      </c>
      <c r="B202" s="139">
        <v>155888</v>
      </c>
      <c r="C202" s="140">
        <v>554</v>
      </c>
      <c r="D202" s="143">
        <v>95</v>
      </c>
      <c r="E202" s="145"/>
      <c r="F202" s="146"/>
      <c r="G202" s="95"/>
    </row>
    <row r="203" spans="1:7">
      <c r="A203" s="138" t="s">
        <v>1975</v>
      </c>
      <c r="B203" s="139">
        <v>278</v>
      </c>
      <c r="C203" s="140">
        <v>329</v>
      </c>
      <c r="D203" s="143">
        <v>95</v>
      </c>
      <c r="E203" s="145"/>
      <c r="F203" s="146"/>
      <c r="G203" s="95"/>
    </row>
    <row r="204" spans="1:7">
      <c r="A204" s="138" t="s">
        <v>569</v>
      </c>
      <c r="B204" s="139">
        <v>99855</v>
      </c>
      <c r="C204" s="140">
        <v>597</v>
      </c>
      <c r="D204" s="143">
        <v>94</v>
      </c>
      <c r="E204" s="145"/>
      <c r="F204" s="146"/>
      <c r="G204" s="95"/>
    </row>
    <row r="205" spans="1:7">
      <c r="A205" s="138" t="s">
        <v>456</v>
      </c>
      <c r="B205" s="139">
        <v>177009</v>
      </c>
      <c r="C205" s="140">
        <v>986</v>
      </c>
      <c r="D205" s="143">
        <v>94</v>
      </c>
      <c r="E205" s="145"/>
      <c r="F205" s="146"/>
      <c r="G205" s="95"/>
    </row>
    <row r="206" spans="1:7">
      <c r="A206" s="138" t="s">
        <v>2630</v>
      </c>
      <c r="B206" s="139">
        <v>65580</v>
      </c>
      <c r="C206" s="140">
        <v>15000</v>
      </c>
      <c r="D206" s="143">
        <v>94</v>
      </c>
      <c r="E206" s="145"/>
      <c r="F206" s="146"/>
      <c r="G206" s="95"/>
    </row>
    <row r="207" spans="1:7">
      <c r="A207" s="138" t="s">
        <v>2113</v>
      </c>
      <c r="B207" s="139">
        <v>82521</v>
      </c>
      <c r="C207" s="140">
        <v>261</v>
      </c>
      <c r="D207" s="143">
        <v>94</v>
      </c>
      <c r="E207" s="145">
        <v>2</v>
      </c>
      <c r="F207" s="146"/>
      <c r="G207" s="95"/>
    </row>
    <row r="208" spans="1:7">
      <c r="A208" s="138" t="s">
        <v>2303</v>
      </c>
      <c r="B208" s="139">
        <v>439</v>
      </c>
      <c r="C208" s="140">
        <v>1061</v>
      </c>
      <c r="D208" s="143">
        <v>94</v>
      </c>
      <c r="E208" s="145"/>
      <c r="F208" s="146"/>
      <c r="G208" s="95"/>
    </row>
    <row r="209" spans="1:7">
      <c r="A209" s="138" t="s">
        <v>824</v>
      </c>
      <c r="B209" s="139">
        <v>48962</v>
      </c>
      <c r="C209" s="140">
        <v>468</v>
      </c>
      <c r="D209" s="143">
        <v>93</v>
      </c>
      <c r="E209" s="145"/>
      <c r="F209" s="146"/>
      <c r="G209" s="95"/>
    </row>
    <row r="210" spans="1:7">
      <c r="A210" s="138" t="s">
        <v>892</v>
      </c>
      <c r="B210" s="139">
        <v>17</v>
      </c>
      <c r="C210" s="140">
        <v>23900</v>
      </c>
      <c r="D210" s="143">
        <v>93</v>
      </c>
      <c r="E210" s="145"/>
      <c r="F210" s="146"/>
      <c r="G210" s="95"/>
    </row>
    <row r="211" spans="1:7">
      <c r="A211" s="138" t="s">
        <v>2005</v>
      </c>
      <c r="B211" s="139">
        <v>129853</v>
      </c>
      <c r="C211" s="140">
        <v>483</v>
      </c>
      <c r="D211" s="143">
        <v>93</v>
      </c>
      <c r="E211" s="145"/>
      <c r="F211" s="146"/>
      <c r="G211" s="95"/>
    </row>
    <row r="212" spans="1:7">
      <c r="A212" s="138" t="s">
        <v>2583</v>
      </c>
      <c r="B212" s="139">
        <v>77267</v>
      </c>
      <c r="C212" s="140">
        <v>1066</v>
      </c>
      <c r="D212" s="143">
        <v>92</v>
      </c>
      <c r="E212" s="145"/>
      <c r="F212" s="146"/>
      <c r="G212" s="95"/>
    </row>
    <row r="213" spans="1:7">
      <c r="A213" s="138" t="s">
        <v>1987</v>
      </c>
      <c r="B213" s="139">
        <v>178450</v>
      </c>
      <c r="C213" s="140">
        <v>634</v>
      </c>
      <c r="D213" s="143">
        <v>92</v>
      </c>
      <c r="E213" s="145"/>
      <c r="F213" s="146"/>
      <c r="G213" s="95"/>
    </row>
    <row r="214" spans="1:7">
      <c r="A214" s="138" t="s">
        <v>1171</v>
      </c>
      <c r="B214" s="139">
        <v>5284</v>
      </c>
      <c r="C214" s="140">
        <v>18400</v>
      </c>
      <c r="D214" s="143">
        <v>91</v>
      </c>
      <c r="E214" s="145"/>
      <c r="F214" s="146"/>
      <c r="G214" s="95"/>
    </row>
    <row r="215" spans="1:7">
      <c r="A215" s="138" t="s">
        <v>1234</v>
      </c>
      <c r="B215" s="139">
        <v>209362</v>
      </c>
      <c r="C215" s="140">
        <v>5372</v>
      </c>
      <c r="D215" s="143">
        <v>91</v>
      </c>
      <c r="E215" s="145"/>
      <c r="F215" s="146"/>
      <c r="G215" s="95"/>
    </row>
    <row r="216" spans="1:7">
      <c r="A216" s="138" t="s">
        <v>1134</v>
      </c>
      <c r="B216" s="139">
        <v>130171</v>
      </c>
      <c r="C216" s="140">
        <v>5710</v>
      </c>
      <c r="D216" s="143">
        <v>91</v>
      </c>
      <c r="E216" s="145"/>
      <c r="F216" s="146"/>
      <c r="G216" s="95"/>
    </row>
    <row r="217" spans="1:7">
      <c r="A217" s="138" t="s">
        <v>1344</v>
      </c>
      <c r="B217" s="139">
        <v>67911</v>
      </c>
      <c r="C217" s="140">
        <v>1087</v>
      </c>
      <c r="D217" s="143">
        <v>91</v>
      </c>
      <c r="E217" s="145"/>
      <c r="F217" s="146"/>
      <c r="G217" s="95"/>
    </row>
    <row r="218" spans="1:7">
      <c r="A218" s="138" t="s">
        <v>1446</v>
      </c>
      <c r="B218" s="139">
        <v>3042</v>
      </c>
      <c r="C218" s="140">
        <v>3680</v>
      </c>
      <c r="D218" s="143">
        <v>91</v>
      </c>
      <c r="E218" s="145"/>
      <c r="F218" s="146"/>
      <c r="G218" s="95"/>
    </row>
  </sheetData>
  <autoFilter ref="A1:G218" xr:uid="{404A4CD2-58B3-4ADE-AE5E-E0FFDD7A1687}">
    <sortState xmlns:xlrd2="http://schemas.microsoft.com/office/spreadsheetml/2017/richdata2" ref="A2:G218">
      <sortCondition sortBy="cellColor" ref="A1:A218" dxfId="0"/>
    </sortState>
  </autoFilter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4C70-256A-4635-884B-9AD2396F12C3}">
  <dimension ref="A1:AA71"/>
  <sheetViews>
    <sheetView workbookViewId="0">
      <selection activeCell="C2" sqref="C2"/>
    </sheetView>
  </sheetViews>
  <sheetFormatPr defaultColWidth="8.85546875" defaultRowHeight="15"/>
  <cols>
    <col min="1" max="1" width="10.42578125" bestFit="1" customWidth="1"/>
    <col min="8" max="8" width="10.140625" bestFit="1" customWidth="1"/>
    <col min="13" max="13" width="10.140625" bestFit="1" customWidth="1"/>
    <col min="18" max="18" width="10.140625" bestFit="1" customWidth="1"/>
    <col min="23" max="23" width="10.140625" bestFit="1" customWidth="1"/>
  </cols>
  <sheetData>
    <row r="1" spans="1:27" ht="33.950000000000003" thickTop="1" thickBot="1">
      <c r="A1" s="161" t="s">
        <v>6782</v>
      </c>
      <c r="B1" s="162" t="s">
        <v>3588</v>
      </c>
      <c r="C1" s="162" t="s">
        <v>3591</v>
      </c>
      <c r="D1" s="162" t="s">
        <v>3592</v>
      </c>
      <c r="E1" s="162" t="s">
        <v>6783</v>
      </c>
      <c r="F1" s="162" t="s">
        <v>6784</v>
      </c>
      <c r="G1" s="163" t="s">
        <v>6785</v>
      </c>
      <c r="H1" s="161" t="s">
        <v>6782</v>
      </c>
      <c r="I1" s="162" t="s">
        <v>3588</v>
      </c>
      <c r="J1" s="162" t="s">
        <v>3591</v>
      </c>
      <c r="K1" s="162" t="s">
        <v>3592</v>
      </c>
      <c r="L1" s="164" t="s">
        <v>6783</v>
      </c>
      <c r="M1" s="161" t="s">
        <v>6782</v>
      </c>
      <c r="N1" s="162" t="s">
        <v>3588</v>
      </c>
      <c r="O1" s="162" t="s">
        <v>3591</v>
      </c>
      <c r="P1" s="162" t="s">
        <v>3592</v>
      </c>
      <c r="Q1" s="164" t="s">
        <v>6783</v>
      </c>
      <c r="R1" s="161" t="s">
        <v>6782</v>
      </c>
      <c r="S1" s="162" t="s">
        <v>3588</v>
      </c>
      <c r="T1" s="162" t="s">
        <v>3591</v>
      </c>
      <c r="U1" s="162" t="s">
        <v>3592</v>
      </c>
      <c r="V1" s="164" t="s">
        <v>6783</v>
      </c>
      <c r="W1" s="161" t="s">
        <v>6782</v>
      </c>
      <c r="X1" s="162" t="s">
        <v>3588</v>
      </c>
      <c r="Y1" s="162" t="s">
        <v>3591</v>
      </c>
      <c r="Z1" s="162" t="s">
        <v>3592</v>
      </c>
      <c r="AA1" s="164" t="s">
        <v>6783</v>
      </c>
    </row>
    <row r="2" spans="1:27" ht="15.95" thickTop="1">
      <c r="A2" s="157" t="s">
        <v>1154</v>
      </c>
      <c r="B2" s="158">
        <v>35148</v>
      </c>
      <c r="C2" s="159">
        <v>14916</v>
      </c>
      <c r="D2" s="155">
        <v>1011</v>
      </c>
      <c r="E2" s="156">
        <v>3</v>
      </c>
      <c r="F2" s="160"/>
      <c r="G2" s="160"/>
      <c r="H2" s="148" t="s">
        <v>2004</v>
      </c>
      <c r="I2" s="149">
        <v>133777</v>
      </c>
      <c r="J2" s="150">
        <v>83830</v>
      </c>
      <c r="K2" s="151">
        <v>615</v>
      </c>
      <c r="L2" s="152"/>
      <c r="M2" s="148" t="s">
        <v>2451</v>
      </c>
      <c r="N2" s="149">
        <v>120004</v>
      </c>
      <c r="O2" s="150">
        <v>254100</v>
      </c>
      <c r="P2" s="151">
        <v>665</v>
      </c>
      <c r="Q2" s="152"/>
      <c r="R2" s="148" t="s">
        <v>2572</v>
      </c>
      <c r="S2" s="149">
        <v>178499</v>
      </c>
      <c r="T2" s="150">
        <v>14093</v>
      </c>
      <c r="U2" s="151">
        <v>535</v>
      </c>
      <c r="V2" s="152"/>
      <c r="W2" s="157" t="s">
        <v>2409</v>
      </c>
      <c r="X2" s="158">
        <v>111</v>
      </c>
      <c r="Y2" s="159">
        <v>6246</v>
      </c>
      <c r="Z2" s="155">
        <v>734</v>
      </c>
      <c r="AA2" s="156"/>
    </row>
    <row r="3" spans="1:27">
      <c r="A3" s="148" t="s">
        <v>2116</v>
      </c>
      <c r="B3" s="149">
        <v>65585</v>
      </c>
      <c r="C3" s="150">
        <v>1691</v>
      </c>
      <c r="D3" s="151">
        <v>502</v>
      </c>
      <c r="E3" s="152"/>
      <c r="F3" s="153"/>
      <c r="G3" s="154"/>
      <c r="H3" s="148" t="s">
        <v>2452</v>
      </c>
      <c r="I3" s="149">
        <v>2456</v>
      </c>
      <c r="J3" s="150">
        <v>10555</v>
      </c>
      <c r="K3" s="151">
        <v>514</v>
      </c>
      <c r="L3" s="152"/>
      <c r="M3" s="148" t="s">
        <v>2418</v>
      </c>
      <c r="N3" s="149">
        <v>54</v>
      </c>
      <c r="O3" s="150">
        <v>12707</v>
      </c>
      <c r="P3" s="151">
        <v>492</v>
      </c>
      <c r="Q3" s="152"/>
      <c r="R3" s="148" t="s">
        <v>2427</v>
      </c>
      <c r="S3" s="149">
        <v>1459</v>
      </c>
      <c r="T3" s="150">
        <v>7589</v>
      </c>
      <c r="U3" s="151">
        <v>494</v>
      </c>
      <c r="V3" s="152"/>
      <c r="W3" s="148" t="s">
        <v>2077</v>
      </c>
      <c r="X3" s="149">
        <v>129751</v>
      </c>
      <c r="Y3" s="150">
        <v>15388</v>
      </c>
      <c r="Z3" s="151">
        <v>687</v>
      </c>
      <c r="AA3" s="152"/>
    </row>
    <row r="4" spans="1:27">
      <c r="A4" s="148" t="s">
        <v>809</v>
      </c>
      <c r="B4" s="149">
        <v>100875</v>
      </c>
      <c r="C4" s="150">
        <v>7366</v>
      </c>
      <c r="D4" s="151">
        <v>485</v>
      </c>
      <c r="E4" s="152"/>
      <c r="F4" s="153"/>
      <c r="G4" s="154"/>
      <c r="H4" s="148" t="s">
        <v>1160</v>
      </c>
      <c r="I4" s="149">
        <v>110451</v>
      </c>
      <c r="J4" s="150">
        <v>1129</v>
      </c>
      <c r="K4" s="151">
        <v>485</v>
      </c>
      <c r="L4" s="152"/>
      <c r="M4" s="148" t="s">
        <v>995</v>
      </c>
      <c r="N4" s="149">
        <v>112169</v>
      </c>
      <c r="O4" s="150">
        <v>6785</v>
      </c>
      <c r="P4" s="151">
        <v>466</v>
      </c>
      <c r="Q4" s="152"/>
      <c r="R4" s="148" t="s">
        <v>2627</v>
      </c>
      <c r="S4" s="149">
        <v>128030</v>
      </c>
      <c r="T4" s="150">
        <v>5484</v>
      </c>
      <c r="U4" s="151">
        <v>454</v>
      </c>
      <c r="V4" s="152"/>
      <c r="W4" s="148" t="s">
        <v>1496</v>
      </c>
      <c r="X4" s="149">
        <v>140229</v>
      </c>
      <c r="Y4" s="150">
        <v>21920</v>
      </c>
      <c r="Z4" s="151">
        <v>443</v>
      </c>
      <c r="AA4" s="152"/>
    </row>
    <row r="5" spans="1:27">
      <c r="A5" s="148" t="s">
        <v>2081</v>
      </c>
      <c r="B5" s="149">
        <v>113622</v>
      </c>
      <c r="C5" s="150">
        <v>7678</v>
      </c>
      <c r="D5" s="151">
        <v>473</v>
      </c>
      <c r="E5" s="152"/>
      <c r="F5" s="153"/>
      <c r="G5" s="154"/>
      <c r="H5" s="148" t="s">
        <v>1151</v>
      </c>
      <c r="I5" s="149">
        <v>135743</v>
      </c>
      <c r="J5" s="150">
        <v>78550</v>
      </c>
      <c r="K5" s="151">
        <v>467</v>
      </c>
      <c r="L5" s="152"/>
      <c r="M5" s="148" t="s">
        <v>769</v>
      </c>
      <c r="N5" s="149">
        <v>135227</v>
      </c>
      <c r="O5" s="150">
        <v>11995</v>
      </c>
      <c r="P5" s="151">
        <v>404</v>
      </c>
      <c r="Q5" s="152"/>
      <c r="R5" s="148" t="s">
        <v>1159</v>
      </c>
      <c r="S5" s="149">
        <v>100107</v>
      </c>
      <c r="T5" s="150">
        <v>23280</v>
      </c>
      <c r="U5" s="151">
        <v>438</v>
      </c>
      <c r="V5" s="152"/>
      <c r="W5" s="148" t="s">
        <v>773</v>
      </c>
      <c r="X5" s="149">
        <v>112566</v>
      </c>
      <c r="Y5" s="150">
        <v>184200</v>
      </c>
      <c r="Z5" s="151">
        <v>427</v>
      </c>
      <c r="AA5" s="152"/>
    </row>
    <row r="6" spans="1:27">
      <c r="A6" s="148" t="s">
        <v>807</v>
      </c>
      <c r="B6" s="149">
        <v>125897</v>
      </c>
      <c r="C6" s="150">
        <v>882</v>
      </c>
      <c r="D6" s="151">
        <v>431</v>
      </c>
      <c r="E6" s="152"/>
      <c r="F6" s="153"/>
      <c r="G6" s="154"/>
      <c r="H6" s="148" t="s">
        <v>1587</v>
      </c>
      <c r="I6" s="149">
        <v>157068</v>
      </c>
      <c r="J6" s="150">
        <v>8820</v>
      </c>
      <c r="K6" s="151">
        <v>432</v>
      </c>
      <c r="L6" s="152"/>
      <c r="M6" s="148" t="s">
        <v>768</v>
      </c>
      <c r="N6" s="149">
        <v>113611</v>
      </c>
      <c r="O6" s="150">
        <v>4025</v>
      </c>
      <c r="P6" s="151">
        <v>380</v>
      </c>
      <c r="Q6" s="152"/>
      <c r="R6" s="148" t="s">
        <v>2414</v>
      </c>
      <c r="S6" s="149">
        <v>428</v>
      </c>
      <c r="T6" s="150">
        <v>9355</v>
      </c>
      <c r="U6" s="151">
        <v>405</v>
      </c>
      <c r="V6" s="152"/>
      <c r="W6" s="148" t="s">
        <v>1448</v>
      </c>
      <c r="X6" s="149">
        <v>100955</v>
      </c>
      <c r="Y6" s="150">
        <v>5839</v>
      </c>
      <c r="Z6" s="151">
        <v>393</v>
      </c>
      <c r="AA6" s="152"/>
    </row>
    <row r="7" spans="1:27">
      <c r="A7" s="148" t="s">
        <v>2620</v>
      </c>
      <c r="B7" s="149">
        <v>100907</v>
      </c>
      <c r="C7" s="150">
        <v>19429</v>
      </c>
      <c r="D7" s="151">
        <v>394</v>
      </c>
      <c r="E7" s="152"/>
      <c r="F7" s="153"/>
      <c r="G7" s="154"/>
      <c r="H7" s="148" t="s">
        <v>1289</v>
      </c>
      <c r="I7" s="149">
        <v>225537</v>
      </c>
      <c r="J7" s="150">
        <v>7665</v>
      </c>
      <c r="K7" s="151">
        <v>399</v>
      </c>
      <c r="L7" s="152"/>
      <c r="M7" s="148" t="s">
        <v>2579</v>
      </c>
      <c r="N7" s="149">
        <v>101321</v>
      </c>
      <c r="O7" s="150">
        <v>6415</v>
      </c>
      <c r="P7" s="151">
        <v>367</v>
      </c>
      <c r="Q7" s="152"/>
      <c r="R7" s="148" t="s">
        <v>2134</v>
      </c>
      <c r="S7" s="149">
        <v>123728</v>
      </c>
      <c r="T7" s="150">
        <v>12806</v>
      </c>
      <c r="U7" s="151">
        <v>384</v>
      </c>
      <c r="V7" s="152"/>
      <c r="W7" s="148" t="s">
        <v>455</v>
      </c>
      <c r="X7" s="149">
        <v>100771</v>
      </c>
      <c r="Y7" s="150">
        <v>4074</v>
      </c>
      <c r="Z7" s="151">
        <v>374</v>
      </c>
      <c r="AA7" s="152"/>
    </row>
    <row r="8" spans="1:27">
      <c r="A8" s="148" t="s">
        <v>2454</v>
      </c>
      <c r="B8" s="149">
        <v>118779</v>
      </c>
      <c r="C8" s="150">
        <v>56850</v>
      </c>
      <c r="D8" s="151">
        <v>377</v>
      </c>
      <c r="E8" s="152"/>
      <c r="F8" s="153"/>
      <c r="G8" s="154"/>
      <c r="H8" s="148" t="s">
        <v>2076</v>
      </c>
      <c r="I8" s="149">
        <v>138405</v>
      </c>
      <c r="J8" s="150">
        <v>4217</v>
      </c>
      <c r="K8" s="151">
        <v>379</v>
      </c>
      <c r="L8" s="152"/>
      <c r="M8" s="148" t="s">
        <v>2456</v>
      </c>
      <c r="N8" s="149">
        <v>108869</v>
      </c>
      <c r="O8" s="150">
        <v>620800</v>
      </c>
      <c r="P8" s="151">
        <v>346</v>
      </c>
      <c r="Q8" s="152"/>
      <c r="R8" s="148" t="s">
        <v>1169</v>
      </c>
      <c r="S8" s="149">
        <v>12747</v>
      </c>
      <c r="T8" s="150">
        <v>4090</v>
      </c>
      <c r="U8" s="151">
        <v>373</v>
      </c>
      <c r="V8" s="152"/>
      <c r="W8" s="148" t="s">
        <v>1266</v>
      </c>
      <c r="X8" s="149">
        <v>120003</v>
      </c>
      <c r="Y8" s="150">
        <v>25598</v>
      </c>
      <c r="Z8" s="151">
        <v>351</v>
      </c>
      <c r="AA8" s="152"/>
    </row>
    <row r="9" spans="1:27">
      <c r="A9" s="148" t="s">
        <v>2117</v>
      </c>
      <c r="B9" s="149">
        <v>158212</v>
      </c>
      <c r="C9" s="150">
        <v>3793</v>
      </c>
      <c r="D9" s="151">
        <v>340</v>
      </c>
      <c r="E9" s="152"/>
      <c r="F9" s="153"/>
      <c r="G9" s="154"/>
      <c r="H9" s="148" t="s">
        <v>2119</v>
      </c>
      <c r="I9" s="149">
        <v>566</v>
      </c>
      <c r="J9" s="150">
        <v>16850</v>
      </c>
      <c r="K9" s="151">
        <v>363</v>
      </c>
      <c r="L9" s="152"/>
      <c r="M9" s="148" t="s">
        <v>1964</v>
      </c>
      <c r="N9" s="149">
        <v>113615</v>
      </c>
      <c r="O9" s="150">
        <v>6942</v>
      </c>
      <c r="P9" s="151">
        <v>328</v>
      </c>
      <c r="Q9" s="152"/>
      <c r="R9" s="148" t="s">
        <v>1184</v>
      </c>
      <c r="S9" s="149">
        <v>114795</v>
      </c>
      <c r="T9" s="150">
        <v>3896</v>
      </c>
      <c r="U9" s="151">
        <v>348</v>
      </c>
      <c r="V9" s="152"/>
      <c r="W9" s="148" t="s">
        <v>2484</v>
      </c>
      <c r="X9" s="149">
        <v>130558</v>
      </c>
      <c r="Y9" s="150">
        <v>2661</v>
      </c>
      <c r="Z9" s="151">
        <v>334</v>
      </c>
      <c r="AA9" s="152"/>
    </row>
    <row r="10" spans="1:27">
      <c r="A10" s="148" t="s">
        <v>2370</v>
      </c>
      <c r="B10" s="149">
        <v>129854</v>
      </c>
      <c r="C10" s="150">
        <v>4162</v>
      </c>
      <c r="D10" s="151">
        <v>331</v>
      </c>
      <c r="E10" s="152"/>
      <c r="F10" s="153"/>
      <c r="G10" s="154"/>
      <c r="H10" s="148" t="s">
        <v>2008</v>
      </c>
      <c r="I10" s="149">
        <v>129750</v>
      </c>
      <c r="J10" s="150">
        <v>4719</v>
      </c>
      <c r="K10" s="151">
        <v>357</v>
      </c>
      <c r="L10" s="152"/>
      <c r="M10" s="148" t="s">
        <v>1231</v>
      </c>
      <c r="N10" s="149">
        <v>127720</v>
      </c>
      <c r="O10" s="150">
        <v>8629</v>
      </c>
      <c r="P10" s="151">
        <v>311</v>
      </c>
      <c r="Q10" s="152"/>
      <c r="R10" s="148" t="s">
        <v>1372</v>
      </c>
      <c r="S10" s="149">
        <v>42860</v>
      </c>
      <c r="T10" s="150">
        <v>16041</v>
      </c>
      <c r="U10" s="151">
        <v>332</v>
      </c>
      <c r="V10" s="152"/>
      <c r="W10" s="148" t="s">
        <v>883</v>
      </c>
      <c r="X10" s="149">
        <v>127395</v>
      </c>
      <c r="Y10" s="150">
        <v>3379</v>
      </c>
      <c r="Z10" s="151">
        <v>311</v>
      </c>
      <c r="AA10" s="152"/>
    </row>
    <row r="11" spans="1:27">
      <c r="A11" s="148" t="s">
        <v>813</v>
      </c>
      <c r="B11" s="149">
        <v>106272</v>
      </c>
      <c r="C11" s="150">
        <v>1190</v>
      </c>
      <c r="D11" s="151">
        <v>311</v>
      </c>
      <c r="E11" s="152"/>
      <c r="F11" s="153"/>
      <c r="G11" s="154"/>
      <c r="H11" s="148" t="s">
        <v>815</v>
      </c>
      <c r="I11" s="149">
        <v>129752</v>
      </c>
      <c r="J11" s="150">
        <v>5112</v>
      </c>
      <c r="K11" s="151">
        <v>337</v>
      </c>
      <c r="L11" s="152"/>
      <c r="M11" s="148" t="s">
        <v>1124</v>
      </c>
      <c r="N11" s="149">
        <v>1001</v>
      </c>
      <c r="O11" s="150">
        <v>1730</v>
      </c>
      <c r="P11" s="151">
        <v>301</v>
      </c>
      <c r="Q11" s="152"/>
      <c r="R11" s="148" t="s">
        <v>2424</v>
      </c>
      <c r="S11" s="149">
        <v>72893</v>
      </c>
      <c r="T11" s="150">
        <v>6418</v>
      </c>
      <c r="U11" s="151">
        <v>312</v>
      </c>
      <c r="V11" s="152"/>
      <c r="W11" s="148" t="s">
        <v>2011</v>
      </c>
      <c r="X11" s="149">
        <v>570</v>
      </c>
      <c r="Y11" s="150">
        <v>2702</v>
      </c>
      <c r="Z11" s="151">
        <v>297</v>
      </c>
      <c r="AA11" s="152"/>
    </row>
    <row r="12" spans="1:27">
      <c r="A12" s="148" t="s">
        <v>1117</v>
      </c>
      <c r="B12" s="149">
        <v>129167</v>
      </c>
      <c r="C12" s="150">
        <v>1735</v>
      </c>
      <c r="D12" s="151">
        <v>302</v>
      </c>
      <c r="E12" s="152"/>
      <c r="F12" s="153"/>
      <c r="G12" s="154"/>
      <c r="H12" s="148" t="s">
        <v>2521</v>
      </c>
      <c r="I12" s="149">
        <v>107042</v>
      </c>
      <c r="J12" s="150">
        <v>81500</v>
      </c>
      <c r="K12" s="151">
        <v>311</v>
      </c>
      <c r="L12" s="152"/>
      <c r="M12" s="148" t="s">
        <v>2079</v>
      </c>
      <c r="N12" s="149">
        <v>173454</v>
      </c>
      <c r="O12" s="150">
        <v>65500</v>
      </c>
      <c r="P12" s="151">
        <v>296</v>
      </c>
      <c r="Q12" s="152">
        <v>2</v>
      </c>
      <c r="R12" s="148" t="s">
        <v>2115</v>
      </c>
      <c r="S12" s="149">
        <v>137591</v>
      </c>
      <c r="T12" s="150">
        <v>3462</v>
      </c>
      <c r="U12" s="151">
        <v>311</v>
      </c>
      <c r="V12" s="152"/>
      <c r="W12" s="148" t="s">
        <v>1453</v>
      </c>
      <c r="X12" s="149">
        <v>173075</v>
      </c>
      <c r="Y12" s="150">
        <v>2218</v>
      </c>
      <c r="Z12" s="151">
        <v>277</v>
      </c>
      <c r="AA12" s="152"/>
    </row>
    <row r="13" spans="1:27">
      <c r="A13" s="148" t="s">
        <v>2417</v>
      </c>
      <c r="B13" s="149">
        <v>118440</v>
      </c>
      <c r="C13" s="150">
        <v>2771</v>
      </c>
      <c r="D13" s="151">
        <v>292</v>
      </c>
      <c r="E13" s="152"/>
      <c r="F13" s="153"/>
      <c r="G13" s="154"/>
      <c r="H13" s="148" t="s">
        <v>151</v>
      </c>
      <c r="I13" s="149">
        <v>177263</v>
      </c>
      <c r="J13" s="150">
        <v>3855</v>
      </c>
      <c r="K13" s="151">
        <v>300</v>
      </c>
      <c r="L13" s="152"/>
      <c r="M13" s="148" t="s">
        <v>926</v>
      </c>
      <c r="N13" s="149">
        <v>42859</v>
      </c>
      <c r="O13" s="150">
        <v>12458</v>
      </c>
      <c r="P13" s="151">
        <v>275</v>
      </c>
      <c r="Q13" s="152"/>
      <c r="R13" s="148" t="s">
        <v>492</v>
      </c>
      <c r="S13" s="149">
        <v>178640</v>
      </c>
      <c r="T13" s="150">
        <v>1944</v>
      </c>
      <c r="U13" s="151">
        <v>297</v>
      </c>
      <c r="V13" s="152"/>
      <c r="W13" s="148" t="s">
        <v>2625</v>
      </c>
      <c r="X13" s="149">
        <v>25814</v>
      </c>
      <c r="Y13" s="150">
        <v>53646</v>
      </c>
      <c r="Z13" s="151">
        <v>263</v>
      </c>
      <c r="AA13" s="152"/>
    </row>
    <row r="14" spans="1:27">
      <c r="A14" s="148" t="s">
        <v>1121</v>
      </c>
      <c r="B14" s="149">
        <v>138553</v>
      </c>
      <c r="C14" s="150">
        <v>58400</v>
      </c>
      <c r="D14" s="151">
        <v>286</v>
      </c>
      <c r="E14" s="152"/>
      <c r="F14" s="153"/>
      <c r="G14" s="154"/>
      <c r="H14" s="148" t="s">
        <v>2623</v>
      </c>
      <c r="I14" s="149">
        <v>143835</v>
      </c>
      <c r="J14" s="150">
        <v>916</v>
      </c>
      <c r="K14" s="151">
        <v>285</v>
      </c>
      <c r="L14" s="152"/>
      <c r="M14" s="148" t="s">
        <v>2118</v>
      </c>
      <c r="N14" s="149">
        <v>60318</v>
      </c>
      <c r="O14" s="150">
        <v>48600</v>
      </c>
      <c r="P14" s="151">
        <v>257</v>
      </c>
      <c r="Q14" s="152"/>
      <c r="R14" s="148" t="s">
        <v>934</v>
      </c>
      <c r="S14" s="149">
        <v>136385</v>
      </c>
      <c r="T14" s="150">
        <v>19305</v>
      </c>
      <c r="U14" s="151">
        <v>276</v>
      </c>
      <c r="V14" s="152"/>
      <c r="W14" s="148" t="s">
        <v>2084</v>
      </c>
      <c r="X14" s="149">
        <v>130120</v>
      </c>
      <c r="Y14" s="150">
        <v>3815</v>
      </c>
      <c r="Z14" s="151">
        <v>251</v>
      </c>
      <c r="AA14" s="152"/>
    </row>
    <row r="15" spans="1:27">
      <c r="A15" s="148" t="s">
        <v>1126</v>
      </c>
      <c r="B15" s="149">
        <v>114044</v>
      </c>
      <c r="C15" s="150">
        <v>31459</v>
      </c>
      <c r="D15" s="151">
        <v>257</v>
      </c>
      <c r="E15" s="152"/>
      <c r="F15" s="153"/>
      <c r="G15" s="154"/>
      <c r="H15" s="148" t="s">
        <v>1969</v>
      </c>
      <c r="I15" s="149">
        <v>90149</v>
      </c>
      <c r="J15" s="150">
        <v>2912</v>
      </c>
      <c r="K15" s="151">
        <v>259</v>
      </c>
      <c r="L15" s="152"/>
      <c r="M15" s="148" t="s">
        <v>2597</v>
      </c>
      <c r="N15" s="149">
        <v>103226</v>
      </c>
      <c r="O15" s="150">
        <v>2786</v>
      </c>
      <c r="P15" s="151">
        <v>251</v>
      </c>
      <c r="Q15" s="152"/>
      <c r="R15" s="148" t="s">
        <v>811</v>
      </c>
      <c r="S15" s="149">
        <v>130177</v>
      </c>
      <c r="T15" s="150">
        <v>36700</v>
      </c>
      <c r="U15" s="151">
        <v>267</v>
      </c>
      <c r="V15" s="152"/>
      <c r="W15" s="148" t="s">
        <v>2101</v>
      </c>
      <c r="X15" s="149">
        <v>121302</v>
      </c>
      <c r="Y15" s="150">
        <v>19500</v>
      </c>
      <c r="Z15" s="151">
        <v>240</v>
      </c>
      <c r="AA15" s="152"/>
    </row>
    <row r="16" spans="1:27">
      <c r="A16" s="148" t="s">
        <v>2626</v>
      </c>
      <c r="B16" s="149">
        <v>118955</v>
      </c>
      <c r="C16" s="150">
        <v>70400</v>
      </c>
      <c r="D16" s="151">
        <v>254</v>
      </c>
      <c r="E16" s="152"/>
      <c r="F16" s="153"/>
      <c r="G16" s="154"/>
      <c r="H16" s="148" t="s">
        <v>189</v>
      </c>
      <c r="I16" s="149">
        <v>100379</v>
      </c>
      <c r="J16" s="150">
        <v>3633</v>
      </c>
      <c r="K16" s="151">
        <v>255</v>
      </c>
      <c r="L16" s="152">
        <v>3</v>
      </c>
      <c r="M16" s="148" t="s">
        <v>700</v>
      </c>
      <c r="N16" s="149">
        <v>2921</v>
      </c>
      <c r="O16" s="150">
        <v>2016</v>
      </c>
      <c r="P16" s="151">
        <v>238</v>
      </c>
      <c r="Q16" s="152"/>
      <c r="R16" s="148" t="s">
        <v>659</v>
      </c>
      <c r="S16" s="149">
        <v>31490</v>
      </c>
      <c r="T16" s="150">
        <v>31907</v>
      </c>
      <c r="U16" s="151">
        <v>245</v>
      </c>
      <c r="V16" s="152"/>
      <c r="W16" s="148" t="s">
        <v>2420</v>
      </c>
      <c r="X16" s="149">
        <v>46</v>
      </c>
      <c r="Y16" s="150">
        <v>27215</v>
      </c>
      <c r="Z16" s="151">
        <v>233</v>
      </c>
      <c r="AA16" s="152"/>
    </row>
    <row r="17" spans="1:27">
      <c r="A17" s="148" t="s">
        <v>2562</v>
      </c>
      <c r="B17" s="149">
        <v>100185</v>
      </c>
      <c r="C17" s="150">
        <v>2504</v>
      </c>
      <c r="D17" s="151">
        <v>231</v>
      </c>
      <c r="E17" s="152"/>
      <c r="F17" s="153"/>
      <c r="G17" s="154"/>
      <c r="H17" s="148" t="s">
        <v>877</v>
      </c>
      <c r="I17" s="149">
        <v>61393</v>
      </c>
      <c r="J17" s="150">
        <v>50500</v>
      </c>
      <c r="K17" s="151">
        <v>231</v>
      </c>
      <c r="L17" s="152"/>
      <c r="M17" s="148" t="s">
        <v>358</v>
      </c>
      <c r="N17" s="149">
        <v>388</v>
      </c>
      <c r="O17" s="150">
        <v>1237</v>
      </c>
      <c r="P17" s="151">
        <v>225</v>
      </c>
      <c r="Q17" s="152"/>
      <c r="R17" s="148" t="s">
        <v>231</v>
      </c>
      <c r="S17" s="149">
        <v>1398</v>
      </c>
      <c r="T17" s="150">
        <v>14544</v>
      </c>
      <c r="U17" s="151">
        <v>231</v>
      </c>
      <c r="V17" s="152"/>
      <c r="W17" s="148" t="s">
        <v>1545</v>
      </c>
      <c r="X17" s="149">
        <v>160072</v>
      </c>
      <c r="Y17" s="150">
        <v>1924</v>
      </c>
      <c r="Z17" s="151">
        <v>228</v>
      </c>
      <c r="AA17" s="152">
        <v>2</v>
      </c>
    </row>
    <row r="18" spans="1:27">
      <c r="A18" s="148" t="s">
        <v>917</v>
      </c>
      <c r="B18" s="149">
        <v>121</v>
      </c>
      <c r="C18" s="150">
        <v>2934</v>
      </c>
      <c r="D18" s="151">
        <v>185</v>
      </c>
      <c r="E18" s="152"/>
      <c r="F18" s="153"/>
      <c r="G18" s="154"/>
      <c r="H18" s="148" t="s">
        <v>2375</v>
      </c>
      <c r="I18" s="149">
        <v>81252</v>
      </c>
      <c r="J18" s="150">
        <v>2005</v>
      </c>
      <c r="K18" s="151">
        <v>187</v>
      </c>
      <c r="L18" s="152"/>
      <c r="M18" s="148" t="s">
        <v>1271</v>
      </c>
      <c r="N18" s="149">
        <v>157698</v>
      </c>
      <c r="O18" s="150">
        <v>2140</v>
      </c>
      <c r="P18" s="151">
        <v>211</v>
      </c>
      <c r="Q18" s="152"/>
      <c r="R18" s="148" t="s">
        <v>1970</v>
      </c>
      <c r="S18" s="149">
        <v>142655</v>
      </c>
      <c r="T18" s="150">
        <v>1307</v>
      </c>
      <c r="U18" s="151">
        <v>208</v>
      </c>
      <c r="V18" s="152"/>
      <c r="W18" s="148" t="s">
        <v>2573</v>
      </c>
      <c r="X18" s="149">
        <v>199</v>
      </c>
      <c r="Y18" s="150">
        <v>1869</v>
      </c>
      <c r="Z18" s="151">
        <v>219</v>
      </c>
      <c r="AA18" s="152"/>
    </row>
    <row r="19" spans="1:27">
      <c r="A19" s="148" t="s">
        <v>1277</v>
      </c>
      <c r="B19" s="149">
        <v>110165</v>
      </c>
      <c r="C19" s="150">
        <v>61300</v>
      </c>
      <c r="D19" s="151">
        <v>175</v>
      </c>
      <c r="E19" s="152"/>
      <c r="F19" s="153"/>
      <c r="G19" s="154"/>
      <c r="H19" s="148" t="s">
        <v>1049</v>
      </c>
      <c r="I19" s="149">
        <v>101545</v>
      </c>
      <c r="J19" s="150">
        <v>1302</v>
      </c>
      <c r="K19" s="151">
        <v>197</v>
      </c>
      <c r="L19" s="152"/>
      <c r="M19" s="148" t="s">
        <v>1428</v>
      </c>
      <c r="N19" s="149">
        <v>63778</v>
      </c>
      <c r="O19" s="150">
        <v>2651</v>
      </c>
      <c r="P19" s="151">
        <v>206</v>
      </c>
      <c r="Q19" s="152"/>
      <c r="R19" s="148" t="s">
        <v>2343</v>
      </c>
      <c r="S19" s="149">
        <v>112564</v>
      </c>
      <c r="T19" s="150">
        <v>98000</v>
      </c>
      <c r="U19" s="151">
        <v>200</v>
      </c>
      <c r="V19" s="152"/>
      <c r="W19" s="148" t="s">
        <v>676</v>
      </c>
      <c r="X19" s="149">
        <v>157428</v>
      </c>
      <c r="Y19" s="150">
        <v>4127</v>
      </c>
      <c r="Z19" s="151">
        <v>217</v>
      </c>
      <c r="AA19" s="152"/>
    </row>
    <row r="20" spans="1:27">
      <c r="A20" s="148" t="s">
        <v>663</v>
      </c>
      <c r="B20" s="149">
        <v>97197</v>
      </c>
      <c r="C20" s="150">
        <v>4230</v>
      </c>
      <c r="D20" s="151">
        <v>140</v>
      </c>
      <c r="E20" s="152"/>
      <c r="F20" s="153"/>
      <c r="G20" s="154"/>
      <c r="H20" s="148" t="s">
        <v>576</v>
      </c>
      <c r="I20" s="149">
        <v>116843</v>
      </c>
      <c r="J20" s="150">
        <v>4043</v>
      </c>
      <c r="K20" s="151">
        <v>194</v>
      </c>
      <c r="L20" s="152"/>
      <c r="M20" s="148" t="s">
        <v>2423</v>
      </c>
      <c r="N20" s="149">
        <v>126216</v>
      </c>
      <c r="O20" s="150">
        <v>4633</v>
      </c>
      <c r="P20" s="151">
        <v>203</v>
      </c>
      <c r="Q20" s="152"/>
      <c r="R20" s="148" t="s">
        <v>2009</v>
      </c>
      <c r="S20" s="149">
        <v>60043</v>
      </c>
      <c r="T20" s="150">
        <v>2782</v>
      </c>
      <c r="U20" s="151">
        <v>199</v>
      </c>
      <c r="V20" s="152"/>
      <c r="W20" s="148" t="s">
        <v>82</v>
      </c>
      <c r="X20" s="149">
        <v>223967</v>
      </c>
      <c r="Y20" s="150">
        <v>2427</v>
      </c>
      <c r="Z20" s="151">
        <v>192</v>
      </c>
      <c r="AA20" s="152"/>
    </row>
    <row r="21" spans="1:27">
      <c r="A21" s="148" t="s">
        <v>2505</v>
      </c>
      <c r="B21" s="149">
        <v>101187</v>
      </c>
      <c r="C21" s="150">
        <v>7470</v>
      </c>
      <c r="D21" s="151">
        <v>140</v>
      </c>
      <c r="E21" s="152"/>
      <c r="F21" s="153"/>
      <c r="G21" s="154"/>
      <c r="H21" s="148" t="s">
        <v>2357</v>
      </c>
      <c r="I21" s="149">
        <v>561</v>
      </c>
      <c r="J21" s="150">
        <v>32600</v>
      </c>
      <c r="K21" s="151">
        <v>190</v>
      </c>
      <c r="L21" s="152"/>
      <c r="M21" s="148" t="s">
        <v>779</v>
      </c>
      <c r="N21" s="149">
        <v>125053</v>
      </c>
      <c r="O21" s="150">
        <v>3701</v>
      </c>
      <c r="P21" s="151">
        <v>200</v>
      </c>
      <c r="Q21" s="152"/>
      <c r="R21" s="148" t="s">
        <v>2181</v>
      </c>
      <c r="S21" s="149">
        <v>108747</v>
      </c>
      <c r="T21" s="150">
        <v>33200</v>
      </c>
      <c r="U21" s="151">
        <v>199</v>
      </c>
      <c r="V21" s="152"/>
      <c r="W21" s="148" t="s">
        <v>2526</v>
      </c>
      <c r="X21" s="149">
        <v>111865</v>
      </c>
      <c r="Y21" s="150">
        <v>472</v>
      </c>
      <c r="Z21" s="151">
        <v>191</v>
      </c>
      <c r="AA21" s="152"/>
    </row>
    <row r="22" spans="1:27">
      <c r="A22" s="148" t="s">
        <v>2088</v>
      </c>
      <c r="B22" s="149">
        <v>108449</v>
      </c>
      <c r="C22" s="150">
        <v>43600</v>
      </c>
      <c r="D22" s="151">
        <v>139</v>
      </c>
      <c r="E22" s="152"/>
      <c r="F22" s="153"/>
      <c r="G22" s="154"/>
      <c r="H22" s="148" t="s">
        <v>1249</v>
      </c>
      <c r="I22" s="149">
        <v>103236</v>
      </c>
      <c r="J22" s="150">
        <v>2252</v>
      </c>
      <c r="K22" s="151">
        <v>120</v>
      </c>
      <c r="L22" s="152"/>
      <c r="M22" s="148" t="s">
        <v>2530</v>
      </c>
      <c r="N22" s="149">
        <v>104554</v>
      </c>
      <c r="O22" s="150">
        <v>4728</v>
      </c>
      <c r="P22" s="151">
        <v>184</v>
      </c>
      <c r="Q22" s="152"/>
      <c r="R22" s="148" t="s">
        <v>657</v>
      </c>
      <c r="S22" s="149">
        <v>9808</v>
      </c>
      <c r="T22" s="150">
        <v>833</v>
      </c>
      <c r="U22" s="151">
        <v>182</v>
      </c>
      <c r="V22" s="152"/>
      <c r="W22" s="148" t="s">
        <v>1037</v>
      </c>
      <c r="X22" s="149">
        <v>157621</v>
      </c>
      <c r="Y22" s="150">
        <v>4020</v>
      </c>
      <c r="Z22" s="151">
        <v>179</v>
      </c>
      <c r="AA22" s="152"/>
    </row>
    <row r="23" spans="1:27">
      <c r="A23" s="148" t="s">
        <v>2568</v>
      </c>
      <c r="B23" s="149">
        <v>14111</v>
      </c>
      <c r="C23" s="150">
        <v>1354</v>
      </c>
      <c r="D23" s="151">
        <v>137</v>
      </c>
      <c r="E23" s="152"/>
      <c r="F23" s="153"/>
      <c r="G23" s="154"/>
      <c r="H23" s="148" t="s">
        <v>2571</v>
      </c>
      <c r="I23" s="149">
        <v>39717</v>
      </c>
      <c r="J23" s="150">
        <v>6925</v>
      </c>
      <c r="K23" s="151">
        <v>160</v>
      </c>
      <c r="L23" s="152"/>
      <c r="M23" s="148" t="s">
        <v>2522</v>
      </c>
      <c r="N23" s="149">
        <v>126332</v>
      </c>
      <c r="O23" s="150">
        <v>4507</v>
      </c>
      <c r="P23" s="151">
        <v>183</v>
      </c>
      <c r="Q23" s="152"/>
      <c r="R23" s="148" t="s">
        <v>1048</v>
      </c>
      <c r="S23" s="149">
        <v>156758</v>
      </c>
      <c r="T23" s="150">
        <v>1877</v>
      </c>
      <c r="U23" s="151">
        <v>179</v>
      </c>
      <c r="V23" s="152"/>
      <c r="W23" s="148" t="s">
        <v>2347</v>
      </c>
      <c r="X23" s="149">
        <v>111146</v>
      </c>
      <c r="Y23" s="150">
        <v>1782</v>
      </c>
      <c r="Z23" s="151">
        <v>179</v>
      </c>
      <c r="AA23" s="152"/>
    </row>
    <row r="24" spans="1:27">
      <c r="A24" s="148" t="s">
        <v>2074</v>
      </c>
      <c r="B24" s="149">
        <v>160317</v>
      </c>
      <c r="C24" s="150">
        <v>229</v>
      </c>
      <c r="D24" s="151">
        <v>137</v>
      </c>
      <c r="E24" s="152"/>
      <c r="F24" s="153"/>
      <c r="G24" s="154"/>
      <c r="H24" s="148" t="s">
        <v>310</v>
      </c>
      <c r="I24" s="149">
        <v>1811</v>
      </c>
      <c r="J24" s="150">
        <v>2667</v>
      </c>
      <c r="K24" s="151">
        <v>159</v>
      </c>
      <c r="L24" s="152"/>
      <c r="M24" s="148" t="s">
        <v>1336</v>
      </c>
      <c r="N24" s="149">
        <v>118782</v>
      </c>
      <c r="O24" s="150">
        <v>1144</v>
      </c>
      <c r="P24" s="151">
        <v>175</v>
      </c>
      <c r="Q24" s="152"/>
      <c r="R24" s="148" t="s">
        <v>1963</v>
      </c>
      <c r="S24" s="149">
        <v>124994</v>
      </c>
      <c r="T24" s="150">
        <v>414</v>
      </c>
      <c r="U24" s="151">
        <v>173</v>
      </c>
      <c r="V24" s="152"/>
      <c r="W24" s="148" t="s">
        <v>1125</v>
      </c>
      <c r="X24" s="149">
        <v>42040</v>
      </c>
      <c r="Y24" s="150">
        <v>1633</v>
      </c>
      <c r="Z24" s="151">
        <v>177</v>
      </c>
      <c r="AA24" s="152"/>
    </row>
    <row r="25" spans="1:27">
      <c r="A25" s="148" t="s">
        <v>356</v>
      </c>
      <c r="B25" s="149">
        <v>174179</v>
      </c>
      <c r="C25" s="150">
        <v>331</v>
      </c>
      <c r="D25" s="151">
        <v>134</v>
      </c>
      <c r="E25" s="152"/>
      <c r="F25" s="153"/>
      <c r="G25" s="154"/>
      <c r="H25" s="148" t="s">
        <v>2304</v>
      </c>
      <c r="I25" s="149">
        <v>71771</v>
      </c>
      <c r="J25" s="150">
        <v>3204</v>
      </c>
      <c r="K25" s="151">
        <v>159</v>
      </c>
      <c r="L25" s="152"/>
      <c r="M25" s="148" t="s">
        <v>2474</v>
      </c>
      <c r="N25" s="149">
        <v>99854</v>
      </c>
      <c r="O25" s="150">
        <v>2002</v>
      </c>
      <c r="P25" s="151">
        <v>175</v>
      </c>
      <c r="Q25" s="152"/>
      <c r="R25" s="148" t="s">
        <v>893</v>
      </c>
      <c r="S25" s="149">
        <v>100861</v>
      </c>
      <c r="T25" s="150">
        <v>1726</v>
      </c>
      <c r="U25" s="151">
        <v>171</v>
      </c>
      <c r="V25" s="152"/>
      <c r="W25" s="148" t="s">
        <v>2012</v>
      </c>
      <c r="X25" s="149">
        <v>159191</v>
      </c>
      <c r="Y25" s="150">
        <v>4540</v>
      </c>
      <c r="Z25" s="151">
        <v>130</v>
      </c>
      <c r="AA25" s="152"/>
    </row>
    <row r="26" spans="1:27">
      <c r="A26" s="148" t="s">
        <v>2238</v>
      </c>
      <c r="B26" s="149">
        <v>100965</v>
      </c>
      <c r="C26" s="150">
        <v>1070</v>
      </c>
      <c r="D26" s="151">
        <v>123</v>
      </c>
      <c r="E26" s="152"/>
      <c r="F26" s="153"/>
      <c r="G26" s="154"/>
      <c r="H26" s="148" t="s">
        <v>2225</v>
      </c>
      <c r="I26" s="149">
        <v>120</v>
      </c>
      <c r="J26" s="150">
        <v>1742</v>
      </c>
      <c r="K26" s="151">
        <v>108</v>
      </c>
      <c r="L26" s="152"/>
      <c r="M26" s="148" t="s">
        <v>2083</v>
      </c>
      <c r="N26" s="149">
        <v>130173</v>
      </c>
      <c r="O26" s="150">
        <v>14700</v>
      </c>
      <c r="P26" s="151">
        <v>171</v>
      </c>
      <c r="Q26" s="152"/>
      <c r="R26" s="148" t="s">
        <v>1250</v>
      </c>
      <c r="S26" s="149">
        <v>127468</v>
      </c>
      <c r="T26" s="150">
        <v>14620</v>
      </c>
      <c r="U26" s="151">
        <v>161</v>
      </c>
      <c r="V26" s="152"/>
      <c r="W26" s="148" t="s">
        <v>2525</v>
      </c>
      <c r="X26" s="149">
        <v>1413</v>
      </c>
      <c r="Y26" s="150">
        <v>951</v>
      </c>
      <c r="Z26" s="151">
        <v>144</v>
      </c>
      <c r="AA26" s="152"/>
    </row>
    <row r="27" spans="1:27">
      <c r="A27" s="148" t="s">
        <v>76</v>
      </c>
      <c r="B27" s="149">
        <v>129753</v>
      </c>
      <c r="C27" s="150">
        <v>1285</v>
      </c>
      <c r="D27" s="151">
        <v>122</v>
      </c>
      <c r="E27" s="152"/>
      <c r="F27" s="153"/>
      <c r="G27" s="154"/>
      <c r="H27" s="148" t="s">
        <v>697</v>
      </c>
      <c r="I27" s="149">
        <v>132592</v>
      </c>
      <c r="J27" s="150">
        <v>680</v>
      </c>
      <c r="K27" s="151">
        <v>107</v>
      </c>
      <c r="L27" s="152"/>
      <c r="M27" s="148" t="s">
        <v>1429</v>
      </c>
      <c r="N27" s="149">
        <v>106</v>
      </c>
      <c r="O27" s="150">
        <v>1263</v>
      </c>
      <c r="P27" s="151">
        <v>170</v>
      </c>
      <c r="Q27" s="152"/>
      <c r="R27" s="148" t="s">
        <v>1444</v>
      </c>
      <c r="S27" s="149">
        <v>89151</v>
      </c>
      <c r="T27" s="150">
        <v>4121</v>
      </c>
      <c r="U27" s="151">
        <v>160</v>
      </c>
      <c r="V27" s="152"/>
      <c r="W27" s="148" t="s">
        <v>1343</v>
      </c>
      <c r="X27" s="149">
        <v>108503</v>
      </c>
      <c r="Y27" s="150">
        <v>49800</v>
      </c>
      <c r="Z27" s="151">
        <v>124</v>
      </c>
      <c r="AA27" s="152"/>
    </row>
    <row r="28" spans="1:27">
      <c r="A28" s="148" t="s">
        <v>918</v>
      </c>
      <c r="B28" s="149">
        <v>108763</v>
      </c>
      <c r="C28" s="150">
        <v>97000</v>
      </c>
      <c r="D28" s="151">
        <v>122</v>
      </c>
      <c r="E28" s="152"/>
      <c r="F28" s="153"/>
      <c r="G28" s="154"/>
      <c r="H28" s="148" t="s">
        <v>915</v>
      </c>
      <c r="I28" s="149">
        <v>155746</v>
      </c>
      <c r="J28" s="150">
        <v>524</v>
      </c>
      <c r="K28" s="151">
        <v>106</v>
      </c>
      <c r="L28" s="152"/>
      <c r="M28" s="148" t="s">
        <v>1047</v>
      </c>
      <c r="N28" s="149">
        <v>112479</v>
      </c>
      <c r="O28" s="150">
        <v>1460</v>
      </c>
      <c r="P28" s="151">
        <v>163</v>
      </c>
      <c r="Q28" s="152"/>
      <c r="R28" s="148" t="s">
        <v>2460</v>
      </c>
      <c r="S28" s="149">
        <v>125900</v>
      </c>
      <c r="T28" s="150">
        <v>17285</v>
      </c>
      <c r="U28" s="151">
        <v>153</v>
      </c>
      <c r="V28" s="152">
        <v>3</v>
      </c>
      <c r="W28" s="148" t="s">
        <v>1688</v>
      </c>
      <c r="X28" s="149">
        <v>116949</v>
      </c>
      <c r="Y28" s="150">
        <v>3425</v>
      </c>
      <c r="Z28" s="151">
        <v>123</v>
      </c>
      <c r="AA28" s="152"/>
    </row>
    <row r="29" spans="1:27">
      <c r="A29" s="148" t="s">
        <v>919</v>
      </c>
      <c r="B29" s="149">
        <v>113610</v>
      </c>
      <c r="C29" s="150">
        <v>506</v>
      </c>
      <c r="D29" s="151">
        <v>119</v>
      </c>
      <c r="E29" s="152"/>
      <c r="F29" s="153"/>
      <c r="G29" s="154"/>
      <c r="H29" s="148" t="s">
        <v>2467</v>
      </c>
      <c r="I29" s="149">
        <v>2647</v>
      </c>
      <c r="J29" s="150">
        <v>1320</v>
      </c>
      <c r="K29" s="151">
        <v>106</v>
      </c>
      <c r="L29" s="152"/>
      <c r="M29" s="148" t="s">
        <v>818</v>
      </c>
      <c r="N29" s="149">
        <v>101245</v>
      </c>
      <c r="O29" s="150">
        <v>1110</v>
      </c>
      <c r="P29" s="151">
        <v>161</v>
      </c>
      <c r="Q29" s="152"/>
      <c r="R29" s="148" t="s">
        <v>2341</v>
      </c>
      <c r="S29" s="149">
        <v>120002</v>
      </c>
      <c r="T29" s="150">
        <v>6635</v>
      </c>
      <c r="U29" s="151">
        <v>144</v>
      </c>
      <c r="V29" s="152"/>
      <c r="W29" s="148" t="s">
        <v>2122</v>
      </c>
      <c r="X29" s="149">
        <v>157623</v>
      </c>
      <c r="Y29" s="150">
        <v>1216</v>
      </c>
      <c r="Z29" s="151">
        <v>144</v>
      </c>
      <c r="AA29" s="152"/>
    </row>
    <row r="30" spans="1:27">
      <c r="A30" s="148" t="s">
        <v>922</v>
      </c>
      <c r="B30" s="149">
        <v>30248</v>
      </c>
      <c r="C30" s="150">
        <v>25700</v>
      </c>
      <c r="D30" s="151">
        <v>110</v>
      </c>
      <c r="E30" s="152"/>
      <c r="F30" s="153"/>
      <c r="G30" s="154"/>
      <c r="H30" s="148" t="s">
        <v>181</v>
      </c>
      <c r="I30" s="149">
        <v>225877</v>
      </c>
      <c r="J30" s="150">
        <v>1048</v>
      </c>
      <c r="K30" s="151">
        <v>153</v>
      </c>
      <c r="L30" s="152"/>
      <c r="M30" s="148" t="s">
        <v>664</v>
      </c>
      <c r="N30" s="149">
        <v>110817</v>
      </c>
      <c r="O30" s="150">
        <v>448</v>
      </c>
      <c r="P30" s="151">
        <v>148</v>
      </c>
      <c r="Q30" s="152"/>
      <c r="R30" s="148" t="s">
        <v>662</v>
      </c>
      <c r="S30" s="149">
        <v>20417</v>
      </c>
      <c r="T30" s="150">
        <v>31930</v>
      </c>
      <c r="U30" s="151">
        <v>145</v>
      </c>
      <c r="V30" s="152"/>
      <c r="W30" s="148" t="s">
        <v>2433</v>
      </c>
      <c r="X30" s="149">
        <v>105374</v>
      </c>
      <c r="Y30" s="150">
        <v>660</v>
      </c>
      <c r="Z30" s="151">
        <v>138</v>
      </c>
      <c r="AA30" s="152"/>
    </row>
    <row r="31" spans="1:27">
      <c r="A31" s="148" t="s">
        <v>923</v>
      </c>
      <c r="B31" s="149">
        <v>120024</v>
      </c>
      <c r="C31" s="150">
        <v>2486</v>
      </c>
      <c r="D31" s="151">
        <v>105</v>
      </c>
      <c r="E31" s="152"/>
      <c r="F31" s="153"/>
      <c r="G31" s="154"/>
      <c r="H31" s="148" t="s">
        <v>656</v>
      </c>
      <c r="I31" s="149">
        <v>1394</v>
      </c>
      <c r="J31" s="150">
        <v>1142</v>
      </c>
      <c r="K31" s="151">
        <v>151</v>
      </c>
      <c r="L31" s="152"/>
      <c r="M31" s="148" t="s">
        <v>1046</v>
      </c>
      <c r="N31" s="149">
        <v>110163</v>
      </c>
      <c r="O31" s="150">
        <v>43100</v>
      </c>
      <c r="P31" s="151">
        <v>137</v>
      </c>
      <c r="Q31" s="152"/>
      <c r="R31" s="148" t="s">
        <v>932</v>
      </c>
      <c r="S31" s="149">
        <v>1111</v>
      </c>
      <c r="T31" s="150">
        <v>1964</v>
      </c>
      <c r="U31" s="151">
        <v>121</v>
      </c>
      <c r="V31" s="152"/>
      <c r="W31" s="148" t="s">
        <v>879</v>
      </c>
      <c r="X31" s="149">
        <v>122</v>
      </c>
      <c r="Y31" s="150">
        <v>1195</v>
      </c>
      <c r="Z31" s="151">
        <v>119</v>
      </c>
      <c r="AA31" s="152"/>
    </row>
    <row r="32" spans="1:27">
      <c r="A32" s="148" t="s">
        <v>2305</v>
      </c>
      <c r="B32" s="149">
        <v>42861</v>
      </c>
      <c r="C32" s="150">
        <v>4130</v>
      </c>
      <c r="D32" s="151">
        <v>105</v>
      </c>
      <c r="E32" s="152"/>
      <c r="F32" s="153"/>
      <c r="G32" s="154"/>
      <c r="H32" s="148" t="s">
        <v>2528</v>
      </c>
      <c r="I32" s="149">
        <v>73228</v>
      </c>
      <c r="J32" s="150">
        <v>29500</v>
      </c>
      <c r="K32" s="151">
        <v>149</v>
      </c>
      <c r="L32" s="152"/>
      <c r="M32" s="148" t="s">
        <v>1976</v>
      </c>
      <c r="N32" s="149">
        <v>127255</v>
      </c>
      <c r="O32" s="150">
        <v>700</v>
      </c>
      <c r="P32" s="151">
        <v>129</v>
      </c>
      <c r="Q32" s="152"/>
      <c r="R32" s="148" t="s">
        <v>1450</v>
      </c>
      <c r="S32" s="149">
        <v>1850</v>
      </c>
      <c r="T32" s="150">
        <v>1549</v>
      </c>
      <c r="U32" s="151">
        <v>121</v>
      </c>
      <c r="V32" s="152"/>
      <c r="W32" s="148" t="s">
        <v>2349</v>
      </c>
      <c r="X32" s="149">
        <v>155718</v>
      </c>
      <c r="Y32" s="150">
        <v>19650</v>
      </c>
      <c r="Z32" s="151">
        <v>119</v>
      </c>
      <c r="AA32" s="152"/>
    </row>
    <row r="33" spans="1:27">
      <c r="A33" s="148" t="s">
        <v>1043</v>
      </c>
      <c r="B33" s="149">
        <v>65345</v>
      </c>
      <c r="C33" s="150">
        <v>1620</v>
      </c>
      <c r="D33" s="151">
        <v>105</v>
      </c>
      <c r="E33" s="152"/>
      <c r="F33" s="153"/>
      <c r="G33" s="154"/>
      <c r="H33" s="148" t="s">
        <v>1538</v>
      </c>
      <c r="I33" s="149">
        <v>115041</v>
      </c>
      <c r="J33" s="150">
        <v>1216</v>
      </c>
      <c r="K33" s="151">
        <v>121</v>
      </c>
      <c r="L33" s="152"/>
      <c r="M33" s="148" t="s">
        <v>1445</v>
      </c>
      <c r="N33" s="149">
        <v>124935</v>
      </c>
      <c r="O33" s="150">
        <v>1058</v>
      </c>
      <c r="P33" s="151">
        <v>128</v>
      </c>
      <c r="Q33" s="152"/>
      <c r="R33" s="148" t="s">
        <v>1540</v>
      </c>
      <c r="S33" s="149">
        <v>21218</v>
      </c>
      <c r="T33" s="150">
        <v>6145</v>
      </c>
      <c r="U33" s="151">
        <v>121</v>
      </c>
      <c r="V33" s="152"/>
      <c r="W33" s="148" t="s">
        <v>891</v>
      </c>
      <c r="X33" s="149">
        <v>110185</v>
      </c>
      <c r="Y33" s="150">
        <v>1036</v>
      </c>
      <c r="Z33" s="151">
        <v>116</v>
      </c>
      <c r="AA33" s="152"/>
    </row>
    <row r="34" spans="1:27">
      <c r="A34" s="148" t="s">
        <v>1548</v>
      </c>
      <c r="B34" s="149">
        <v>176122</v>
      </c>
      <c r="C34" s="150">
        <v>528</v>
      </c>
      <c r="D34" s="151">
        <v>113</v>
      </c>
      <c r="E34" s="152">
        <v>2</v>
      </c>
      <c r="F34" s="153"/>
      <c r="G34" s="154"/>
      <c r="H34" s="148" t="s">
        <v>1965</v>
      </c>
      <c r="I34" s="149">
        <v>105219</v>
      </c>
      <c r="J34" s="150">
        <v>1110</v>
      </c>
      <c r="K34" s="151">
        <v>112</v>
      </c>
      <c r="L34" s="152"/>
      <c r="M34" s="148" t="s">
        <v>1006</v>
      </c>
      <c r="N34" s="149">
        <v>109249</v>
      </c>
      <c r="O34" s="150">
        <v>113100</v>
      </c>
      <c r="P34" s="151">
        <v>114</v>
      </c>
      <c r="Q34" s="152"/>
      <c r="R34" s="148" t="s">
        <v>2085</v>
      </c>
      <c r="S34" s="149">
        <v>35137</v>
      </c>
      <c r="T34" s="150">
        <v>458</v>
      </c>
      <c r="U34" s="151">
        <v>114</v>
      </c>
      <c r="V34" s="152"/>
      <c r="W34" s="148" t="s">
        <v>2310</v>
      </c>
      <c r="X34" s="149">
        <v>157880</v>
      </c>
      <c r="Y34" s="150">
        <v>12560</v>
      </c>
      <c r="Z34" s="151">
        <v>116</v>
      </c>
      <c r="AA34" s="152"/>
    </row>
    <row r="35" spans="1:27">
      <c r="F35" s="146"/>
      <c r="G35" s="95"/>
      <c r="M35" s="148" t="s">
        <v>2565</v>
      </c>
      <c r="N35" s="149">
        <v>14103</v>
      </c>
      <c r="O35" s="150">
        <v>279</v>
      </c>
      <c r="P35" s="151">
        <v>114</v>
      </c>
      <c r="Q35" s="152"/>
      <c r="R35" s="148" t="s">
        <v>1232</v>
      </c>
      <c r="S35" s="149">
        <v>110671</v>
      </c>
      <c r="T35" s="150">
        <v>252</v>
      </c>
      <c r="U35" s="151">
        <v>113</v>
      </c>
      <c r="V35" s="152"/>
      <c r="W35" s="148" t="s">
        <v>2366</v>
      </c>
      <c r="X35" s="149">
        <v>156911</v>
      </c>
      <c r="Y35" s="150">
        <v>7920</v>
      </c>
      <c r="Z35" s="151">
        <v>115</v>
      </c>
      <c r="AA35" s="152"/>
    </row>
    <row r="37" spans="1:27">
      <c r="A37" s="138" t="s">
        <v>2527</v>
      </c>
      <c r="B37" s="139">
        <v>2160</v>
      </c>
      <c r="C37" s="140">
        <v>1672</v>
      </c>
      <c r="D37" s="143">
        <v>104</v>
      </c>
      <c r="E37" s="145"/>
      <c r="F37" s="146"/>
      <c r="G37" s="95"/>
    </row>
    <row r="38" spans="1:27">
      <c r="A38" s="138" t="s">
        <v>1438</v>
      </c>
      <c r="B38" s="139">
        <v>35111</v>
      </c>
      <c r="C38" s="140">
        <v>2324</v>
      </c>
      <c r="D38" s="143">
        <v>103</v>
      </c>
      <c r="E38" s="145"/>
      <c r="F38" s="146"/>
      <c r="G38" s="95"/>
    </row>
    <row r="39" spans="1:27">
      <c r="A39" s="138" t="s">
        <v>1703</v>
      </c>
      <c r="B39" s="139">
        <v>138922</v>
      </c>
      <c r="C39" s="140">
        <v>2630</v>
      </c>
      <c r="D39" s="143">
        <v>102</v>
      </c>
      <c r="E39" s="145"/>
      <c r="F39" s="146"/>
      <c r="G39" s="95"/>
    </row>
    <row r="40" spans="1:27">
      <c r="A40" s="138" t="s">
        <v>2340</v>
      </c>
      <c r="B40" s="139">
        <v>50165</v>
      </c>
      <c r="C40" s="140">
        <v>1925</v>
      </c>
      <c r="D40" s="143">
        <v>102</v>
      </c>
      <c r="E40" s="145"/>
      <c r="F40" s="146"/>
      <c r="G40" s="95"/>
    </row>
    <row r="41" spans="1:27">
      <c r="A41" s="138" t="s">
        <v>1157</v>
      </c>
      <c r="B41" s="139">
        <v>35286</v>
      </c>
      <c r="C41" s="140">
        <v>391</v>
      </c>
      <c r="D41" s="143">
        <v>100</v>
      </c>
      <c r="E41" s="145"/>
      <c r="F41" s="146"/>
      <c r="G41" s="95"/>
    </row>
    <row r="42" spans="1:27">
      <c r="A42" s="138" t="s">
        <v>1058</v>
      </c>
      <c r="B42" s="139">
        <v>135941</v>
      </c>
      <c r="C42" s="140">
        <v>1772</v>
      </c>
      <c r="D42" s="143">
        <v>100</v>
      </c>
      <c r="E42" s="145"/>
      <c r="F42" s="146"/>
      <c r="G42" s="95"/>
    </row>
    <row r="43" spans="1:27">
      <c r="A43" s="138" t="s">
        <v>2306</v>
      </c>
      <c r="B43" s="139">
        <v>31457</v>
      </c>
      <c r="C43" s="140">
        <v>6300</v>
      </c>
      <c r="D43" s="143">
        <v>100</v>
      </c>
      <c r="E43" s="145"/>
      <c r="F43" s="146"/>
      <c r="G43" s="95"/>
    </row>
    <row r="44" spans="1:27">
      <c r="A44" s="138" t="s">
        <v>2533</v>
      </c>
      <c r="B44" s="139">
        <v>137719</v>
      </c>
      <c r="C44" s="140">
        <v>1246</v>
      </c>
      <c r="D44" s="143">
        <v>99</v>
      </c>
      <c r="E44" s="145"/>
      <c r="F44" s="146"/>
      <c r="G44" s="95"/>
    </row>
    <row r="45" spans="1:27">
      <c r="A45" s="138" t="s">
        <v>703</v>
      </c>
      <c r="B45" s="139">
        <v>129090</v>
      </c>
      <c r="C45" s="140">
        <v>12300</v>
      </c>
      <c r="D45" s="143">
        <v>98</v>
      </c>
      <c r="E45" s="145"/>
      <c r="F45" s="146"/>
      <c r="G45" s="95"/>
    </row>
    <row r="46" spans="1:27">
      <c r="A46" s="138" t="s">
        <v>781</v>
      </c>
      <c r="B46" s="139">
        <v>86658</v>
      </c>
      <c r="C46" s="140">
        <v>6596</v>
      </c>
      <c r="D46" s="143">
        <v>98</v>
      </c>
      <c r="E46" s="145"/>
      <c r="F46" s="146"/>
      <c r="G46" s="95"/>
    </row>
    <row r="47" spans="1:27">
      <c r="A47" s="138" t="s">
        <v>1441</v>
      </c>
      <c r="B47" s="139">
        <v>79061</v>
      </c>
      <c r="C47" s="140">
        <v>1184</v>
      </c>
      <c r="D47" s="143">
        <v>98</v>
      </c>
      <c r="E47" s="145"/>
      <c r="F47" s="146"/>
      <c r="G47" s="95"/>
    </row>
    <row r="48" spans="1:27">
      <c r="A48" s="138" t="s">
        <v>113</v>
      </c>
      <c r="B48" s="139">
        <v>661</v>
      </c>
      <c r="C48" s="140">
        <v>1215</v>
      </c>
      <c r="D48" s="143">
        <v>97</v>
      </c>
      <c r="E48" s="145"/>
      <c r="F48" s="146"/>
      <c r="G48" s="95"/>
    </row>
    <row r="49" spans="1:7">
      <c r="A49" s="138" t="s">
        <v>998</v>
      </c>
      <c r="B49" s="139">
        <v>73225</v>
      </c>
      <c r="C49" s="140">
        <v>19600</v>
      </c>
      <c r="D49" s="143">
        <v>97</v>
      </c>
      <c r="E49" s="145"/>
      <c r="F49" s="146"/>
      <c r="G49" s="95"/>
    </row>
    <row r="50" spans="1:7">
      <c r="A50" s="138" t="s">
        <v>1337</v>
      </c>
      <c r="B50" s="139">
        <v>1969</v>
      </c>
      <c r="C50" s="140">
        <v>3076</v>
      </c>
      <c r="D50" s="143">
        <v>97</v>
      </c>
      <c r="E50" s="145"/>
      <c r="F50" s="146"/>
      <c r="G50" s="95"/>
    </row>
    <row r="51" spans="1:7">
      <c r="A51" s="138" t="s">
        <v>1275</v>
      </c>
      <c r="B51" s="139">
        <v>124946</v>
      </c>
      <c r="C51" s="140">
        <v>1707</v>
      </c>
      <c r="D51" s="143">
        <v>96</v>
      </c>
      <c r="E51" s="145"/>
      <c r="F51" s="146"/>
      <c r="G51" s="95"/>
    </row>
    <row r="52" spans="1:7">
      <c r="A52" s="138" t="s">
        <v>1279</v>
      </c>
      <c r="B52" s="139">
        <v>7487</v>
      </c>
      <c r="C52" s="140">
        <v>814</v>
      </c>
      <c r="D52" s="143">
        <v>96</v>
      </c>
      <c r="E52" s="145">
        <v>2</v>
      </c>
      <c r="F52" s="146"/>
      <c r="G52" s="95"/>
    </row>
    <row r="53" spans="1:7">
      <c r="A53" s="138" t="s">
        <v>1013</v>
      </c>
      <c r="B53" s="139">
        <v>1359</v>
      </c>
      <c r="C53" s="140">
        <v>684</v>
      </c>
      <c r="D53" s="143">
        <v>96</v>
      </c>
      <c r="E53" s="145"/>
      <c r="F53" s="146"/>
      <c r="G53" s="95"/>
    </row>
    <row r="54" spans="1:7">
      <c r="A54" s="138" t="s">
        <v>1325</v>
      </c>
      <c r="B54" s="139">
        <v>9314</v>
      </c>
      <c r="C54" s="140">
        <v>29631</v>
      </c>
      <c r="D54" s="143">
        <v>96</v>
      </c>
      <c r="E54" s="145"/>
      <c r="F54" s="146"/>
      <c r="G54" s="95"/>
    </row>
    <row r="55" spans="1:7">
      <c r="A55" s="138" t="s">
        <v>924</v>
      </c>
      <c r="B55" s="139">
        <v>155888</v>
      </c>
      <c r="C55" s="140">
        <v>554</v>
      </c>
      <c r="D55" s="143">
        <v>95</v>
      </c>
      <c r="E55" s="145"/>
      <c r="F55" s="146"/>
      <c r="G55" s="95"/>
    </row>
    <row r="56" spans="1:7">
      <c r="A56" s="138" t="s">
        <v>1975</v>
      </c>
      <c r="B56" s="139">
        <v>278</v>
      </c>
      <c r="C56" s="140">
        <v>329</v>
      </c>
      <c r="D56" s="143">
        <v>95</v>
      </c>
      <c r="E56" s="145"/>
      <c r="F56" s="146"/>
      <c r="G56" s="95"/>
    </row>
    <row r="57" spans="1:7">
      <c r="A57" s="138" t="s">
        <v>569</v>
      </c>
      <c r="B57" s="139">
        <v>99855</v>
      </c>
      <c r="C57" s="140">
        <v>597</v>
      </c>
      <c r="D57" s="143">
        <v>94</v>
      </c>
      <c r="E57" s="145"/>
      <c r="F57" s="146"/>
      <c r="G57" s="95"/>
    </row>
    <row r="58" spans="1:7">
      <c r="A58" s="138" t="s">
        <v>456</v>
      </c>
      <c r="B58" s="139">
        <v>177009</v>
      </c>
      <c r="C58" s="140">
        <v>986</v>
      </c>
      <c r="D58" s="143">
        <v>94</v>
      </c>
      <c r="E58" s="145"/>
      <c r="F58" s="146"/>
      <c r="G58" s="95"/>
    </row>
    <row r="59" spans="1:7">
      <c r="A59" s="138" t="s">
        <v>2630</v>
      </c>
      <c r="B59" s="139">
        <v>65580</v>
      </c>
      <c r="C59" s="140">
        <v>15000</v>
      </c>
      <c r="D59" s="143">
        <v>94</v>
      </c>
      <c r="E59" s="145"/>
      <c r="F59" s="146"/>
      <c r="G59" s="95"/>
    </row>
    <row r="60" spans="1:7">
      <c r="A60" s="138" t="s">
        <v>2113</v>
      </c>
      <c r="B60" s="139">
        <v>82521</v>
      </c>
      <c r="C60" s="140">
        <v>261</v>
      </c>
      <c r="D60" s="143">
        <v>94</v>
      </c>
      <c r="E60" s="145">
        <v>2</v>
      </c>
      <c r="F60" s="146"/>
      <c r="G60" s="95"/>
    </row>
    <row r="61" spans="1:7">
      <c r="A61" s="138" t="s">
        <v>2303</v>
      </c>
      <c r="B61" s="139">
        <v>439</v>
      </c>
      <c r="C61" s="140">
        <v>1061</v>
      </c>
      <c r="D61" s="143">
        <v>94</v>
      </c>
      <c r="E61" s="145"/>
      <c r="F61" s="146"/>
      <c r="G61" s="95"/>
    </row>
    <row r="62" spans="1:7">
      <c r="A62" s="138" t="s">
        <v>824</v>
      </c>
      <c r="B62" s="139">
        <v>48962</v>
      </c>
      <c r="C62" s="140">
        <v>468</v>
      </c>
      <c r="D62" s="143">
        <v>93</v>
      </c>
      <c r="E62" s="145"/>
      <c r="F62" s="146"/>
      <c r="G62" s="95"/>
    </row>
    <row r="63" spans="1:7">
      <c r="A63" s="138" t="s">
        <v>892</v>
      </c>
      <c r="B63" s="139">
        <v>17</v>
      </c>
      <c r="C63" s="140">
        <v>23900</v>
      </c>
      <c r="D63" s="143">
        <v>93</v>
      </c>
      <c r="E63" s="145"/>
      <c r="F63" s="146"/>
      <c r="G63" s="95"/>
    </row>
    <row r="64" spans="1:7">
      <c r="A64" s="138" t="s">
        <v>2005</v>
      </c>
      <c r="B64" s="139">
        <v>129853</v>
      </c>
      <c r="C64" s="140">
        <v>483</v>
      </c>
      <c r="D64" s="143">
        <v>93</v>
      </c>
      <c r="E64" s="145"/>
      <c r="F64" s="146"/>
      <c r="G64" s="95"/>
    </row>
    <row r="65" spans="1:7">
      <c r="A65" s="138" t="s">
        <v>2583</v>
      </c>
      <c r="B65" s="139">
        <v>77267</v>
      </c>
      <c r="C65" s="140">
        <v>1066</v>
      </c>
      <c r="D65" s="143">
        <v>92</v>
      </c>
      <c r="E65" s="145"/>
      <c r="F65" s="146"/>
      <c r="G65" s="95"/>
    </row>
    <row r="66" spans="1:7">
      <c r="A66" s="138" t="s">
        <v>1987</v>
      </c>
      <c r="B66" s="139">
        <v>178450</v>
      </c>
      <c r="C66" s="140">
        <v>634</v>
      </c>
      <c r="D66" s="143">
        <v>92</v>
      </c>
      <c r="E66" s="145"/>
      <c r="F66" s="146"/>
      <c r="G66" s="95"/>
    </row>
    <row r="67" spans="1:7">
      <c r="A67" s="138" t="s">
        <v>1171</v>
      </c>
      <c r="B67" s="139">
        <v>5284</v>
      </c>
      <c r="C67" s="140">
        <v>18400</v>
      </c>
      <c r="D67" s="143">
        <v>91</v>
      </c>
      <c r="E67" s="145"/>
      <c r="F67" s="146"/>
      <c r="G67" s="95"/>
    </row>
    <row r="68" spans="1:7">
      <c r="A68" s="138" t="s">
        <v>1234</v>
      </c>
      <c r="B68" s="139">
        <v>209362</v>
      </c>
      <c r="C68" s="140">
        <v>5372</v>
      </c>
      <c r="D68" s="143">
        <v>91</v>
      </c>
      <c r="E68" s="145"/>
      <c r="F68" s="146"/>
      <c r="G68" s="95"/>
    </row>
    <row r="69" spans="1:7">
      <c r="A69" s="138" t="s">
        <v>1134</v>
      </c>
      <c r="B69" s="139">
        <v>130171</v>
      </c>
      <c r="C69" s="140">
        <v>5710</v>
      </c>
      <c r="D69" s="143">
        <v>91</v>
      </c>
      <c r="E69" s="145"/>
      <c r="F69" s="146"/>
      <c r="G69" s="95"/>
    </row>
    <row r="70" spans="1:7">
      <c r="A70" s="138" t="s">
        <v>1344</v>
      </c>
      <c r="B70" s="139">
        <v>67911</v>
      </c>
      <c r="C70" s="140">
        <v>1087</v>
      </c>
      <c r="D70" s="143">
        <v>91</v>
      </c>
      <c r="E70" s="145"/>
      <c r="F70" s="146"/>
      <c r="G70" s="95"/>
    </row>
    <row r="71" spans="1:7">
      <c r="A71" s="138" t="s">
        <v>1446</v>
      </c>
      <c r="B71" s="139">
        <v>3042</v>
      </c>
      <c r="C71" s="140">
        <v>3680</v>
      </c>
      <c r="D71" s="143">
        <v>91</v>
      </c>
      <c r="E71" s="145"/>
      <c r="F71" s="146"/>
      <c r="G71" s="9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B5FE10126F404A878E14A53D7433F1" ma:contentTypeVersion="11" ma:contentTypeDescription="Create a new document." ma:contentTypeScope="" ma:versionID="c5f96bb0ff4391d8f7ced0f53fbed083">
  <xsd:schema xmlns:xsd="http://www.w3.org/2001/XMLSchema" xmlns:xs="http://www.w3.org/2001/XMLSchema" xmlns:p="http://schemas.microsoft.com/office/2006/metadata/properties" xmlns:ns2="c512decc-12ce-4f12-a8a3-87a1165cbc56" targetNamespace="http://schemas.microsoft.com/office/2006/metadata/properties" ma:root="true" ma:fieldsID="9c1c710ca66f112435f4f5e907891506" ns2:_="">
    <xsd:import namespace="c512decc-12ce-4f12-a8a3-87a1165cb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decc-12ce-4f12-a8a3-87a1165cbc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12decc-12ce-4f12-a8a3-87a1165cbc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ECFC56-3587-4DC7-81B9-B408A4824079}"/>
</file>

<file path=customXml/itemProps2.xml><?xml version="1.0" encoding="utf-8"?>
<ds:datastoreItem xmlns:ds="http://schemas.openxmlformats.org/officeDocument/2006/customXml" ds:itemID="{16F3BC12-9290-45F9-80BE-5F142BEA4D47}"/>
</file>

<file path=customXml/itemProps3.xml><?xml version="1.0" encoding="utf-8"?>
<ds:datastoreItem xmlns:ds="http://schemas.openxmlformats.org/officeDocument/2006/customXml" ds:itemID="{F85281F6-6420-4DE0-A289-0F61D7A648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Flood, Adam</dc:creator>
  <cp:keywords/>
  <dc:description/>
  <cp:lastModifiedBy>Ganesh Kumar, Sujan</cp:lastModifiedBy>
  <cp:revision/>
  <dcterms:created xsi:type="dcterms:W3CDTF">2022-11-22T19:22:05Z</dcterms:created>
  <dcterms:modified xsi:type="dcterms:W3CDTF">2026-02-02T23:46:02Z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0x01010028B5FE10126F404A878E14A53D7433F1</vt:lpwstr>
  </property>
  <property fmtid="{D5CDD505-2E9C-101B-9397-08002B2CF9AE}" pid="3" name="MediaServiceImageTags">
    <vt:lpwstr/>
  </property>
</Properties>
</file>